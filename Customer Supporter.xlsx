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pha\Downloads\"/>
    </mc:Choice>
  </mc:AlternateContent>
  <xr:revisionPtr revIDLastSave="0" documentId="13_ncr:1_{58CA8BAD-6826-421E-B143-C684791E10A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Analysis" sheetId="12" r:id="rId1"/>
    <sheet name="Clean_Tickets" sheetId="5" r:id="rId2"/>
    <sheet name="Dashboard" sheetId="10" r:id="rId3"/>
    <sheet name="Raw_Tickets" sheetId="2" r:id="rId4"/>
    <sheet name="Data_Dictionary" sheetId="3" r:id="rId5"/>
    <sheet name="SLA_Reference" sheetId="6" r:id="rId6"/>
    <sheet name="Reference" sheetId="4" r:id="rId7"/>
  </sheets>
  <definedNames>
    <definedName name="DadosExternos_1" localSheetId="1" hidden="1">'Clean_Tickets'!$A$1:$AJ$1181</definedName>
    <definedName name="DadosExternos_1" localSheetId="5" hidden="1">SLA_Reference!$A$1:$C$5</definedName>
    <definedName name="NativeTimeline_Opened_At">#N/A</definedName>
    <definedName name="SegmentaçãodeDados_Agent">#N/A</definedName>
    <definedName name="SegmentaçãodeDados_Customer_Segment">#N/A</definedName>
    <definedName name="SegmentaçãodeDados_Priority">#N/A</definedName>
    <definedName name="SegmentaçãodeDados_Product">#N/A</definedName>
    <definedName name="SegmentaçãodeDados_Region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4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10" l="1"/>
  <c r="AB3" i="10"/>
  <c r="AB2" i="10"/>
  <c r="AB8" i="10"/>
  <c r="AB7" i="10"/>
  <c r="AB5" i="10"/>
  <c r="AB4" i="10"/>
  <c r="AB1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BA7AB6-8686-43F0-A64E-E05E5156EFFB}" keepAlive="1" name="Consulta - Clean_Tickets" description="Conexão com a consulta 'Clean_Tickets' na pasta de trabalho." type="5" refreshedVersion="8" refreshOnLoad="1" saveData="1">
    <dbPr connection="Provider=Microsoft.Mashup.OleDb.1;Data Source=$Workbook$;Location=Clean_Tickets;Extended Properties=&quot;&quot;" command="SELECT * FROM [Clean_Tickets]"/>
  </connection>
  <connection id="2" xr16:uid="{F397E0D6-45CB-458A-9FF0-A8F95077AA7F}" keepAlive="1" name="Consulta - SLA_Reference" description="Conexão com a consulta 'SLA_Reference' na pasta de trabalho." type="5" refreshedVersion="8" background="1" saveData="1">
    <dbPr connection="Provider=Microsoft.Mashup.OleDb.1;Data Source=$Workbook$;Location=SLA_Reference;Extended Properties=&quot;&quot;" command="SELECT * FROM [SLA_Reference]"/>
  </connection>
</connections>
</file>

<file path=xl/sharedStrings.xml><?xml version="1.0" encoding="utf-8"?>
<sst xmlns="http://schemas.openxmlformats.org/spreadsheetml/2006/main" count="32248" uniqueCount="1453">
  <si>
    <t>Total Tickets</t>
  </si>
  <si>
    <t>Open Backlog</t>
  </si>
  <si>
    <t>Average Resolution Time</t>
  </si>
  <si>
    <t>Average CSAT</t>
  </si>
  <si>
    <t>Reopen Rate</t>
  </si>
  <si>
    <t>Escalation Rate</t>
  </si>
  <si>
    <t>Ticket ID</t>
  </si>
  <si>
    <t>Opened At</t>
  </si>
  <si>
    <t>Closed At</t>
  </si>
  <si>
    <t>Status</t>
  </si>
  <si>
    <t>Priority</t>
  </si>
  <si>
    <t>Channel</t>
  </si>
  <si>
    <t>Region</t>
  </si>
  <si>
    <t>Customer Segment</t>
  </si>
  <si>
    <t>Product</t>
  </si>
  <si>
    <t>Category</t>
  </si>
  <si>
    <t>Agent</t>
  </si>
  <si>
    <t>First Response Min</t>
  </si>
  <si>
    <t>CSAT (1-5)</t>
  </si>
  <si>
    <t>Reopen Count</t>
  </si>
  <si>
    <t>Message Count</t>
  </si>
  <si>
    <t>Escalated</t>
  </si>
  <si>
    <t>TKT-00846</t>
  </si>
  <si>
    <t>Resolved</t>
  </si>
  <si>
    <t>Critical</t>
  </si>
  <si>
    <t>Chat</t>
  </si>
  <si>
    <t>Southeast</t>
  </si>
  <si>
    <t>Enterprise</t>
  </si>
  <si>
    <t>CloudDesk</t>
  </si>
  <si>
    <t>Account Access</t>
  </si>
  <si>
    <t>Diego Rocha</t>
  </si>
  <si>
    <t>No</t>
  </si>
  <si>
    <t>TKT-00172</t>
  </si>
  <si>
    <t>Low</t>
  </si>
  <si>
    <t>Northeast</t>
  </si>
  <si>
    <t>SMB</t>
  </si>
  <si>
    <t>FlowCRM</t>
  </si>
  <si>
    <t>Technical Issue</t>
  </si>
  <si>
    <t>Hugo Santos</t>
  </si>
  <si>
    <t>TKT-00202</t>
  </si>
  <si>
    <t>High</t>
  </si>
  <si>
    <t>Web Form</t>
  </si>
  <si>
    <t>Mid-Market</t>
  </si>
  <si>
    <t>InsightBI</t>
  </si>
  <si>
    <t>Gabriela Lima</t>
  </si>
  <si>
    <t>TKT-00354</t>
  </si>
  <si>
    <t>24/04/2026 16:16</t>
  </si>
  <si>
    <t>E-mail</t>
  </si>
  <si>
    <t>PayLink</t>
  </si>
  <si>
    <t>TKT-00973</t>
  </si>
  <si>
    <t>Medium</t>
  </si>
  <si>
    <t>Email</t>
  </si>
  <si>
    <t>Billing</t>
  </si>
  <si>
    <t>TKT-00700</t>
  </si>
  <si>
    <t>South</t>
  </si>
  <si>
    <t>Bruno Silva</t>
  </si>
  <si>
    <t>TKT-00400</t>
  </si>
  <si>
    <t>Open</t>
  </si>
  <si>
    <t>Integration</t>
  </si>
  <si>
    <t>TKT-00283</t>
  </si>
  <si>
    <t>TKT-01092</t>
  </si>
  <si>
    <t>TKT-00494</t>
  </si>
  <si>
    <t>Carla Mendes</t>
  </si>
  <si>
    <t>Yes</t>
  </si>
  <si>
    <t>TKT-00112</t>
  </si>
  <si>
    <t>Phone</t>
  </si>
  <si>
    <t>Midwest</t>
  </si>
  <si>
    <t>Feature Request</t>
  </si>
  <si>
    <t>Felipe Alves</t>
  </si>
  <si>
    <t>TKT-00713</t>
  </si>
  <si>
    <t>TKT-00301</t>
  </si>
  <si>
    <t>Isabela Nunes</t>
  </si>
  <si>
    <t>TKT-00305</t>
  </si>
  <si>
    <t>TKT-00327</t>
  </si>
  <si>
    <t>Pending</t>
  </si>
  <si>
    <t>North</t>
  </si>
  <si>
    <t>Bug</t>
  </si>
  <si>
    <t>TKT-00519</t>
  </si>
  <si>
    <t>TKT-00783</t>
  </si>
  <si>
    <t>2026-08-12 19:37</t>
  </si>
  <si>
    <t>MEDIUM</t>
  </si>
  <si>
    <t>TKT-00947</t>
  </si>
  <si>
    <t>16/04/2026 16:34</t>
  </si>
  <si>
    <t>TKT-00544</t>
  </si>
  <si>
    <t>TKT-01177</t>
  </si>
  <si>
    <t>Amelia Costa</t>
  </si>
  <si>
    <t>TKT-00888</t>
  </si>
  <si>
    <t>25/05/2026 03:42</t>
  </si>
  <si>
    <t>TKT-01077</t>
  </si>
  <si>
    <t>TKT-00893</t>
  </si>
  <si>
    <t>TKT-00832</t>
  </si>
  <si>
    <t>TKT-01098</t>
  </si>
  <si>
    <t>TKT-00970</t>
  </si>
  <si>
    <t>João Ribeiro</t>
  </si>
  <si>
    <t>TKT-00337</t>
  </si>
  <si>
    <t>TKT-00599</t>
  </si>
  <si>
    <t>TKT-01179</t>
  </si>
  <si>
    <t>TKT-00044</t>
  </si>
  <si>
    <t>TKT-01028</t>
  </si>
  <si>
    <t>TKT-00416</t>
  </si>
  <si>
    <t>chat</t>
  </si>
  <si>
    <t>Elena Martins</t>
  </si>
  <si>
    <t>TKT-00169</t>
  </si>
  <si>
    <t>TKT-00523</t>
  </si>
  <si>
    <t>TKT-00654</t>
  </si>
  <si>
    <t>TKT-00785</t>
  </si>
  <si>
    <t>TKT-00149</t>
  </si>
  <si>
    <t>TKT-01099</t>
  </si>
  <si>
    <t>TKT-00862</t>
  </si>
  <si>
    <t>TKT-01136</t>
  </si>
  <si>
    <t>LOW</t>
  </si>
  <si>
    <t>TKT-00890</t>
  </si>
  <si>
    <t>low</t>
  </si>
  <si>
    <t>TKT-00748</t>
  </si>
  <si>
    <t>TKT-00610</t>
  </si>
  <si>
    <t>TKT-00381</t>
  </si>
  <si>
    <t>TKT-01168</t>
  </si>
  <si>
    <t>TKT-00328</t>
  </si>
  <si>
    <t>TKT-00049</t>
  </si>
  <si>
    <t>TKT-00934</t>
  </si>
  <si>
    <t>south</t>
  </si>
  <si>
    <t>TKT-00516</t>
  </si>
  <si>
    <t>TKT-01064</t>
  </si>
  <si>
    <t>TKT-00778</t>
  </si>
  <si>
    <t>TKT-00567</t>
  </si>
  <si>
    <t>email</t>
  </si>
  <si>
    <t>TKT-00239</t>
  </si>
  <si>
    <t>TKT-01002</t>
  </si>
  <si>
    <t>TKT-00263</t>
  </si>
  <si>
    <t>332</t>
  </si>
  <si>
    <t>TKT-00355</t>
  </si>
  <si>
    <t>TKT-00421</t>
  </si>
  <si>
    <t>TKT-00197</t>
  </si>
  <si>
    <t>TKT-00403</t>
  </si>
  <si>
    <t>TKT-00534</t>
  </si>
  <si>
    <t>TKT-00342</t>
  </si>
  <si>
    <t>TKT-00041</t>
  </si>
  <si>
    <t>TKT-00130</t>
  </si>
  <si>
    <t>TKT-00215</t>
  </si>
  <si>
    <t>TKT-00513</t>
  </si>
  <si>
    <t>TKT-00766</t>
  </si>
  <si>
    <t>TKT-01112</t>
  </si>
  <si>
    <t>TKT-00465</t>
  </si>
  <si>
    <t>TKT-00533</t>
  </si>
  <si>
    <t>TKT-00808</t>
  </si>
  <si>
    <t>TKT-00389</t>
  </si>
  <si>
    <t>TKT-00268</t>
  </si>
  <si>
    <t>TKT-00016</t>
  </si>
  <si>
    <t>TKT-00552</t>
  </si>
  <si>
    <t>TKT-00352</t>
  </si>
  <si>
    <t>TKT-00020</t>
  </si>
  <si>
    <t>TKT-00665</t>
  </si>
  <si>
    <t>TKT-00522</t>
  </si>
  <si>
    <t>TKT-00886</t>
  </si>
  <si>
    <t>TKT-00244</t>
  </si>
  <si>
    <t>TKT-00073</t>
  </si>
  <si>
    <t>TKT-00536</t>
  </si>
  <si>
    <t>TKT-00788</t>
  </si>
  <si>
    <t>TKT-00553</t>
  </si>
  <si>
    <t>16</t>
  </si>
  <si>
    <t>TKT-00453</t>
  </si>
  <si>
    <t>TKT-00368</t>
  </si>
  <si>
    <t>TKT-01165</t>
  </si>
  <si>
    <t>billing</t>
  </si>
  <si>
    <t>TKT-00691</t>
  </si>
  <si>
    <t>TKT-01176</t>
  </si>
  <si>
    <t>2026-07-14 10:24</t>
  </si>
  <si>
    <t>TKT-00948</t>
  </si>
  <si>
    <t>TKT-01000</t>
  </si>
  <si>
    <t>2026-02-13 13:27</t>
  </si>
  <si>
    <t>TKT-01025</t>
  </si>
  <si>
    <t>18/03/2026 21:07</t>
  </si>
  <si>
    <t>TKT-00991</t>
  </si>
  <si>
    <t>26/05/2026 01:36</t>
  </si>
  <si>
    <t>TKT-01164</t>
  </si>
  <si>
    <t>TKT-00999</t>
  </si>
  <si>
    <t>TKT-00175</t>
  </si>
  <si>
    <t>TKT-01048</t>
  </si>
  <si>
    <t>TKT-00856</t>
  </si>
  <si>
    <t>TKT-00565</t>
  </si>
  <si>
    <t>TKT-00313</t>
  </si>
  <si>
    <t>06/08/2026 15:26</t>
  </si>
  <si>
    <t>TKT-00586</t>
  </si>
  <si>
    <t>TKT-00641</t>
  </si>
  <si>
    <t>TKT-00386</t>
  </si>
  <si>
    <t>TKT-00940</t>
  </si>
  <si>
    <t>TKT-00233</t>
  </si>
  <si>
    <t>TKT-00429</t>
  </si>
  <si>
    <t>TKT-00585</t>
  </si>
  <si>
    <t>TKT-00694</t>
  </si>
  <si>
    <t>TKT-00419</t>
  </si>
  <si>
    <t>2026-04-10 17:07</t>
  </si>
  <si>
    <t>TKT-00121</t>
  </si>
  <si>
    <t>TKT-00927</t>
  </si>
  <si>
    <t>TKT-00580</t>
  </si>
  <si>
    <t>TKT-01081</t>
  </si>
  <si>
    <t>TKT-00591</t>
  </si>
  <si>
    <t>11/02/2026 01:59</t>
  </si>
  <si>
    <t>TKT-00459</t>
  </si>
  <si>
    <t>TKT-00637</t>
  </si>
  <si>
    <t>TKT-00411</t>
  </si>
  <si>
    <t>TKT-01163</t>
  </si>
  <si>
    <t>TKT-00473</t>
  </si>
  <si>
    <t>TKT-00803</t>
  </si>
  <si>
    <t>TKT-01114</t>
  </si>
  <si>
    <t>26/07/2026 04:39</t>
  </si>
  <si>
    <t>TKT-00173</t>
  </si>
  <si>
    <t>06/03/2026 20:23</t>
  </si>
  <si>
    <t>TKT-00976</t>
  </si>
  <si>
    <t>TKT-00679</t>
  </si>
  <si>
    <t>187</t>
  </si>
  <si>
    <t>TKT-00480</t>
  </si>
  <si>
    <t>north</t>
  </si>
  <si>
    <t>TKT-00086</t>
  </si>
  <si>
    <t>TKT-00848</t>
  </si>
  <si>
    <t>TKT-01072</t>
  </si>
  <si>
    <t>TKT-00752</t>
  </si>
  <si>
    <t>TKT-00138</t>
  </si>
  <si>
    <t>TKT-01079</t>
  </si>
  <si>
    <t>TKT-00271</t>
  </si>
  <si>
    <t>TKT-00634</t>
  </si>
  <si>
    <t>TKT-00097</t>
  </si>
  <si>
    <t>2026-08-03 10:02</t>
  </si>
  <si>
    <t>TKT-00256</t>
  </si>
  <si>
    <t>TKT-01051</t>
  </si>
  <si>
    <t>TKT-00749</t>
  </si>
  <si>
    <t>TKT-00863</t>
  </si>
  <si>
    <t>TKT-00497</t>
  </si>
  <si>
    <t>TKT-00103</t>
  </si>
  <si>
    <t>TKT-00784</t>
  </si>
  <si>
    <t>TKT-00545</t>
  </si>
  <si>
    <t>TKT-00722</t>
  </si>
  <si>
    <t>23</t>
  </si>
  <si>
    <t>TKT-01087</t>
  </si>
  <si>
    <t>phone</t>
  </si>
  <si>
    <t>TKT-00593</t>
  </si>
  <si>
    <t>TKT-00581</t>
  </si>
  <si>
    <t>TKT-01058</t>
  </si>
  <si>
    <t>TKT-00387</t>
  </si>
  <si>
    <t>TKT-00030</t>
  </si>
  <si>
    <t>17/01/2026 18:10</t>
  </si>
  <si>
    <t>TKT-00898</t>
  </si>
  <si>
    <t>TKT-00916</t>
  </si>
  <si>
    <t>TKT-00768</t>
  </si>
  <si>
    <t>TKT-00474</t>
  </si>
  <si>
    <t>TKT-01101</t>
  </si>
  <si>
    <t>TKT-00604</t>
  </si>
  <si>
    <t>TKT-01008</t>
  </si>
  <si>
    <t>TKT-00191</t>
  </si>
  <si>
    <t>TKT-00861</t>
  </si>
  <si>
    <t>TKT-00698</t>
  </si>
  <si>
    <t>account access</t>
  </si>
  <si>
    <t>TKT-00270</t>
  </si>
  <si>
    <t>13/02/2026 13:00</t>
  </si>
  <si>
    <t>TKT-00297</t>
  </si>
  <si>
    <t>TKT-00326</t>
  </si>
  <si>
    <t>TKT-00374</t>
  </si>
  <si>
    <t>TKT-00741</t>
  </si>
  <si>
    <t>TKT-00820</t>
  </si>
  <si>
    <t>southeast</t>
  </si>
  <si>
    <t>TKT-00831</t>
  </si>
  <si>
    <t>TKT-00645</t>
  </si>
  <si>
    <t>TKT-00353</t>
  </si>
  <si>
    <t>TKT-00194</t>
  </si>
  <si>
    <t>TKT-00471</t>
  </si>
  <si>
    <t>TKT-00151</t>
  </si>
  <si>
    <t>TKT-00959</t>
  </si>
  <si>
    <t>TKT-00614</t>
  </si>
  <si>
    <t>TKT-00135</t>
  </si>
  <si>
    <t>TKT-00341</t>
  </si>
  <si>
    <t>TKT-00601</t>
  </si>
  <si>
    <t>TKT-00695</t>
  </si>
  <si>
    <t>27/07/2026 15:22</t>
  </si>
  <si>
    <t>67</t>
  </si>
  <si>
    <t>TKT-00575</t>
  </si>
  <si>
    <t>TKT-00520</t>
  </si>
  <si>
    <t>high</t>
  </si>
  <si>
    <t>TKT-00725</t>
  </si>
  <si>
    <t>TKT-00767</t>
  </si>
  <si>
    <t>TKT-01129</t>
  </si>
  <si>
    <t>TKT-00528</t>
  </si>
  <si>
    <t>TKT-00603</t>
  </si>
  <si>
    <t>01/02/2026 19:04</t>
  </si>
  <si>
    <t>TKT-00571</t>
  </si>
  <si>
    <t>TKT-00764</t>
  </si>
  <si>
    <t>TKT-00274</t>
  </si>
  <si>
    <t>TKT-00657</t>
  </si>
  <si>
    <t>TKT-01150</t>
  </si>
  <si>
    <t>2026-08-20 22:46</t>
  </si>
  <si>
    <t>TKT-00692</t>
  </si>
  <si>
    <t>79</t>
  </si>
  <si>
    <t>TKT-00717</t>
  </si>
  <si>
    <t>TKT-00684</t>
  </si>
  <si>
    <t>TKT-00966</t>
  </si>
  <si>
    <t>TKT-00034</t>
  </si>
  <si>
    <t>TKT-00770</t>
  </si>
  <si>
    <t>TKT-00765</t>
  </si>
  <si>
    <t>TKT-00828</t>
  </si>
  <si>
    <t>TKT-00371</t>
  </si>
  <si>
    <t>TKT-00124</t>
  </si>
  <si>
    <t>TKT-00712</t>
  </si>
  <si>
    <t>2026-05-20 01:39</t>
  </si>
  <si>
    <t>TKT-00640</t>
  </si>
  <si>
    <t>TKT-00688</t>
  </si>
  <si>
    <t>16/01/2026 17:30</t>
  </si>
  <si>
    <t>TKT-00299</t>
  </si>
  <si>
    <t>114</t>
  </si>
  <si>
    <t>TKT-00409</t>
  </si>
  <si>
    <t>TKT-01169</t>
  </si>
  <si>
    <t>TKT-00595</t>
  </si>
  <si>
    <t>TKT-01096</t>
  </si>
  <si>
    <t>TKT-00650</t>
  </si>
  <si>
    <t>TKT-00481</t>
  </si>
  <si>
    <t>TKT-00557</t>
  </si>
  <si>
    <t>TKT-01045</t>
  </si>
  <si>
    <t>TKT-01015</t>
  </si>
  <si>
    <t>TKT-00269</t>
  </si>
  <si>
    <t>TKT-01146</t>
  </si>
  <si>
    <t>TKT-00902</t>
  </si>
  <si>
    <t>TKT-00791</t>
  </si>
  <si>
    <t>TKT-00114</t>
  </si>
  <si>
    <t>TKT-00906</t>
  </si>
  <si>
    <t>TKT-00822</t>
  </si>
  <si>
    <t>TKT-00492</t>
  </si>
  <si>
    <t>TKT-00870</t>
  </si>
  <si>
    <t>07/02/2026 02:00</t>
  </si>
  <si>
    <t>TKT-00800</t>
  </si>
  <si>
    <t>TKT-00913</t>
  </si>
  <si>
    <t>TKT-00199</t>
  </si>
  <si>
    <t>TKT-00814</t>
  </si>
  <si>
    <t>TKT-00045</t>
  </si>
  <si>
    <t>TKT-01125</t>
  </si>
  <si>
    <t>web form</t>
  </si>
  <si>
    <t>TKT-00805</t>
  </si>
  <si>
    <t>TKT-00242</t>
  </si>
  <si>
    <t>TKT-00582</t>
  </si>
  <si>
    <t>TKT-00335</t>
  </si>
  <si>
    <t>TKT-00460</t>
  </si>
  <si>
    <t>TKT-01166</t>
  </si>
  <si>
    <t>TKT-00780</t>
  </si>
  <si>
    <t>26/02/2026 13:26</t>
  </si>
  <si>
    <t>TKT-01070</t>
  </si>
  <si>
    <t>TKT-00196</t>
  </si>
  <si>
    <t>TKT-00104</t>
  </si>
  <si>
    <t>TKT-00227</t>
  </si>
  <si>
    <t>TKT-00872</t>
  </si>
  <si>
    <t>TKT-00229</t>
  </si>
  <si>
    <t>TKT-00794</t>
  </si>
  <si>
    <t>TKT-00247</t>
  </si>
  <si>
    <t>TKT-00572</t>
  </si>
  <si>
    <t>TKT-00817</t>
  </si>
  <si>
    <t>TKT-00295</t>
  </si>
  <si>
    <t>TKT-00837</t>
  </si>
  <si>
    <t>TKT-00026</t>
  </si>
  <si>
    <t>TKT-00823</t>
  </si>
  <si>
    <t>TKT-00576</t>
  </si>
  <si>
    <t>TKT-00425</t>
  </si>
  <si>
    <t>TKT-00627</t>
  </si>
  <si>
    <t>northeast</t>
  </si>
  <si>
    <t>81</t>
  </si>
  <si>
    <t>TKT-00266</t>
  </si>
  <si>
    <t>TKT-00987</t>
  </si>
  <si>
    <t>14/01/2026 17:36</t>
  </si>
  <si>
    <t>TKT-00583</t>
  </si>
  <si>
    <t>TKT-00463</t>
  </si>
  <si>
    <t>TKT-01171</t>
  </si>
  <si>
    <t>TKT-00910</t>
  </si>
  <si>
    <t>TKT-00807</t>
  </si>
  <si>
    <t>TKT-00923</t>
  </si>
  <si>
    <t>TKT-00919</t>
  </si>
  <si>
    <t>TKT-00792</t>
  </si>
  <si>
    <t>TKT-00390</t>
  </si>
  <si>
    <t>TKT-00380</t>
  </si>
  <si>
    <t>TKT-00007</t>
  </si>
  <si>
    <t>TKT-00556</t>
  </si>
  <si>
    <t>TKT-00363</t>
  </si>
  <si>
    <t>TKT-00737</t>
  </si>
  <si>
    <t>TKT-00431</t>
  </si>
  <si>
    <t>TKT-00769</t>
  </si>
  <si>
    <t>16/07/2026 09:12</t>
  </si>
  <si>
    <t>TKT-00946</t>
  </si>
  <si>
    <t>TKT-00267</t>
  </si>
  <si>
    <t>TKT-00920</t>
  </si>
  <si>
    <t>TKT-01024</t>
  </si>
  <si>
    <t>TKT-00931</t>
  </si>
  <si>
    <t>TKT-00532</t>
  </si>
  <si>
    <t>TKT-00866</t>
  </si>
  <si>
    <t>TKT-00639</t>
  </si>
  <si>
    <t>TKT-00843</t>
  </si>
  <si>
    <t>TKT-00257</t>
  </si>
  <si>
    <t>TKT-00795</t>
  </si>
  <si>
    <t>TKT-00661</t>
  </si>
  <si>
    <t>TKT-00865</t>
  </si>
  <si>
    <t>TKT-00598</t>
  </si>
  <si>
    <t>TKT-00448</t>
  </si>
  <si>
    <t>TKT-00211</t>
  </si>
  <si>
    <t>TKT-00540</t>
  </si>
  <si>
    <t>TKT-00377</t>
  </si>
  <si>
    <t>TKT-00095</t>
  </si>
  <si>
    <t>28/04/2026 12:50</t>
  </si>
  <si>
    <t>TKT-00472</t>
  </si>
  <si>
    <t>TKT-00064</t>
  </si>
  <si>
    <t>TKT-00952</t>
  </si>
  <si>
    <t>TKT-01161</t>
  </si>
  <si>
    <t>TKT-01069</t>
  </si>
  <si>
    <t>feature request</t>
  </si>
  <si>
    <t>TKT-00322</t>
  </si>
  <si>
    <t>TKT-00983</t>
  </si>
  <si>
    <t>TKT-01145</t>
  </si>
  <si>
    <t>TKT-00957</t>
  </si>
  <si>
    <t>179</t>
  </si>
  <si>
    <t>TKT-00467</t>
  </si>
  <si>
    <t>TKT-00152</t>
  </si>
  <si>
    <t>TKT-00070</t>
  </si>
  <si>
    <t>TKT-00069</t>
  </si>
  <si>
    <t>TKT-00356</t>
  </si>
  <si>
    <t>TKT-00775</t>
  </si>
  <si>
    <t>TKT-00158</t>
  </si>
  <si>
    <t>TKT-00082</t>
  </si>
  <si>
    <t>TKT-01151</t>
  </si>
  <si>
    <t>TKT-00259</t>
  </si>
  <si>
    <t>TKT-01050</t>
  </si>
  <si>
    <t>TKT-01014</t>
  </si>
  <si>
    <t>TKT-00633</t>
  </si>
  <si>
    <t>TKT-00525</t>
  </si>
  <si>
    <t>TKT-01011</t>
  </si>
  <si>
    <t>TKT-00629</t>
  </si>
  <si>
    <t>TKT-00450</t>
  </si>
  <si>
    <t>TKT-00164</t>
  </si>
  <si>
    <t>TKT-00182</t>
  </si>
  <si>
    <t>TKT-00617</t>
  </si>
  <si>
    <t>TKT-00077</t>
  </si>
  <si>
    <t>2026-08-21 09:46</t>
  </si>
  <si>
    <t>TKT-00850</t>
  </si>
  <si>
    <t>TKT-01138</t>
  </si>
  <si>
    <t>TKT-01123</t>
  </si>
  <si>
    <t>TKT-00248</t>
  </si>
  <si>
    <t>11/03/2026 11:45</t>
  </si>
  <si>
    <t>171</t>
  </si>
  <si>
    <t>TKT-00854</t>
  </si>
  <si>
    <t>TKT-00656</t>
  </si>
  <si>
    <t>TKT-00094</t>
  </si>
  <si>
    <t>TKT-00133</t>
  </si>
  <si>
    <t>TKT-00574</t>
  </si>
  <si>
    <t>TKT-00880</t>
  </si>
  <si>
    <t>TKT-00052</t>
  </si>
  <si>
    <t>TKT-01143</t>
  </si>
  <si>
    <t>TKT-01083</t>
  </si>
  <si>
    <t>TKT-00088</t>
  </si>
  <si>
    <t>TKT-00483</t>
  </si>
  <si>
    <t>TKT-00369</t>
  </si>
  <si>
    <t>TKT-01160</t>
  </si>
  <si>
    <t>TKT-00696</t>
  </si>
  <si>
    <t>TKT-00388</t>
  </si>
  <si>
    <t>31/01/2026 11:39</t>
  </si>
  <si>
    <t>TKT-01036</t>
  </si>
  <si>
    <t>TKT-00990</t>
  </si>
  <si>
    <t>TKT-00621</t>
  </si>
  <si>
    <t>TKT-00046</t>
  </si>
  <si>
    <t>TKT-00414</t>
  </si>
  <si>
    <t>TKT-01046</t>
  </si>
  <si>
    <t>TKT-00059</t>
  </si>
  <si>
    <t>192</t>
  </si>
  <si>
    <t>TKT-00705</t>
  </si>
  <si>
    <t>TKT-00897</t>
  </si>
  <si>
    <t>TKT-00549</t>
  </si>
  <si>
    <t>24/06/2026 03:45</t>
  </si>
  <si>
    <t>TKT-00178</t>
  </si>
  <si>
    <t>TKT-00845</t>
  </si>
  <si>
    <t>TKT-00362</t>
  </si>
  <si>
    <t>TKT-00671</t>
  </si>
  <si>
    <t>TKT-01053</t>
  </si>
  <si>
    <t>TKT-01054</t>
  </si>
  <si>
    <t>TKT-00538</t>
  </si>
  <si>
    <t>TKT-00011</t>
  </si>
  <si>
    <t>TKT-00953</t>
  </si>
  <si>
    <t>TKT-00035</t>
  </si>
  <si>
    <t>TKT-00858</t>
  </si>
  <si>
    <t>30/05/2026 08:03</t>
  </si>
  <si>
    <t>TKT-00857</t>
  </si>
  <si>
    <t>TKT-00311</t>
  </si>
  <si>
    <t>TKT-00798</t>
  </si>
  <si>
    <t>TKT-00635</t>
  </si>
  <si>
    <t>TKT-00417</t>
  </si>
  <si>
    <t>TKT-00340</t>
  </si>
  <si>
    <t>TKT-00219</t>
  </si>
  <si>
    <t>TKT-00716</t>
  </si>
  <si>
    <t>TKT-00292</t>
  </si>
  <si>
    <t>TKT-00980</t>
  </si>
  <si>
    <t>TKT-00273</t>
  </si>
  <si>
    <t>TKT-00496</t>
  </si>
  <si>
    <t>TKT-00895</t>
  </si>
  <si>
    <t>TKT-00200</t>
  </si>
  <si>
    <t>TKT-00554</t>
  </si>
  <si>
    <t>TKT-01007</t>
  </si>
  <si>
    <t>TKT-00521</t>
  </si>
  <si>
    <t>TKT-00160</t>
  </si>
  <si>
    <t>TKT-00853</t>
  </si>
  <si>
    <t>TKT-00300</t>
  </si>
  <si>
    <t>TKT-00584</t>
  </si>
  <si>
    <t>TKT-00367</t>
  </si>
  <si>
    <t>TKT-00128</t>
  </si>
  <si>
    <t>20/01/2026 10:13</t>
  </si>
  <si>
    <t>TKT-00067</t>
  </si>
  <si>
    <t>TKT-00636</t>
  </si>
  <si>
    <t>TKT-01075</t>
  </si>
  <si>
    <t>TKT-01103</t>
  </si>
  <si>
    <t>TKT-01120</t>
  </si>
  <si>
    <t>TKT-00796</t>
  </si>
  <si>
    <t>TKT-00963</t>
  </si>
  <si>
    <t>TKT-00391</t>
  </si>
  <si>
    <t>TKT-00189</t>
  </si>
  <si>
    <t>TKT-00372</t>
  </si>
  <si>
    <t>TKT-00195</t>
  </si>
  <si>
    <t>TKT-00331</t>
  </si>
  <si>
    <t>TKT-00524</t>
  </si>
  <si>
    <t>TKT-00359</t>
  </si>
  <si>
    <t>TKT-00962</t>
  </si>
  <si>
    <t>TKT-00048</t>
  </si>
  <si>
    <t>TKT-00928</t>
  </si>
  <si>
    <t>TKT-00643</t>
  </si>
  <si>
    <t>TKT-00438</t>
  </si>
  <si>
    <t>2026-04-08 20:43</t>
  </si>
  <si>
    <t>TKT-01074</t>
  </si>
  <si>
    <t>TKT-00068</t>
  </si>
  <si>
    <t>TKT-00506</t>
  </si>
  <si>
    <t>TKT-00120</t>
  </si>
  <si>
    <t>TKT-00731</t>
  </si>
  <si>
    <t>TKT-00651</t>
  </si>
  <si>
    <t>TKT-00407</t>
  </si>
  <si>
    <t>TKT-00204</t>
  </si>
  <si>
    <t>TKT-00099</t>
  </si>
  <si>
    <t>TKT-01061</t>
  </si>
  <si>
    <t>TKT-00393</t>
  </si>
  <si>
    <t>TKT-01097</t>
  </si>
  <si>
    <t>TKT-00611</t>
  </si>
  <si>
    <t>TKT-00740</t>
  </si>
  <si>
    <t>TKT-00293</t>
  </si>
  <si>
    <t>TKT-00408</t>
  </si>
  <si>
    <t>TKT-00841</t>
  </si>
  <si>
    <t>TKT-00852</t>
  </si>
  <si>
    <t>TKT-00180</t>
  </si>
  <si>
    <t>TKT-00550</t>
  </si>
  <si>
    <t>TKT-00924</t>
  </si>
  <si>
    <t>TKT-00412</t>
  </si>
  <si>
    <t>TKT-00118</t>
  </si>
  <si>
    <t>TKT-00909</t>
  </si>
  <si>
    <t>TKT-00892</t>
  </si>
  <si>
    <t>TKT-00622</t>
  </si>
  <si>
    <t>TKT-00864</t>
  </si>
  <si>
    <t>TKT-00750</t>
  </si>
  <si>
    <t>bug</t>
  </si>
  <si>
    <t>TKT-00216</t>
  </si>
  <si>
    <t>TKT-00230</t>
  </si>
  <si>
    <t>TKT-00434</t>
  </si>
  <si>
    <t>TKT-00447</t>
  </si>
  <si>
    <t>TKT-00721</t>
  </si>
  <si>
    <t>TKT-01140</t>
  </si>
  <si>
    <t>TKT-00652</t>
  </si>
  <si>
    <t>TKT-00755</t>
  </si>
  <si>
    <t>TKT-00028</t>
  </si>
  <si>
    <t>TKT-00232</t>
  </si>
  <si>
    <t>TKT-00307</t>
  </si>
  <si>
    <t>TKT-00773</t>
  </si>
  <si>
    <t>TKT-00370</t>
  </si>
  <si>
    <t>TKT-00243</t>
  </si>
  <si>
    <t>TKT-00511</t>
  </si>
  <si>
    <t>TKT-00245</t>
  </si>
  <si>
    <t>TKT-00286</t>
  </si>
  <si>
    <t>TKT-00091</t>
  </si>
  <si>
    <t>2026-01-31 17:43</t>
  </si>
  <si>
    <t>TKT-00105</t>
  </si>
  <si>
    <t>TKT-00829</t>
  </si>
  <si>
    <t>TKT-00943</t>
  </si>
  <si>
    <t>TKT-00361</t>
  </si>
  <si>
    <t>25/03/2026 00:32</t>
  </si>
  <si>
    <t>TKT-01032</t>
  </si>
  <si>
    <t>TKT-00317</t>
  </si>
  <si>
    <t>113</t>
  </si>
  <si>
    <t>TKT-01041</t>
  </si>
  <si>
    <t>TKT-01108</t>
  </si>
  <si>
    <t>TKT-00738</t>
  </si>
  <si>
    <t>TKT-00366</t>
  </si>
  <si>
    <t>TKT-00325</t>
  </si>
  <si>
    <t>TKT-00529</t>
  </si>
  <si>
    <t>TKT-00056</t>
  </si>
  <si>
    <t>TKT-00468</t>
  </si>
  <si>
    <t>TKT-00941</t>
  </si>
  <si>
    <t>TKT-00615</t>
  </si>
  <si>
    <t>TKT-00498</t>
  </si>
  <si>
    <t>TKT-00493</t>
  </si>
  <si>
    <t>TKT-00319</t>
  </si>
  <si>
    <t>TKT-00392</t>
  </si>
  <si>
    <t>TKT-00296</t>
  </si>
  <si>
    <t>TKT-00008</t>
  </si>
  <si>
    <t>medium</t>
  </si>
  <si>
    <t>TKT-00276</t>
  </si>
  <si>
    <t>TKT-01180</t>
  </si>
  <si>
    <t>TKT-00235</t>
  </si>
  <si>
    <t>TKT-00830</t>
  </si>
  <si>
    <t>TKT-00541</t>
  </si>
  <si>
    <t>technical issue</t>
  </si>
  <si>
    <t>TKT-00628</t>
  </si>
  <si>
    <t>midwest</t>
  </si>
  <si>
    <t>TKT-00476</t>
  </si>
  <si>
    <t>TKT-00397</t>
  </si>
  <si>
    <t>TKT-00136</t>
  </si>
  <si>
    <t>TKT-00517</t>
  </si>
  <si>
    <t>TKT-00436</t>
  </si>
  <si>
    <t>TKT-00669</t>
  </si>
  <si>
    <t>TKT-00446</t>
  </si>
  <si>
    <t>TKT-00715</t>
  </si>
  <si>
    <t>TKT-00708</t>
  </si>
  <si>
    <t>TKT-00649</t>
  </si>
  <si>
    <t>TKT-00042</t>
  </si>
  <si>
    <t>TKT-00470</t>
  </si>
  <si>
    <t>TKT-01084</t>
  </si>
  <si>
    <t>TKT-00938</t>
  </si>
  <si>
    <t>02/02/2026 02:04</t>
  </si>
  <si>
    <t>203</t>
  </si>
  <si>
    <t>TKT-00161</t>
  </si>
  <si>
    <t>TKT-00728</t>
  </si>
  <si>
    <t>TKT-00445</t>
  </si>
  <si>
    <t>TKT-00122</t>
  </si>
  <si>
    <t>critical</t>
  </si>
  <si>
    <t>TKT-00742</t>
  </si>
  <si>
    <t>TKT-00707</t>
  </si>
  <si>
    <t>110</t>
  </si>
  <si>
    <t>TKT-00093</t>
  </si>
  <si>
    <t>TKT-00316</t>
  </si>
  <si>
    <t>TKT-01018</t>
  </si>
  <si>
    <t>TKT-00682</t>
  </si>
  <si>
    <t>18/03/2026 05:20</t>
  </si>
  <si>
    <t>TKT-00330</t>
  </si>
  <si>
    <t>TKT-00921</t>
  </si>
  <si>
    <t>TKT-00904</t>
  </si>
  <si>
    <t>TKT-00937</t>
  </si>
  <si>
    <t>TKT-00561</t>
  </si>
  <si>
    <t>TKT-00875</t>
  </si>
  <si>
    <t>TKT-00051</t>
  </si>
  <si>
    <t>TKT-00950</t>
  </si>
  <si>
    <t>TKT-01020</t>
  </si>
  <si>
    <t>TKT-00039</t>
  </si>
  <si>
    <t>TKT-00907</t>
  </si>
  <si>
    <t>TKT-00349</t>
  </si>
  <si>
    <t>TKT-00824</t>
  </si>
  <si>
    <t>TKT-00137</t>
  </si>
  <si>
    <t>TKT-00126</t>
  </si>
  <si>
    <t>17/02/2026 06:48</t>
  </si>
  <si>
    <t>TKT-00504</t>
  </si>
  <si>
    <t>TKT-00132</t>
  </si>
  <si>
    <t>TKT-00612</t>
  </si>
  <si>
    <t>TKT-00110</t>
  </si>
  <si>
    <t>TKT-00310</t>
  </si>
  <si>
    <t>TKT-01153</t>
  </si>
  <si>
    <t>TKT-00218</t>
  </si>
  <si>
    <t>TKT-00314</t>
  </si>
  <si>
    <t>TKT-00685</t>
  </si>
  <si>
    <t>TKT-00066</t>
  </si>
  <si>
    <t>10/02/2026 23:08</t>
  </si>
  <si>
    <t>TKT-01147</t>
  </si>
  <si>
    <t>TKT-00642</t>
  </si>
  <si>
    <t>TKT-01089</t>
  </si>
  <si>
    <t>TKT-00333</t>
  </si>
  <si>
    <t>TKT-00936</t>
  </si>
  <si>
    <t>TKT-00869</t>
  </si>
  <si>
    <t>TKT-00664</t>
  </si>
  <si>
    <t>TKT-00047</t>
  </si>
  <si>
    <t>TKT-00802</t>
  </si>
  <si>
    <t>TKT-00548</t>
  </si>
  <si>
    <t>TKT-00578</t>
  </si>
  <si>
    <t>TKT-00198</t>
  </si>
  <si>
    <t>TKT-00624</t>
  </si>
  <si>
    <t>TKT-01023</t>
  </si>
  <si>
    <t>TKT-00050</t>
  </si>
  <si>
    <t>TKT-00249</t>
  </si>
  <si>
    <t>TKT-00690</t>
  </si>
  <si>
    <t>TKT-01175</t>
  </si>
  <si>
    <t>TKT-00526</t>
  </si>
  <si>
    <t>TKT-00456</t>
  </si>
  <si>
    <t>TKT-00036</t>
  </si>
  <si>
    <t>TKT-01128</t>
  </si>
  <si>
    <t>TKT-00917</t>
  </si>
  <si>
    <t>TKT-00444</t>
  </si>
  <si>
    <t>TKT-00399</t>
  </si>
  <si>
    <t>TKT-01110</t>
  </si>
  <si>
    <t>TKT-00241</t>
  </si>
  <si>
    <t>TKT-00673</t>
  </si>
  <si>
    <t>TKT-00677</t>
  </si>
  <si>
    <t>01/04/2026 13:55</t>
  </si>
  <si>
    <t>TKT-00228</t>
  </si>
  <si>
    <t>19/07/2026 04:35</t>
  </si>
  <si>
    <t>TKT-00915</t>
  </si>
  <si>
    <t>TKT-00996</t>
  </si>
  <si>
    <t>TKT-00432</t>
  </si>
  <si>
    <t>TKT-00060</t>
  </si>
  <si>
    <t>TKT-00932</t>
  </si>
  <si>
    <t>TKT-00357</t>
  </si>
  <si>
    <t>TKT-00693</t>
  </si>
  <si>
    <t>TKT-00422</t>
  </si>
  <si>
    <t>TKT-00210</t>
  </si>
  <si>
    <t>TKT-00879</t>
  </si>
  <si>
    <t>TKT-00437</t>
  </si>
  <si>
    <t>30/01/2026 12:24</t>
  </si>
  <si>
    <t>TKT-00659</t>
  </si>
  <si>
    <t>TKT-00569</t>
  </si>
  <si>
    <t>TKT-01137</t>
  </si>
  <si>
    <t>03/05/2026 22:18</t>
  </si>
  <si>
    <t>TKT-00600</t>
  </si>
  <si>
    <t>TKT-01118</t>
  </si>
  <si>
    <t>TKT-00234</t>
  </si>
  <si>
    <t>TKT-00779</t>
  </si>
  <si>
    <t>TKT-00261</t>
  </si>
  <si>
    <t>12/04/2026 00:11</t>
  </si>
  <si>
    <t>TKT-00461</t>
  </si>
  <si>
    <t>TKT-00608</t>
  </si>
  <si>
    <t>TKT-00170</t>
  </si>
  <si>
    <t>TKT-00974</t>
  </si>
  <si>
    <t>TKT-01119</t>
  </si>
  <si>
    <t>TKT-00706</t>
  </si>
  <si>
    <t>TKT-00977</t>
  </si>
  <si>
    <t>TKT-00207</t>
  </si>
  <si>
    <t>TKT-00844</t>
  </si>
  <si>
    <t>TKT-00711</t>
  </si>
  <si>
    <t>TKT-00646</t>
  </si>
  <si>
    <t>TKT-00002</t>
  </si>
  <si>
    <t>12/04/2026 07:53</t>
  </si>
  <si>
    <t>TKT-00023</t>
  </si>
  <si>
    <t>TKT-00555</t>
  </si>
  <si>
    <t>TKT-00157</t>
  </si>
  <si>
    <t>TKT-00842</t>
  </si>
  <si>
    <t>TKT-00488</t>
  </si>
  <si>
    <t>TKT-00811</t>
  </si>
  <si>
    <t>TKT-00413</t>
  </si>
  <si>
    <t>TKT-00680</t>
  </si>
  <si>
    <t>TKT-00801</t>
  </si>
  <si>
    <t>TKT-00079</t>
  </si>
  <si>
    <t>TKT-00428</t>
  </si>
  <si>
    <t>TKT-00733</t>
  </si>
  <si>
    <t>TKT-00153</t>
  </si>
  <si>
    <t>TKT-00964</t>
  </si>
  <si>
    <t>TKT-00024</t>
  </si>
  <si>
    <t>TKT-01121</t>
  </si>
  <si>
    <t>TKT-00885</t>
  </si>
  <si>
    <t>TKT-01017</t>
  </si>
  <si>
    <t>TKT-00490</t>
  </si>
  <si>
    <t>TKT-00995</t>
  </si>
  <si>
    <t>TKT-00140</t>
  </si>
  <si>
    <t>TKT-01078</t>
  </si>
  <si>
    <t>TKT-00115</t>
  </si>
  <si>
    <t>TKT-00965</t>
  </si>
  <si>
    <t>TKT-01178</t>
  </si>
  <si>
    <t>TKT-00251</t>
  </si>
  <si>
    <t>TKT-00577</t>
  </si>
  <si>
    <t>TKT-00146</t>
  </si>
  <si>
    <t>TKT-00143</t>
  </si>
  <si>
    <t>TKT-00254</t>
  </si>
  <si>
    <t>TKT-00887</t>
  </si>
  <si>
    <t>TKT-00487</t>
  </si>
  <si>
    <t>TKT-00462</t>
  </si>
  <si>
    <t>integration</t>
  </si>
  <si>
    <t>TKT-00458</t>
  </si>
  <si>
    <t>TKT-01109</t>
  </si>
  <si>
    <t>TKT-01033</t>
  </si>
  <si>
    <t>TKT-00309</t>
  </si>
  <si>
    <t>TKT-01141</t>
  </si>
  <si>
    <t>TKT-00809</t>
  </si>
  <si>
    <t>TKT-01060</t>
  </si>
  <si>
    <t>88</t>
  </si>
  <si>
    <t>TKT-00221</t>
  </si>
  <si>
    <t>TKT-00672</t>
  </si>
  <si>
    <t>TKT-00514</t>
  </si>
  <si>
    <t>TKT-00081</t>
  </si>
  <si>
    <t>TKT-00503</t>
  </si>
  <si>
    <t>TKT-00282</t>
  </si>
  <si>
    <t>TKT-00666</t>
  </si>
  <si>
    <t>TKT-01162</t>
  </si>
  <si>
    <t>TKT-00806</t>
  </si>
  <si>
    <t>TKT-01076</t>
  </si>
  <si>
    <t>TKT-00485</t>
  </si>
  <si>
    <t>TKT-00670</t>
  </si>
  <si>
    <t>TKT-01063</t>
  </si>
  <si>
    <t>TKT-00264</t>
  </si>
  <si>
    <t>TKT-00277</t>
  </si>
  <si>
    <t>TKT-00201</t>
  </si>
  <si>
    <t>TKT-00072</t>
  </si>
  <si>
    <t>TKT-00404</t>
  </si>
  <si>
    <t>TKT-00350</t>
  </si>
  <si>
    <t>TKT-00979</t>
  </si>
  <si>
    <t>TKT-01154</t>
  </si>
  <si>
    <t>TKT-00457</t>
  </si>
  <si>
    <t>TKT-00648</t>
  </si>
  <si>
    <t>TKT-00877</t>
  </si>
  <si>
    <t>TKT-00607</t>
  </si>
  <si>
    <t>TKT-00776</t>
  </si>
  <si>
    <t>11/03/2026 12:20</t>
  </si>
  <si>
    <t>TKT-00662</t>
  </si>
  <si>
    <t>TKT-00655</t>
  </si>
  <si>
    <t>TKT-00260</t>
  </si>
  <si>
    <t>TKT-00739</t>
  </si>
  <si>
    <t>TKT-00847</t>
  </si>
  <si>
    <t>TKT-00851</t>
  </si>
  <si>
    <t>TKT-00038</t>
  </si>
  <si>
    <t>TKT-00482</t>
  </si>
  <si>
    <t>04/01/2026 07:10</t>
  </si>
  <si>
    <t>TKT-00676</t>
  </si>
  <si>
    <t>TKT-00375</t>
  </si>
  <si>
    <t>TKT-00332</t>
  </si>
  <si>
    <t>TKT-00653</t>
  </si>
  <si>
    <t>TKT-00278</t>
  </si>
  <si>
    <t>TKT-00956</t>
  </si>
  <si>
    <t>TKT-00125</t>
  </si>
  <si>
    <t>TKT-00745</t>
  </si>
  <si>
    <t>TKT-00573</t>
  </si>
  <si>
    <t>TKT-00217</t>
  </si>
  <si>
    <t>TKT-00689</t>
  </si>
  <si>
    <t>TKT-00439</t>
  </si>
  <si>
    <t>TKT-00774</t>
  </si>
  <si>
    <t>TKT-00632</t>
  </si>
  <si>
    <t>TKT-00021</t>
  </si>
  <si>
    <t>2026-03-10 01:53</t>
  </si>
  <si>
    <t>TKT-00010</t>
  </si>
  <si>
    <t>TKT-00763</t>
  </si>
  <si>
    <t>TKT-00729</t>
  </si>
  <si>
    <t>TKT-00222</t>
  </si>
  <si>
    <t>TKT-00013</t>
  </si>
  <si>
    <t>TKT-00184</t>
  </si>
  <si>
    <t>TKT-01111</t>
  </si>
  <si>
    <t>TKT-00406</t>
  </si>
  <si>
    <t>TKT-00102</t>
  </si>
  <si>
    <t>TKT-00092</t>
  </si>
  <si>
    <t>TKT-00804</t>
  </si>
  <si>
    <t>TKT-01022</t>
  </si>
  <si>
    <t>TKT-00594</t>
  </si>
  <si>
    <t>TKT-00878</t>
  </si>
  <si>
    <t>74</t>
  </si>
  <si>
    <t>TKT-00012</t>
  </si>
  <si>
    <t>TKT-00289</t>
  </si>
  <si>
    <t>TKT-00535</t>
  </si>
  <si>
    <t>TKT-00699</t>
  </si>
  <si>
    <t>TKT-00620</t>
  </si>
  <si>
    <t>TKT-00214</t>
  </si>
  <si>
    <t>31/03/2026 16:50</t>
  </si>
  <si>
    <t>TKT-00168</t>
  </si>
  <si>
    <t>TKT-00726</t>
  </si>
  <si>
    <t>TKT-00911</t>
  </si>
  <si>
    <t>2026-04-23 18:20</t>
  </si>
  <si>
    <t>TKT-00891</t>
  </si>
  <si>
    <t>TKT-01113</t>
  </si>
  <si>
    <t>TKT-00772</t>
  </si>
  <si>
    <t>TKT-00647</t>
  </si>
  <si>
    <t>TKT-00398</t>
  </si>
  <si>
    <t>TKT-00753</t>
  </si>
  <si>
    <t>TKT-01122</t>
  </si>
  <si>
    <t>TKT-00080</t>
  </si>
  <si>
    <t>TKT-00315</t>
  </si>
  <si>
    <t>TKT-00209</t>
  </si>
  <si>
    <t>TKT-00894</t>
  </si>
  <si>
    <t>TKT-00590</t>
  </si>
  <si>
    <t>27/07/2026 14:48</t>
  </si>
  <si>
    <t>398</t>
  </si>
  <si>
    <t>TKT-00224</t>
  </si>
  <si>
    <t>TKT-00231</t>
  </si>
  <si>
    <t>TKT-01117</t>
  </si>
  <si>
    <t>TKT-00177</t>
  </si>
  <si>
    <t>TKT-00860</t>
  </si>
  <si>
    <t>TKT-00867</t>
  </si>
  <si>
    <t>TKT-00418</t>
  </si>
  <si>
    <t>TKT-00547</t>
  </si>
  <si>
    <t>TKT-00720</t>
  </si>
  <si>
    <t>TKT-01085</t>
  </si>
  <si>
    <t>TKT-00442</t>
  </si>
  <si>
    <t>TKT-00501</t>
  </si>
  <si>
    <t>TKT-00509</t>
  </si>
  <si>
    <t>TKT-00935</t>
  </si>
  <si>
    <t>TKT-00644</t>
  </si>
  <si>
    <t>TKT-00203</t>
  </si>
  <si>
    <t>TKT-01116</t>
  </si>
  <si>
    <t>TKT-00134</t>
  </si>
  <si>
    <t>TKT-00015</t>
  </si>
  <si>
    <t>TKT-00058</t>
  </si>
  <si>
    <t>TKT-00014</t>
  </si>
  <si>
    <t>TKT-00148</t>
  </si>
  <si>
    <t>TKT-00208</t>
  </si>
  <si>
    <t>TKT-01135</t>
  </si>
  <si>
    <t>12/07/2026 01:23</t>
  </si>
  <si>
    <t>TKT-00512</t>
  </si>
  <si>
    <t>TKT-00364</t>
  </si>
  <si>
    <t>TKT-00193</t>
  </si>
  <si>
    <t>TKT-00220</t>
  </si>
  <si>
    <t>TKT-00029</t>
  </si>
  <si>
    <t>TKT-00997</t>
  </si>
  <si>
    <t>2026-05-14 01:48</t>
  </si>
  <si>
    <t>TKT-00531</t>
  </si>
  <si>
    <t>TKT-00006</t>
  </si>
  <si>
    <t>TKT-01044</t>
  </si>
  <si>
    <t>TKT-00339</t>
  </si>
  <si>
    <t>TKT-00868</t>
  </si>
  <si>
    <t>TKT-00566</t>
  </si>
  <si>
    <t>TKT-00071</t>
  </si>
  <si>
    <t>TKT-01001</t>
  </si>
  <si>
    <t>TKT-00625</t>
  </si>
  <si>
    <t>TKT-00441</t>
  </si>
  <si>
    <t>26/08/2026 11:23</t>
  </si>
  <si>
    <t>TKT-01174</t>
  </si>
  <si>
    <t>TKT-00681</t>
  </si>
  <si>
    <t>TKT-00564</t>
  </si>
  <si>
    <t>TKT-01067</t>
  </si>
  <si>
    <t>TKT-00376</t>
  </si>
  <si>
    <t>TKT-01040</t>
  </si>
  <si>
    <t>TKT-00378</t>
  </si>
  <si>
    <t>TKT-00477</t>
  </si>
  <si>
    <t>TKT-00559</t>
  </si>
  <si>
    <t>TKT-00922</t>
  </si>
  <si>
    <t>TKT-00022</t>
  </si>
  <si>
    <t>TKT-01035</t>
  </si>
  <si>
    <t>TKT-01149</t>
  </si>
  <si>
    <t>TKT-00288</t>
  </si>
  <si>
    <t>TKT-00284</t>
  </si>
  <si>
    <t>TKT-01012</t>
  </si>
  <si>
    <t>2026-02-13 16:59</t>
  </si>
  <si>
    <t>TKT-00710</t>
  </si>
  <si>
    <t>TKT-00129</t>
  </si>
  <si>
    <t>193</t>
  </si>
  <si>
    <t>TKT-01037</t>
  </si>
  <si>
    <t>TKT-00318</t>
  </si>
  <si>
    <t>TKT-00486</t>
  </si>
  <si>
    <t>TKT-00290</t>
  </si>
  <si>
    <t>TKT-00960</t>
  </si>
  <si>
    <t>90</t>
  </si>
  <si>
    <t>TKT-01090</t>
  </si>
  <si>
    <t>TKT-00667</t>
  </si>
  <si>
    <t>TKT-01057</t>
  </si>
  <si>
    <t>TKT-00238</t>
  </si>
  <si>
    <t>10/03/2026 01:19</t>
  </si>
  <si>
    <t>TKT-00159</t>
  </si>
  <si>
    <t>TKT-00001</t>
  </si>
  <si>
    <t>TKT-00626</t>
  </si>
  <si>
    <t>TKT-01148</t>
  </si>
  <si>
    <t>TKT-00658</t>
  </si>
  <si>
    <t>TKT-00825</t>
  </si>
  <si>
    <t>TKT-00838</t>
  </si>
  <si>
    <t>TKT-00623</t>
  </si>
  <si>
    <t>TKT-00563</t>
  </si>
  <si>
    <t>TKT-00756</t>
  </si>
  <si>
    <t>TKT-01088</t>
  </si>
  <si>
    <t>TKT-00900</t>
  </si>
  <si>
    <t>TKT-00017</t>
  </si>
  <si>
    <t>TKT-00579</t>
  </si>
  <si>
    <t>TKT-00883</t>
  </si>
  <si>
    <t>TKT-00619</t>
  </si>
  <si>
    <t>TKT-00452</t>
  </si>
  <si>
    <t>TKT-00272</t>
  </si>
  <si>
    <t>TKT-00484</t>
  </si>
  <si>
    <t>TKT-00174</t>
  </si>
  <si>
    <t>TKT-00762</t>
  </si>
  <si>
    <t>TKT-00454</t>
  </si>
  <si>
    <t>TKT-00280</t>
  </si>
  <si>
    <t>TKT-00930</t>
  </si>
  <si>
    <t>TKT-00704</t>
  </si>
  <si>
    <t>TKT-00065</t>
  </si>
  <si>
    <t>54</t>
  </si>
  <si>
    <t>TKT-00466</t>
  </si>
  <si>
    <t>TKT-00812</t>
  </si>
  <si>
    <t>TKT-00686</t>
  </si>
  <si>
    <t>TKT-00255</t>
  </si>
  <si>
    <t>TKT-00939</t>
  </si>
  <si>
    <t>TKT-00040</t>
  </si>
  <si>
    <t>TKT-00240</t>
  </si>
  <si>
    <t>TKT-00972</t>
  </si>
  <si>
    <t>TKT-00732</t>
  </si>
  <si>
    <t>TKT-00982</t>
  </si>
  <si>
    <t>TKT-00405</t>
  </si>
  <si>
    <t>TKT-01107</t>
  </si>
  <si>
    <t>TKT-00155</t>
  </si>
  <si>
    <t>TKT-00744</t>
  </si>
  <si>
    <t>TKT-01034</t>
  </si>
  <si>
    <t>TKT-00505</t>
  </si>
  <si>
    <t>TKT-00258</t>
  </si>
  <si>
    <t>TKT-01091</t>
  </si>
  <si>
    <t>TKT-00833</t>
  </si>
  <si>
    <t>TKT-00859</t>
  </si>
  <si>
    <t>TKT-00329</t>
  </si>
  <si>
    <t>55</t>
  </si>
  <si>
    <t>TKT-00789</t>
  </si>
  <si>
    <t>TKT-00674</t>
  </si>
  <si>
    <t>TKT-00131</t>
  </si>
  <si>
    <t>TKT-00303</t>
  </si>
  <si>
    <t>TKT-00123</t>
  </si>
  <si>
    <t>TKT-00005</t>
  </si>
  <si>
    <t>TKT-00834</t>
  </si>
  <si>
    <t>TKT-00285</t>
  </si>
  <si>
    <t>TKT-00076</t>
  </si>
  <si>
    <t>TKT-00373</t>
  </si>
  <si>
    <t>TKT-00945</t>
  </si>
  <si>
    <t>26/04/2026 03:39</t>
  </si>
  <si>
    <t>TKT-01043</t>
  </si>
  <si>
    <t>TKT-00839</t>
  </si>
  <si>
    <t>TKT-01127</t>
  </si>
  <si>
    <t>TKT-00179</t>
  </si>
  <si>
    <t>TKT-00176</t>
  </si>
  <si>
    <t>TKT-00723</t>
  </si>
  <si>
    <t>TKT-00968</t>
  </si>
  <si>
    <t>TKT-00057</t>
  </si>
  <si>
    <t>TKT-01144</t>
  </si>
  <si>
    <t>TKT-00294</t>
  </si>
  <si>
    <t>TKT-00078</t>
  </si>
  <si>
    <t>TKT-00826</t>
  </si>
  <si>
    <t>TKT-00009</t>
  </si>
  <si>
    <t>TKT-00810</t>
  </si>
  <si>
    <t>TKT-00975</t>
  </si>
  <si>
    <t>TKT-00119</t>
  </si>
  <si>
    <t>TKT-00969</t>
  </si>
  <si>
    <t>TKT-00754</t>
  </si>
  <si>
    <t>03/04/2026 17:10</t>
  </si>
  <si>
    <t>TKT-01158</t>
  </si>
  <si>
    <t>TKT-00027</t>
  </si>
  <si>
    <t>TKT-00449</t>
  </si>
  <si>
    <t>TKT-01049</t>
  </si>
  <si>
    <t>TKT-00107</t>
  </si>
  <si>
    <t>TKT-00735</t>
  </si>
  <si>
    <t>TKT-00790</t>
  </si>
  <si>
    <t>TKT-00185</t>
  </si>
  <si>
    <t>TKT-00061</t>
  </si>
  <si>
    <t>TKT-00275</t>
  </si>
  <si>
    <t>TKT-01139</t>
  </si>
  <si>
    <t>TKT-01159</t>
  </si>
  <si>
    <t>TKT-00360</t>
  </si>
  <si>
    <t>TKT-00265</t>
  </si>
  <si>
    <t>TKT-00085</t>
  </si>
  <si>
    <t>TKT-00562</t>
  </si>
  <si>
    <t>TKT-00813</t>
  </si>
  <si>
    <t>TKT-00734</t>
  </si>
  <si>
    <t>TKT-00678</t>
  </si>
  <si>
    <t>TKT-01130</t>
  </si>
  <si>
    <t>30/08/2026 14:35</t>
  </si>
  <si>
    <t>TKT-00683</t>
  </si>
  <si>
    <t>TKT-00358</t>
  </si>
  <si>
    <t>TKT-00156</t>
  </si>
  <si>
    <t>TKT-00714</t>
  </si>
  <si>
    <t>03/03/2026 07:07</t>
  </si>
  <si>
    <t>TKT-01156</t>
  </si>
  <si>
    <t>TKT-00033</t>
  </si>
  <si>
    <t>TKT-00154</t>
  </si>
  <si>
    <t>TKT-01016</t>
  </si>
  <si>
    <t>TKT-00237</t>
  </si>
  <si>
    <t>TKT-00213</t>
  </si>
  <si>
    <t>TKT-00605</t>
  </si>
  <si>
    <t>TKT-00502</t>
  </si>
  <si>
    <t>11/02/2026 20:13</t>
  </si>
  <si>
    <t>TKT-01026</t>
  </si>
  <si>
    <t>TKT-01093</t>
  </si>
  <si>
    <t>TKT-00871</t>
  </si>
  <si>
    <t>TKT-00147</t>
  </si>
  <si>
    <t>TKT-00703</t>
  </si>
  <si>
    <t>TKT-01038</t>
  </si>
  <si>
    <t>TKT-00304</t>
  </si>
  <si>
    <t>TKT-00942</t>
  </si>
  <si>
    <t>TKT-00903</t>
  </si>
  <si>
    <t>TKT-00396</t>
  </si>
  <si>
    <t>TKT-00818</t>
  </si>
  <si>
    <t>TKT-00925</t>
  </si>
  <si>
    <t>TKT-00530</t>
  </si>
  <si>
    <t>TKT-00127</t>
  </si>
  <si>
    <t>TKT-00985</t>
  </si>
  <si>
    <t>TKT-01010</t>
  </si>
  <si>
    <t>TKT-00055</t>
  </si>
  <si>
    <t>06/03/2026 04:29</t>
  </si>
  <si>
    <t>TKT-00108</t>
  </si>
  <si>
    <t>TKT-00998</t>
  </si>
  <si>
    <t>TKT-00037</t>
  </si>
  <si>
    <t>TKT-00933</t>
  </si>
  <si>
    <t>TKT-01115</t>
  </si>
  <si>
    <t>TKT-00508</t>
  </si>
  <si>
    <t>TKT-00004</t>
  </si>
  <si>
    <t>TKT-00395</t>
  </si>
  <si>
    <t>TKT-00306</t>
  </si>
  <si>
    <t>TKT-00345</t>
  </si>
  <si>
    <t>TKT-00336</t>
  </si>
  <si>
    <t>TKT-00338</t>
  </si>
  <si>
    <t>TKT-00225</t>
  </si>
  <si>
    <t>TKT-01052</t>
  </si>
  <si>
    <t>TKT-00746</t>
  </si>
  <si>
    <t>TKT-01131</t>
  </si>
  <si>
    <t>TKT-00346</t>
  </si>
  <si>
    <t>2026-02-25 18:49</t>
  </si>
  <si>
    <t>TKT-00401</t>
  </si>
  <si>
    <t>TKT-00596</t>
  </si>
  <si>
    <t>TKT-00379</t>
  </si>
  <si>
    <t>TKT-00631</t>
  </si>
  <si>
    <t>15/07/2026 23:43</t>
  </si>
  <si>
    <t>TKT-00855</t>
  </si>
  <si>
    <t>TKT-00302</t>
  </si>
  <si>
    <t>TKT-00793</t>
  </si>
  <si>
    <t>TKT-00111</t>
  </si>
  <si>
    <t>TKT-00187</t>
  </si>
  <si>
    <t>TKT-00236</t>
  </si>
  <si>
    <t>TKT-00464</t>
  </si>
  <si>
    <t>TKT-00054</t>
  </si>
  <si>
    <t>TKT-00560</t>
  </si>
  <si>
    <t>TKT-00106</t>
  </si>
  <si>
    <t>TKT-00589</t>
  </si>
  <si>
    <t>TKT-00978</t>
  </si>
  <si>
    <t>TKT-00827</t>
  </si>
  <si>
    <t>TKT-00786</t>
  </si>
  <si>
    <t>TKT-00426</t>
  </si>
  <si>
    <t>19/01/2026 12:09</t>
  </si>
  <si>
    <t>TKT-00840</t>
  </si>
  <si>
    <t>TKT-01172</t>
  </si>
  <si>
    <t>TKT-00190</t>
  </si>
  <si>
    <t>TKT-00427</t>
  </si>
  <si>
    <t>TKT-00250</t>
  </si>
  <si>
    <t>212</t>
  </si>
  <si>
    <t>TKT-00440</t>
  </si>
  <si>
    <t>TKT-00889</t>
  </si>
  <si>
    <t>TKT-00074</t>
  </si>
  <si>
    <t>TKT-00761</t>
  </si>
  <si>
    <t>TKT-01003</t>
  </si>
  <si>
    <t>2026-01-13 16:31</t>
  </si>
  <si>
    <t>TKT-00113</t>
  </si>
  <si>
    <t>31/03/2026 20:48</t>
  </si>
  <si>
    <t>TKT-00320</t>
  </si>
  <si>
    <t>TKT-00757</t>
  </si>
  <si>
    <t>TKT-00918</t>
  </si>
  <si>
    <t>TKT-00394</t>
  </si>
  <si>
    <t>TKT-00539</t>
  </si>
  <si>
    <t>TKT-00730</t>
  </si>
  <si>
    <t>TKT-01104</t>
  </si>
  <si>
    <t>TKT-00479</t>
  </si>
  <si>
    <t>05/06/2026 22:58</t>
  </si>
  <si>
    <t>TKT-00090</t>
  </si>
  <si>
    <t>TKT-00542</t>
  </si>
  <si>
    <t>TKT-00782</t>
  </si>
  <si>
    <t>TKT-01105</t>
  </si>
  <si>
    <t>TKT-00760</t>
  </si>
  <si>
    <t>TKT-00558</t>
  </si>
  <si>
    <t>12/05/2026 00:36</t>
  </si>
  <si>
    <t>TKT-00246</t>
  </si>
  <si>
    <t>TKT-00702</t>
  </si>
  <si>
    <t>21/07/2026 13:03</t>
  </si>
  <si>
    <t>TKT-00226</t>
  </si>
  <si>
    <t>TKT-00971</t>
  </si>
  <si>
    <t>TKT-00334</t>
  </si>
  <si>
    <t>TKT-00165</t>
  </si>
  <si>
    <t>TKT-00771</t>
  </si>
  <si>
    <t>TKT-00546</t>
  </si>
  <si>
    <t>TKT-00543</t>
  </si>
  <si>
    <t>TKT-00410</t>
  </si>
  <si>
    <t>TKT-00166</t>
  </si>
  <si>
    <t>TKT-00592</t>
  </si>
  <si>
    <t>TKT-00312</t>
  </si>
  <si>
    <t>TKT-00167</t>
  </si>
  <si>
    <t>TKT-00298</t>
  </si>
  <si>
    <t>TKT-00518</t>
  </si>
  <si>
    <t>TKT-00618</t>
  </si>
  <si>
    <t>TKT-00537</t>
  </si>
  <si>
    <t>TKT-00144</t>
  </si>
  <si>
    <t>TKT-00799</t>
  </si>
  <si>
    <t>TKT-00142</t>
  </si>
  <si>
    <t>TKT-01094</t>
  </si>
  <si>
    <t>TKT-00718</t>
  </si>
  <si>
    <t>TKT-00018</t>
  </si>
  <si>
    <t>TKT-00253</t>
  </si>
  <si>
    <t>TKT-00087</t>
  </si>
  <si>
    <t>TKT-01031</t>
  </si>
  <si>
    <t>TKT-00025</t>
  </si>
  <si>
    <t>TKT-00365</t>
  </si>
  <si>
    <t>37</t>
  </si>
  <si>
    <t>TKT-00415</t>
  </si>
  <si>
    <t>TKT-00986</t>
  </si>
  <si>
    <t>TKT-00926</t>
  </si>
  <si>
    <t>TKT-00929</t>
  </si>
  <si>
    <t>TKT-00901</t>
  </si>
  <si>
    <t>TKT-00821</t>
  </si>
  <si>
    <t>17/03/2026 00:37</t>
  </si>
  <si>
    <t>TKT-00382</t>
  </si>
  <si>
    <t>TKT-00043</t>
  </si>
  <si>
    <t>TKT-00668</t>
  </si>
  <si>
    <t>TKT-00955</t>
  </si>
  <si>
    <t>TKT-00495</t>
  </si>
  <si>
    <t>TKT-01065</t>
  </si>
  <si>
    <t>TKT-00905</t>
  </si>
  <si>
    <t>TKT-00989</t>
  </si>
  <si>
    <t>TKT-00507</t>
  </si>
  <si>
    <t>TKT-00992</t>
  </si>
  <si>
    <t>TKT-01124</t>
  </si>
  <si>
    <t>TKT-00287</t>
  </si>
  <si>
    <t>TKT-00908</t>
  </si>
  <si>
    <t>TKT-00435</t>
  </si>
  <si>
    <t>TKT-00139</t>
  </si>
  <si>
    <t>TKT-01059</t>
  </si>
  <si>
    <t>TKT-00961</t>
  </si>
  <si>
    <t>TKT-00183</t>
  </si>
  <si>
    <t>TKT-00089</t>
  </si>
  <si>
    <t>TKT-00727</t>
  </si>
  <si>
    <t>TKT-00347</t>
  </si>
  <si>
    <t>TKT-00675</t>
  </si>
  <si>
    <t>TKT-00835</t>
  </si>
  <si>
    <t>TKT-01080</t>
  </si>
  <si>
    <t>TKT-00588</t>
  </si>
  <si>
    <t>TKT-01056</t>
  </si>
  <si>
    <t>TKT-00031</t>
  </si>
  <si>
    <t>TKT-00882</t>
  </si>
  <si>
    <t>TKT-00993</t>
  </si>
  <si>
    <t>TKT-00443</t>
  </si>
  <si>
    <t>TKT-00874</t>
  </si>
  <si>
    <t>TKT-00171</t>
  </si>
  <si>
    <t>TKT-00988</t>
  </si>
  <si>
    <t>TKT-00736</t>
  </si>
  <si>
    <t>TKT-00876</t>
  </si>
  <si>
    <t>TKT-00981</t>
  </si>
  <si>
    <t>TKT-01062</t>
  </si>
  <si>
    <t>TKT-00084</t>
  </si>
  <si>
    <t>TKT-00083</t>
  </si>
  <si>
    <t>TKT-00884</t>
  </si>
  <si>
    <t>TKT-00109</t>
  </si>
  <si>
    <t>TKT-01134</t>
  </si>
  <si>
    <t>TKT-00967</t>
  </si>
  <si>
    <t>TKT-00663</t>
  </si>
  <si>
    <t>TKT-00420</t>
  </si>
  <si>
    <t>21/04/2026 06:53</t>
  </si>
  <si>
    <t>TKT-00602</t>
  </si>
  <si>
    <t>TKT-00570</t>
  </si>
  <si>
    <t>TKT-00758</t>
  </si>
  <si>
    <t>TKT-00205</t>
  </si>
  <si>
    <t>TKT-00351</t>
  </si>
  <si>
    <t>TKT-01047</t>
  </si>
  <si>
    <t>TKT-00777</t>
  </si>
  <si>
    <t>TKT-01142</t>
  </si>
  <si>
    <t>TKT-00188</t>
  </si>
  <si>
    <t>TKT-00100</t>
  </si>
  <si>
    <t>TKT-00510</t>
  </si>
  <si>
    <t>TKT-01073</t>
  </si>
  <si>
    <t>TKT-00816</t>
  </si>
  <si>
    <t>TKT-00101</t>
  </si>
  <si>
    <t>TKT-01100</t>
  </si>
  <si>
    <t>TKT-00709</t>
  </si>
  <si>
    <t>TKT-00423</t>
  </si>
  <si>
    <t>TKT-00954</t>
  </si>
  <si>
    <t>TKT-00759</t>
  </si>
  <si>
    <t>TKT-01132</t>
  </si>
  <si>
    <t>TKT-00781</t>
  </si>
  <si>
    <t>TKT-00836</t>
  </si>
  <si>
    <t>TKT-00587</t>
  </si>
  <si>
    <t>TKT-00815</t>
  </si>
  <si>
    <t>TKT-00849</t>
  </si>
  <si>
    <t>TKT-01102</t>
  </si>
  <si>
    <t>TKT-00958</t>
  </si>
  <si>
    <t>TKT-00062</t>
  </si>
  <si>
    <t>TKT-00873</t>
  </si>
  <si>
    <t>TKT-01086</t>
  </si>
  <si>
    <t>TKT-01071</t>
  </si>
  <si>
    <t>TKT-00019</t>
  </si>
  <si>
    <t>TKT-00402</t>
  </si>
  <si>
    <t>TKT-01042</t>
  </si>
  <si>
    <t>TKT-00984</t>
  </si>
  <si>
    <t>TKT-00181</t>
  </si>
  <si>
    <t>TKT-00819</t>
  </si>
  <si>
    <t>TKT-00491</t>
  </si>
  <si>
    <t>TKT-00003</t>
  </si>
  <si>
    <t>TKT-00551</t>
  </si>
  <si>
    <t>TKT-00212</t>
  </si>
  <si>
    <t>TKT-00881</t>
  </si>
  <si>
    <t>TKT-00308</t>
  </si>
  <si>
    <t>TKT-00384</t>
  </si>
  <si>
    <t>TKT-00719</t>
  </si>
  <si>
    <t>TKT-00163</t>
  </si>
  <si>
    <t>TKT-00223</t>
  </si>
  <si>
    <t>TKT-00743</t>
  </si>
  <si>
    <t>TKT-00430</t>
  </si>
  <si>
    <t>TKT-01006</t>
  </si>
  <si>
    <t>TKT-00162</t>
  </si>
  <si>
    <t>TKT-00455</t>
  </si>
  <si>
    <t>TKT-00383</t>
  </si>
  <si>
    <t>TKT-00630</t>
  </si>
  <si>
    <t>TKT-00117</t>
  </si>
  <si>
    <t>TKT-00206</t>
  </si>
  <si>
    <t>18</t>
  </si>
  <si>
    <t>TKT-00098</t>
  </si>
  <si>
    <t>TKT-01030</t>
  </si>
  <si>
    <t>TKT-00186</t>
  </si>
  <si>
    <t>TKT-00075</t>
  </si>
  <si>
    <t>TKT-01152</t>
  </si>
  <si>
    <t>TKT-00638</t>
  </si>
  <si>
    <t>TKT-00606</t>
  </si>
  <si>
    <t>TKT-00660</t>
  </si>
  <si>
    <t>TKT-01005</t>
  </si>
  <si>
    <t>TKT-00489</t>
  </si>
  <si>
    <t>TKT-00500</t>
  </si>
  <si>
    <t>TKT-00747</t>
  </si>
  <si>
    <t>TKT-01019</t>
  </si>
  <si>
    <t>TKT-00944</t>
  </si>
  <si>
    <t>TKT-00515</t>
  </si>
  <si>
    <t>TKT-00096</t>
  </si>
  <si>
    <t>TKT-01027</t>
  </si>
  <si>
    <t>TKT-01133</t>
  </si>
  <si>
    <t>TKT-00469</t>
  </si>
  <si>
    <t>TKT-00424</t>
  </si>
  <si>
    <t>TKT-00787</t>
  </si>
  <si>
    <t>TKT-01173</t>
  </si>
  <si>
    <t>TKT-00433</t>
  </si>
  <si>
    <t>TKT-01009</t>
  </si>
  <si>
    <t>TKT-00899</t>
  </si>
  <si>
    <t>TKT-00262</t>
  </si>
  <si>
    <t>TKT-00896</t>
  </si>
  <si>
    <t>TKT-00281</t>
  </si>
  <si>
    <t>TKT-00324</t>
  </si>
  <si>
    <t>TKT-01157</t>
  </si>
  <si>
    <t>TKT-00751</t>
  </si>
  <si>
    <t>TKT-00478</t>
  </si>
  <si>
    <t>TKT-01039</t>
  </si>
  <si>
    <t>TKT-01167</t>
  </si>
  <si>
    <t>TKT-00499</t>
  </si>
  <si>
    <t>TKT-01170</t>
  </si>
  <si>
    <t>TKT-00527</t>
  </si>
  <si>
    <t>TKT-00321</t>
  </si>
  <si>
    <t>TKT-00192</t>
  </si>
  <si>
    <t>TKT-01021</t>
  </si>
  <si>
    <t>TKT-00914</t>
  </si>
  <si>
    <t>TKT-00597</t>
  </si>
  <si>
    <t>TKT-00687</t>
  </si>
  <si>
    <t>TKT-00323</t>
  </si>
  <si>
    <t>TKT-00141</t>
  </si>
  <si>
    <t>TKT-01068</t>
  </si>
  <si>
    <t>TKT-01095</t>
  </si>
  <si>
    <t>TKT-00252</t>
  </si>
  <si>
    <t>TKT-00344</t>
  </si>
  <si>
    <t>TKT-01013</t>
  </si>
  <si>
    <t>TKT-00063</t>
  </si>
  <si>
    <t>TKT-00613</t>
  </si>
  <si>
    <t>TKT-01155</t>
  </si>
  <si>
    <t>TKT-01106</t>
  </si>
  <si>
    <t>TKT-00949</t>
  </si>
  <si>
    <t>TKT-00568</t>
  </si>
  <si>
    <t>TKT-00150</t>
  </si>
  <si>
    <t>TKT-01004</t>
  </si>
  <si>
    <t>TKT-01029</t>
  </si>
  <si>
    <t>TKT-01066</t>
  </si>
  <si>
    <t>TKT-00451</t>
  </si>
  <si>
    <t>TKT-00994</t>
  </si>
  <si>
    <t>TKT-00032</t>
  </si>
  <si>
    <t>TKT-00385</t>
  </si>
  <si>
    <t>TKT-01055</t>
  </si>
  <si>
    <t>TKT-01082</t>
  </si>
  <si>
    <t>TKT-00701</t>
  </si>
  <si>
    <t>TKT-00053</t>
  </si>
  <si>
    <t>TKT-00797</t>
  </si>
  <si>
    <t>TKT-00912</t>
  </si>
  <si>
    <t>TKT-01126</t>
  </si>
  <si>
    <t>TKT-00697</t>
  </si>
  <si>
    <t>TKT-00348</t>
  </si>
  <si>
    <t>TKT-00724</t>
  </si>
  <si>
    <t>TKT-00951</t>
  </si>
  <si>
    <t>TKT-00343</t>
  </si>
  <si>
    <t>TKT-00279</t>
  </si>
  <si>
    <t>TKT-00609</t>
  </si>
  <si>
    <t>TKT-00145</t>
  </si>
  <si>
    <t>TKT-00616</t>
  </si>
  <si>
    <t>TKT-00475</t>
  </si>
  <si>
    <t>TKT-00291</t>
  </si>
  <si>
    <t>TKT-00116</t>
  </si>
  <si>
    <t>Field</t>
  </si>
  <si>
    <t>Meaning</t>
  </si>
  <si>
    <t>Expected Type / Notes</t>
  </si>
  <si>
    <t>Unique support ticket identifier</t>
  </si>
  <si>
    <t>Text; duplicates should be investigated</t>
  </si>
  <si>
    <t>Date and time the ticket was created</t>
  </si>
  <si>
    <t>Datetime; raw sheet contains mixed formats</t>
  </si>
  <si>
    <t>Date and time the ticket was resolved/closed</t>
  </si>
  <si>
    <t>Datetime; blank for unresolved tickets</t>
  </si>
  <si>
    <t>Current ticket status</t>
  </si>
  <si>
    <t>Categorical</t>
  </si>
  <si>
    <t>Urgency assigned to the ticket</t>
  </si>
  <si>
    <t>Critical / High / Medium / Low</t>
  </si>
  <si>
    <t>How the customer contacted support</t>
  </si>
  <si>
    <t>Email / Chat / Phone / Web Form</t>
  </si>
  <si>
    <t>Customer region</t>
  </si>
  <si>
    <t>Commercial segment</t>
  </si>
  <si>
    <t>SMB / Mid-Market / Enterprise</t>
  </si>
  <si>
    <t>Product associated with the issue</t>
  </si>
  <si>
    <t>Type of support request</t>
  </si>
  <si>
    <t>Support agent assigned to the ticket</t>
  </si>
  <si>
    <t>Text; some values may be missing</t>
  </si>
  <si>
    <t>Minutes until first human response</t>
  </si>
  <si>
    <t>Numeric; some raw values stored as text</t>
  </si>
  <si>
    <t>Customer satisfaction rating</t>
  </si>
  <si>
    <t>1–5; may be blank</t>
  </si>
  <si>
    <t>Number of times the ticket was reopened</t>
  </si>
  <si>
    <t>Whole number</t>
  </si>
  <si>
    <t>Number of messages exchanged</t>
  </si>
  <si>
    <t>Whether the case was escalated</t>
  </si>
  <si>
    <t>Yes / No</t>
  </si>
  <si>
    <t>First Response SLA (min)</t>
  </si>
  <si>
    <t>Resolution SLA (hours)</t>
  </si>
  <si>
    <t>Valid Status</t>
  </si>
  <si>
    <t>Valid Channel</t>
  </si>
  <si>
    <t>Valid Category</t>
  </si>
  <si>
    <t>Valid Region</t>
  </si>
  <si>
    <t>Closed</t>
  </si>
  <si>
    <t>Cancelled</t>
  </si>
  <si>
    <t>Resolution Hours</t>
  </si>
  <si>
    <t>Unassigned</t>
  </si>
  <si>
    <t>Unknown</t>
  </si>
  <si>
    <t>First Response SLA Met</t>
  </si>
  <si>
    <t>Resolution SLA Met</t>
  </si>
  <si>
    <t>Year</t>
  </si>
  <si>
    <t>Month Of Number</t>
  </si>
  <si>
    <t>Month</t>
  </si>
  <si>
    <t>Year-Month</t>
  </si>
  <si>
    <t>CSAT Group</t>
  </si>
  <si>
    <t>CSAT Valid</t>
  </si>
  <si>
    <t>Ticket Outcome</t>
  </si>
  <si>
    <t>abril</t>
  </si>
  <si>
    <t>Satisfied</t>
  </si>
  <si>
    <t>janeiro</t>
  </si>
  <si>
    <t>Dissatisfied</t>
  </si>
  <si>
    <t>maio</t>
  </si>
  <si>
    <t>agosto</t>
  </si>
  <si>
    <t>Neutral</t>
  </si>
  <si>
    <t>fevereiro</t>
  </si>
  <si>
    <t>No Response</t>
  </si>
  <si>
    <t>junho</t>
  </si>
  <si>
    <t>julho</t>
  </si>
  <si>
    <t>março</t>
  </si>
  <si>
    <t>Reopened</t>
  </si>
  <si>
    <t>Ticket Flag</t>
  </si>
  <si>
    <t>Backlog</t>
  </si>
  <si>
    <t>Resolved Flag</t>
  </si>
  <si>
    <t>Reopened Flag</t>
  </si>
  <si>
    <t>Escalated Flag</t>
  </si>
  <si>
    <t>First Response SLA Flag</t>
  </si>
  <si>
    <t>Resolution SLA Flag</t>
  </si>
  <si>
    <t>Average First Response</t>
  </si>
  <si>
    <t>Resolution SLA</t>
  </si>
  <si>
    <t>Rótulos de Linha</t>
  </si>
  <si>
    <t>Total Geral</t>
  </si>
  <si>
    <t>Soma de Ticket Flag</t>
  </si>
  <si>
    <t>Rótulos de Coluna</t>
  </si>
  <si>
    <t>Contagem de Ticket ID</t>
  </si>
  <si>
    <t>(vazio)</t>
  </si>
  <si>
    <t>Média de CSAT (1-5)</t>
  </si>
  <si>
    <t>CUSTOMER SUPPORT PERFORMANCE DASHBOARD</t>
  </si>
  <si>
    <t>Ticket Volume • SLA • Response Time • CSAT • Agent Performance</t>
  </si>
  <si>
    <t>Response SLA</t>
  </si>
  <si>
    <t>mar</t>
  </si>
  <si>
    <t>jun</t>
  </si>
  <si>
    <t>jul</t>
  </si>
  <si>
    <t>ago</t>
  </si>
  <si>
    <t>jan</t>
  </si>
  <si>
    <t>fev</t>
  </si>
  <si>
    <t>abr</t>
  </si>
  <si>
    <t>mai</t>
  </si>
  <si>
    <t>Filtros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</si>
</sst>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dd\-mmm\-yyyy\ hh:mm"/>
    <numFmt numFmtId="165" formatCode="0.0"/>
    <numFmt numFmtId="166" formatCode="0.0%"/>
    <numFmt numFmtId="167" formatCode="h:mm;@"/>
  </numFmts>
  <fonts count="9">
    <font>
      <sz val="11"/>
      <name val="Carlito"/>
    </font>
    <font>
      <b/>
      <sz val="11"/>
      <color rgb="FFFFFFFF"/>
      <name val="Carlito"/>
    </font>
    <font>
      <sz val="8"/>
      <name val="Carlito"/>
    </font>
    <font>
      <sz val="11"/>
      <name val="Carlito"/>
    </font>
    <font>
      <b/>
      <sz val="20"/>
      <color theme="0"/>
      <name val="Bahnschrift"/>
      <family val="2"/>
    </font>
    <font>
      <sz val="12"/>
      <color theme="0"/>
      <name val="Bahnschrift SemiBold"/>
      <family val="2"/>
    </font>
    <font>
      <sz val="11"/>
      <name val="Aptos"/>
      <family val="2"/>
    </font>
    <font>
      <sz val="11"/>
      <name val="Arial Unicode MS"/>
    </font>
    <font>
      <sz val="2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F8FAF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11182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/>
    <xf numFmtId="22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1" applyFont="1"/>
    <xf numFmtId="9" fontId="0" fillId="0" borderId="0" xfId="0" applyNumberFormat="1"/>
    <xf numFmtId="2" fontId="0" fillId="0" borderId="0" xfId="0" pivotButton="1" applyNumberFormat="1"/>
    <xf numFmtId="2" fontId="0" fillId="0" borderId="0" xfId="0" applyNumberFormat="1" applyAlignment="1">
      <alignment horizontal="left"/>
    </xf>
    <xf numFmtId="0" fontId="0" fillId="3" borderId="0" xfId="0" applyFill="1"/>
    <xf numFmtId="0" fontId="7" fillId="0" borderId="0" xfId="0" applyFont="1"/>
    <xf numFmtId="166" fontId="6" fillId="0" borderId="0" xfId="0" applyNumberFormat="1" applyFont="1"/>
    <xf numFmtId="1" fontId="0" fillId="0" borderId="0" xfId="2" applyNumberFormat="1" applyFont="1"/>
    <xf numFmtId="45" fontId="0" fillId="0" borderId="0" xfId="0" applyNumberFormat="1"/>
    <xf numFmtId="167" fontId="0" fillId="0" borderId="0" xfId="0" applyNumberFormat="1"/>
    <xf numFmtId="0" fontId="4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/>
    </xf>
  </cellXfs>
  <cellStyles count="3">
    <cellStyle name="Normal" xfId="0" builtinId="0"/>
    <cellStyle name="Porcentagem" xfId="1" builtinId="5"/>
    <cellStyle name="Vírgula" xfId="2" builtinId="3"/>
  </cellStyles>
  <dxfs count="4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6324F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13" formatCode="0%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111827"/>
      <color rgb="FF0F172A"/>
      <color rgb="FF64748B"/>
      <color rgb="FFF8FA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microsoft.com/office/2007/relationships/slicerCache" Target="slicerCaches/slicerCache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Supporter.xlsx]Analysis!Tabela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Monthly Ticket Volume</a:t>
            </a:r>
          </a:p>
        </c:rich>
      </c:tx>
      <c:layout>
        <c:manualLayout>
          <c:xMode val="edge"/>
          <c:yMode val="edge"/>
          <c:x val="0.28340832529136029"/>
          <c:y val="3.72685046747602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62386290972226"/>
          <c:y val="0.16709716602152741"/>
          <c:w val="0.85871138371061317"/>
          <c:h val="0.72737860662257692"/>
        </c:manualLayout>
      </c:layout>
      <c:lineChart>
        <c:grouping val="standard"/>
        <c:varyColors val="0"/>
        <c:ser>
          <c:idx val="0"/>
          <c:order val="0"/>
          <c:tx>
            <c:strRef>
              <c:f>Analysis!$B$20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>
                <a:gsLst>
                  <a:gs pos="0">
                    <a:schemeClr val="accent1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1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1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Analysis!$A$21:$A$29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Analysis!$B$21:$B$29</c:f>
              <c:numCache>
                <c:formatCode>0.00</c:formatCode>
                <c:ptCount val="8"/>
                <c:pt idx="0">
                  <c:v>162</c:v>
                </c:pt>
                <c:pt idx="1">
                  <c:v>138</c:v>
                </c:pt>
                <c:pt idx="2">
                  <c:v>141</c:v>
                </c:pt>
                <c:pt idx="3">
                  <c:v>170</c:v>
                </c:pt>
                <c:pt idx="4">
                  <c:v>146</c:v>
                </c:pt>
                <c:pt idx="5">
                  <c:v>135</c:v>
                </c:pt>
                <c:pt idx="6">
                  <c:v>148</c:v>
                </c:pt>
                <c:pt idx="7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68-4FBB-8C0E-6B5CE9B3FD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0336640"/>
        <c:axId val="924431344"/>
      </c:lineChart>
      <c:catAx>
        <c:axId val="100033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4431344"/>
        <c:crosses val="autoZero"/>
        <c:auto val="1"/>
        <c:lblAlgn val="ctr"/>
        <c:lblOffset val="100"/>
        <c:noMultiLvlLbl val="0"/>
      </c:catAx>
      <c:valAx>
        <c:axId val="9244313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033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Supporter.xlsx]Analysis!Tabela dinâmica12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SLA by Priority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0">
                <a:schemeClr val="accent1">
                  <a:tint val="94000"/>
                  <a:lumMod val="102000"/>
                  <a:satMod val="103000"/>
                </a:schemeClr>
              </a:gs>
              <a:gs pos="50000">
                <a:schemeClr val="accent1">
                  <a:shade val="100000"/>
                  <a:lumMod val="100000"/>
                  <a:satMod val="110000"/>
                </a:schemeClr>
              </a:gs>
              <a:gs pos="100000">
                <a:schemeClr val="accent1">
                  <a:shade val="78000"/>
                  <a:lumMod val="99000"/>
                  <a:satMod val="12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0">
                <a:schemeClr val="accent1">
                  <a:tint val="94000"/>
                  <a:lumMod val="102000"/>
                  <a:satMod val="103000"/>
                </a:schemeClr>
              </a:gs>
              <a:gs pos="50000">
                <a:schemeClr val="accent1">
                  <a:shade val="100000"/>
                  <a:lumMod val="100000"/>
                  <a:satMod val="110000"/>
                </a:schemeClr>
              </a:gs>
              <a:gs pos="100000">
                <a:schemeClr val="accent1">
                  <a:shade val="78000"/>
                  <a:lumMod val="99000"/>
                  <a:satMod val="12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0">
                <a:schemeClr val="accent1">
                  <a:tint val="94000"/>
                  <a:lumMod val="102000"/>
                  <a:satMod val="103000"/>
                </a:schemeClr>
              </a:gs>
              <a:gs pos="50000">
                <a:schemeClr val="accent1">
                  <a:shade val="100000"/>
                  <a:lumMod val="100000"/>
                  <a:satMod val="110000"/>
                </a:schemeClr>
              </a:gs>
              <a:gs pos="100000">
                <a:schemeClr val="accent1">
                  <a:shade val="78000"/>
                  <a:lumMod val="99000"/>
                  <a:satMod val="12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0">
                <a:schemeClr val="accent1">
                  <a:tint val="94000"/>
                  <a:lumMod val="102000"/>
                  <a:satMod val="103000"/>
                </a:schemeClr>
              </a:gs>
              <a:gs pos="50000">
                <a:schemeClr val="accent1">
                  <a:shade val="100000"/>
                  <a:lumMod val="100000"/>
                  <a:satMod val="110000"/>
                </a:schemeClr>
              </a:gs>
              <a:gs pos="100000">
                <a:schemeClr val="accent1">
                  <a:shade val="78000"/>
                  <a:lumMod val="99000"/>
                  <a:satMod val="12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>
            <a:gsLst>
              <a:gs pos="0">
                <a:schemeClr val="accent1">
                  <a:tint val="94000"/>
                  <a:lumMod val="102000"/>
                  <a:satMod val="103000"/>
                </a:schemeClr>
              </a:gs>
              <a:gs pos="50000">
                <a:schemeClr val="accent1">
                  <a:shade val="100000"/>
                  <a:lumMod val="100000"/>
                  <a:satMod val="110000"/>
                </a:schemeClr>
              </a:gs>
              <a:gs pos="100000">
                <a:schemeClr val="accent1">
                  <a:shade val="78000"/>
                  <a:lumMod val="99000"/>
                  <a:satMod val="12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55061179868955168"/>
              <c:y val="-2.900993978661432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>
            <a:gsLst>
              <a:gs pos="0">
                <a:schemeClr val="accent1">
                  <a:tint val="94000"/>
                  <a:lumMod val="102000"/>
                  <a:satMod val="103000"/>
                </a:schemeClr>
              </a:gs>
              <a:gs pos="50000">
                <a:schemeClr val="accent1">
                  <a:shade val="100000"/>
                  <a:lumMod val="100000"/>
                  <a:satMod val="110000"/>
                </a:schemeClr>
              </a:gs>
              <a:gs pos="100000">
                <a:schemeClr val="accent1">
                  <a:shade val="78000"/>
                  <a:lumMod val="99000"/>
                  <a:satMod val="12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52197922354343"/>
          <c:y val="0.18848879212936623"/>
          <c:w val="0.5861569871615474"/>
          <c:h val="0.6876596633183397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Analysis!$F$20:$F$21</c:f>
              <c:strCache>
                <c:ptCount val="1"/>
                <c:pt idx="0">
                  <c:v>No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Analysis!$E$22:$E$27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  <c:pt idx="4">
                  <c:v>Unknown</c:v>
                </c:pt>
              </c:strCache>
            </c:strRef>
          </c:cat>
          <c:val>
            <c:numRef>
              <c:f>Analysis!$F$22:$F$27</c:f>
              <c:numCache>
                <c:formatCode>0.00</c:formatCode>
                <c:ptCount val="5"/>
                <c:pt idx="0">
                  <c:v>0.65217391304347827</c:v>
                </c:pt>
                <c:pt idx="1">
                  <c:v>0.65919282511210764</c:v>
                </c:pt>
                <c:pt idx="2">
                  <c:v>0.3397790055248619</c:v>
                </c:pt>
                <c:pt idx="3">
                  <c:v>0.494140625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1-4C0E-A741-7DAE76872BEB}"/>
            </c:ext>
          </c:extLst>
        </c:ser>
        <c:ser>
          <c:idx val="1"/>
          <c:order val="1"/>
          <c:tx>
            <c:strRef>
              <c:f>Analysis!$G$20:$G$21</c:f>
              <c:strCache>
                <c:ptCount val="1"/>
                <c:pt idx="0">
                  <c:v>Pending</c:v>
                </c:pt>
              </c:strCache>
            </c:strRef>
          </c:tx>
          <c:spPr>
            <a:gradFill>
              <a:gsLst>
                <a:gs pos="0">
                  <a:schemeClr val="accent2">
                    <a:tint val="94000"/>
                    <a:lumMod val="102000"/>
                    <a:satMod val="103000"/>
                  </a:schemeClr>
                </a:gs>
                <a:gs pos="50000">
                  <a:schemeClr val="accent2">
                    <a:shade val="100000"/>
                    <a:lumMod val="100000"/>
                    <a:satMod val="110000"/>
                  </a:schemeClr>
                </a:gs>
                <a:gs pos="100000">
                  <a:schemeClr val="accent2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Analysis!$E$22:$E$27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  <c:pt idx="4">
                  <c:v>Unknown</c:v>
                </c:pt>
              </c:strCache>
            </c:strRef>
          </c:cat>
          <c:val>
            <c:numRef>
              <c:f>Analysis!$G$22:$G$27</c:f>
              <c:numCache>
                <c:formatCode>0.00</c:formatCode>
                <c:ptCount val="5"/>
                <c:pt idx="0">
                  <c:v>0</c:v>
                </c:pt>
                <c:pt idx="1">
                  <c:v>3.1390134529147982E-2</c:v>
                </c:pt>
                <c:pt idx="2">
                  <c:v>2.4861878453038673E-2</c:v>
                </c:pt>
                <c:pt idx="3">
                  <c:v>1.953125E-2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F2F0-4EF6-BC10-CABA59B8E481}"/>
            </c:ext>
          </c:extLst>
        </c:ser>
        <c:ser>
          <c:idx val="2"/>
          <c:order val="2"/>
          <c:tx>
            <c:strRef>
              <c:f>Analysis!$H$20:$H$21</c:f>
              <c:strCache>
                <c:ptCount val="1"/>
                <c:pt idx="0">
                  <c:v>Yes</c:v>
                </c:pt>
              </c:strCache>
            </c:strRef>
          </c:tx>
          <c:spPr>
            <a:gradFill>
              <a:gsLst>
                <a:gs pos="0">
                  <a:schemeClr val="accent3">
                    <a:tint val="94000"/>
                    <a:lumMod val="102000"/>
                    <a:satMod val="103000"/>
                  </a:schemeClr>
                </a:gs>
                <a:gs pos="50000">
                  <a:schemeClr val="accent3">
                    <a:shade val="100000"/>
                    <a:lumMod val="100000"/>
                    <a:satMod val="110000"/>
                  </a:schemeClr>
                </a:gs>
                <a:gs pos="100000">
                  <a:schemeClr val="accent3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invertIfNegative val="0"/>
          <c:dPt>
            <c:idx val="4"/>
            <c:invertIfNegative val="0"/>
            <c:bubble3D val="0"/>
            <c:spPr>
              <a:gradFill>
                <a:gsLst>
                  <a:gs pos="0">
                    <a:schemeClr val="accent3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3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3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5708-4588-99D7-620F7AC08450}"/>
              </c:ext>
            </c:extLst>
          </c:dPt>
          <c:dLbls>
            <c:dLbl>
              <c:idx val="4"/>
              <c:layout>
                <c:manualLayout>
                  <c:x val="0.55061179868955168"/>
                  <c:y val="-2.900993978661432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08-4588-99D7-620F7AC084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Analysis!$E$22:$E$27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  <c:pt idx="4">
                  <c:v>Unknown</c:v>
                </c:pt>
              </c:strCache>
            </c:strRef>
          </c:cat>
          <c:val>
            <c:numRef>
              <c:f>Analysis!$H$22:$H$27</c:f>
              <c:numCache>
                <c:formatCode>0.00</c:formatCode>
                <c:ptCount val="5"/>
                <c:pt idx="0">
                  <c:v>0.34782608695652173</c:v>
                </c:pt>
                <c:pt idx="1">
                  <c:v>0.3094170403587444</c:v>
                </c:pt>
                <c:pt idx="2">
                  <c:v>0.63535911602209949</c:v>
                </c:pt>
                <c:pt idx="3">
                  <c:v>0.486328125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F2F0-4EF6-BC10-CABA59B8E481}"/>
            </c:ext>
          </c:extLst>
        </c:ser>
        <c:ser>
          <c:idx val="3"/>
          <c:order val="3"/>
          <c:tx>
            <c:strRef>
              <c:f>Analysis!$I$20:$I$21</c:f>
              <c:strCache>
                <c:ptCount val="1"/>
                <c:pt idx="0">
                  <c:v>(vazio)</c:v>
                </c:pt>
              </c:strCache>
            </c:strRef>
          </c:tx>
          <c:spPr>
            <a:gradFill>
              <a:gsLst>
                <a:gs pos="0">
                  <a:schemeClr val="accent4">
                    <a:tint val="94000"/>
                    <a:lumMod val="102000"/>
                    <a:satMod val="103000"/>
                  </a:schemeClr>
                </a:gs>
                <a:gs pos="50000">
                  <a:schemeClr val="accent4">
                    <a:shade val="100000"/>
                    <a:lumMod val="100000"/>
                    <a:satMod val="110000"/>
                  </a:schemeClr>
                </a:gs>
                <a:gs pos="100000">
                  <a:schemeClr val="accent4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Analysis!$E$22:$E$27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  <c:pt idx="4">
                  <c:v>Unknown</c:v>
                </c:pt>
              </c:strCache>
            </c:strRef>
          </c:cat>
          <c:val>
            <c:numRef>
              <c:f>Analysis!$I$22:$I$27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F2F0-4EF6-BC10-CABA59B8E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5727088"/>
        <c:axId val="555597904"/>
      </c:barChart>
      <c:catAx>
        <c:axId val="555727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597904"/>
        <c:crosses val="autoZero"/>
        <c:auto val="1"/>
        <c:lblAlgn val="ctr"/>
        <c:lblOffset val="100"/>
        <c:noMultiLvlLbl val="0"/>
      </c:catAx>
      <c:valAx>
        <c:axId val="55559790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72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Supporter.xlsx]Analysis!Tabela dinâmica13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Agent Workload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tint val="94000"/>
                  <a:lumMod val="102000"/>
                  <a:satMod val="103000"/>
                </a:schemeClr>
              </a:gs>
              <a:gs pos="50000">
                <a:schemeClr val="accent1">
                  <a:shade val="100000"/>
                  <a:lumMod val="100000"/>
                  <a:satMod val="110000"/>
                </a:schemeClr>
              </a:gs>
              <a:gs pos="100000">
                <a:schemeClr val="accent1">
                  <a:shade val="78000"/>
                  <a:lumMod val="99000"/>
                  <a:satMod val="12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Analysis!$L$20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Analysis!$K$21:$K$32</c:f>
              <c:strCache>
                <c:ptCount val="11"/>
                <c:pt idx="0">
                  <c:v>Amelia Costa</c:v>
                </c:pt>
                <c:pt idx="1">
                  <c:v>Bruno Silva</c:v>
                </c:pt>
                <c:pt idx="2">
                  <c:v>Carla Mendes</c:v>
                </c:pt>
                <c:pt idx="3">
                  <c:v>Diego Rocha</c:v>
                </c:pt>
                <c:pt idx="4">
                  <c:v>Elena Martins</c:v>
                </c:pt>
                <c:pt idx="5">
                  <c:v>Felipe Alves</c:v>
                </c:pt>
                <c:pt idx="6">
                  <c:v>Gabriela Lima</c:v>
                </c:pt>
                <c:pt idx="7">
                  <c:v>Hugo Santos</c:v>
                </c:pt>
                <c:pt idx="8">
                  <c:v>Isabela Nunes</c:v>
                </c:pt>
                <c:pt idx="9">
                  <c:v>João Ribeiro</c:v>
                </c:pt>
                <c:pt idx="10">
                  <c:v>Unassigned</c:v>
                </c:pt>
              </c:strCache>
            </c:strRef>
          </c:cat>
          <c:val>
            <c:numRef>
              <c:f>Analysis!$L$21:$L$32</c:f>
              <c:numCache>
                <c:formatCode>0.00</c:formatCode>
                <c:ptCount val="11"/>
                <c:pt idx="0">
                  <c:v>103</c:v>
                </c:pt>
                <c:pt idx="1">
                  <c:v>124</c:v>
                </c:pt>
                <c:pt idx="2">
                  <c:v>109</c:v>
                </c:pt>
                <c:pt idx="3">
                  <c:v>123</c:v>
                </c:pt>
                <c:pt idx="4">
                  <c:v>106</c:v>
                </c:pt>
                <c:pt idx="5">
                  <c:v>111</c:v>
                </c:pt>
                <c:pt idx="6">
                  <c:v>123</c:v>
                </c:pt>
                <c:pt idx="7">
                  <c:v>112</c:v>
                </c:pt>
                <c:pt idx="8">
                  <c:v>118</c:v>
                </c:pt>
                <c:pt idx="9">
                  <c:v>129</c:v>
                </c:pt>
                <c:pt idx="1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7-49E2-902D-20C0EE413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59988752"/>
        <c:axId val="555563824"/>
      </c:barChart>
      <c:catAx>
        <c:axId val="559988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563824"/>
        <c:crosses val="autoZero"/>
        <c:auto val="1"/>
        <c:lblAlgn val="ctr"/>
        <c:lblOffset val="100"/>
        <c:noMultiLvlLbl val="0"/>
      </c:catAx>
      <c:valAx>
        <c:axId val="55556382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8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Supporter.xlsx]Analysis!Tabela dinâmica14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CSAT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tint val="94000"/>
                  <a:lumMod val="102000"/>
                  <a:satMod val="103000"/>
                </a:schemeClr>
              </a:gs>
              <a:gs pos="50000">
                <a:schemeClr val="accent1">
                  <a:shade val="100000"/>
                  <a:lumMod val="100000"/>
                  <a:satMod val="110000"/>
                </a:schemeClr>
              </a:gs>
              <a:gs pos="100000">
                <a:schemeClr val="accent1">
                  <a:shade val="78000"/>
                  <a:lumMod val="99000"/>
                  <a:satMod val="12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Analysis!$B$31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Analysis!$A$32:$A$35</c:f>
              <c:strCache>
                <c:ptCount val="3"/>
                <c:pt idx="0">
                  <c:v>Enterprise</c:v>
                </c:pt>
                <c:pt idx="1">
                  <c:v>Mid-Market</c:v>
                </c:pt>
                <c:pt idx="2">
                  <c:v>SMB</c:v>
                </c:pt>
              </c:strCache>
            </c:strRef>
          </c:cat>
          <c:val>
            <c:numRef>
              <c:f>Analysis!$B$32:$B$35</c:f>
              <c:numCache>
                <c:formatCode>0.00</c:formatCode>
                <c:ptCount val="3"/>
                <c:pt idx="0">
                  <c:v>3.81447963800905</c:v>
                </c:pt>
                <c:pt idx="1">
                  <c:v>3.7601010101010099</c:v>
                </c:pt>
                <c:pt idx="2">
                  <c:v>3.8117870722433458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5-44F8-B964-FE045DAC2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9994784"/>
        <c:axId val="555508144"/>
      </c:barChart>
      <c:catAx>
        <c:axId val="55999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508144"/>
        <c:crosses val="autoZero"/>
        <c:auto val="1"/>
        <c:lblAlgn val="ctr"/>
        <c:lblOffset val="100"/>
        <c:noMultiLvlLbl val="0"/>
      </c:catAx>
      <c:valAx>
        <c:axId val="5555081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9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Supporter.xlsx]Analysis!Tabela dinâmica15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Ticket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>
            <a:gsLst>
              <a:gs pos="0">
                <a:schemeClr val="accent1">
                  <a:tint val="94000"/>
                  <a:lumMod val="102000"/>
                  <a:satMod val="103000"/>
                </a:schemeClr>
              </a:gs>
              <a:gs pos="50000">
                <a:schemeClr val="accent1">
                  <a:shade val="100000"/>
                  <a:lumMod val="100000"/>
                  <a:satMod val="110000"/>
                </a:schemeClr>
              </a:gs>
              <a:gs pos="100000">
                <a:schemeClr val="accent1">
                  <a:shade val="78000"/>
                  <a:lumMod val="99000"/>
                  <a:satMod val="12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accent1">
                  <a:tint val="94000"/>
                  <a:lumMod val="102000"/>
                  <a:satMod val="103000"/>
                </a:schemeClr>
              </a:gs>
              <a:gs pos="50000">
                <a:schemeClr val="accent1">
                  <a:shade val="100000"/>
                  <a:lumMod val="100000"/>
                  <a:satMod val="110000"/>
                </a:schemeClr>
              </a:gs>
              <a:gs pos="100000">
                <a:schemeClr val="accent1">
                  <a:shade val="78000"/>
                  <a:lumMod val="99000"/>
                  <a:satMod val="120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0.16950879468473029"/>
              <c:y val="-3.756009092887219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fld id="{1B39BE26-EAEF-4AAD-9049-28A7A72D93F2}" type="CATEGORYNAME">
                  <a:rPr lang="en-US"/>
                  <a:pPr>
                    <a:defRPr/>
                  </a:pPr>
                  <a:t>[NOME DA CATEGORIA]</a:t>
                </a:fld>
                <a:r>
                  <a:rPr lang="en-US"/>
                  <a:t> </a:t>
                </a:r>
                <a:fld id="{25F7DCF1-F31B-491F-88F1-C4CD5C7FDA08}" type="PERCENTAGE">
                  <a:rPr lang="en-US"/>
                  <a:pPr>
                    <a:defRPr/>
                  </a:pPr>
                  <a:t>[PORCENTAGEM]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gradFill>
            <a:gsLst>
              <a:gs pos="0">
                <a:schemeClr val="accent1">
                  <a:tint val="94000"/>
                  <a:lumMod val="102000"/>
                  <a:satMod val="103000"/>
                </a:schemeClr>
              </a:gs>
              <a:gs pos="50000">
                <a:schemeClr val="accent1">
                  <a:shade val="100000"/>
                  <a:lumMod val="100000"/>
                  <a:satMod val="110000"/>
                </a:schemeClr>
              </a:gs>
              <a:gs pos="100000">
                <a:schemeClr val="accent1">
                  <a:shade val="78000"/>
                  <a:lumMod val="99000"/>
                  <a:satMod val="120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0.16635370996769822"/>
              <c:y val="-3.685655298364474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fld id="{F6B108E9-4832-46BA-A25C-D77855D0B77D}" type="CATEGORYNAME">
                  <a:rPr lang="en-US"/>
                  <a:pPr>
                    <a:defRPr/>
                  </a:pPr>
                  <a:t>[NOME DA CATEGORIA]</a:t>
                </a:fld>
                <a:r>
                  <a:rPr lang="en-US" baseline="0"/>
                  <a:t> </a:t>
                </a:r>
                <a:fld id="{D0E39C5A-5838-4ADA-AA84-17B0C2F387EB}" type="PERCENTAGE">
                  <a:rPr lang="en-US"/>
                  <a:pPr>
                    <a:defRPr/>
                  </a:pPr>
                  <a:t>[PORCENTAGEM]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gradFill>
            <a:gsLst>
              <a:gs pos="0">
                <a:schemeClr val="accent1">
                  <a:tint val="94000"/>
                  <a:lumMod val="102000"/>
                  <a:satMod val="103000"/>
                </a:schemeClr>
              </a:gs>
              <a:gs pos="50000">
                <a:schemeClr val="accent1">
                  <a:shade val="100000"/>
                  <a:lumMod val="100000"/>
                  <a:satMod val="110000"/>
                </a:schemeClr>
              </a:gs>
              <a:gs pos="100000">
                <a:schemeClr val="accent1">
                  <a:shade val="78000"/>
                  <a:lumMod val="99000"/>
                  <a:satMod val="120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0.17583627971949456"/>
              <c:y val="-8.47051226679739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Analysis!$D$31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1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1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09-4FDE-B2DE-2A361C69DE42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2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2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09-4FDE-B2DE-2A361C69DE42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3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3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09-4FDE-B2DE-2A361C69DE42}"/>
              </c:ext>
            </c:extLst>
          </c:dPt>
          <c:dLbls>
            <c:dLbl>
              <c:idx val="0"/>
              <c:layout>
                <c:manualLayout>
                  <c:x val="-0.16950879468473029"/>
                  <c:y val="-3.7560090928872199E-2"/>
                </c:manualLayout>
              </c:layout>
              <c:tx>
                <c:rich>
                  <a:bodyPr/>
                  <a:lstStyle/>
                  <a:p>
                    <a:fld id="{1B39BE26-EAEF-4AAD-9049-28A7A72D93F2}" type="CATEGORYNAME">
                      <a:rPr lang="en-US"/>
                      <a:pPr/>
                      <a:t>[NOME DA CATEGORIA]</a:t>
                    </a:fld>
                    <a:r>
                      <a:rPr lang="en-US"/>
                      <a:t> </a:t>
                    </a:r>
                    <a:fld id="{25F7DCF1-F31B-491F-88F1-C4CD5C7FDA08}" type="PERCENTAGE">
                      <a:rPr lang="en-US"/>
                      <a:pPr/>
                      <a:t>[PORCENTAGEM]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809-4FDE-B2DE-2A361C69DE42}"/>
                </c:ext>
              </c:extLst>
            </c:dLbl>
            <c:dLbl>
              <c:idx val="1"/>
              <c:layout>
                <c:manualLayout>
                  <c:x val="0.16635370996769822"/>
                  <c:y val="-3.6856552983644743E-2"/>
                </c:manualLayout>
              </c:layout>
              <c:tx>
                <c:rich>
                  <a:bodyPr/>
                  <a:lstStyle/>
                  <a:p>
                    <a:fld id="{F6B108E9-4832-46BA-A25C-D77855D0B77D}" type="CATEGORYNAME">
                      <a:rPr lang="en-US"/>
                      <a:pPr/>
                      <a:t>[NOME DA CATEGORIA]</a:t>
                    </a:fld>
                    <a:r>
                      <a:rPr lang="en-US" baseline="0"/>
                      <a:t> </a:t>
                    </a:r>
                    <a:fld id="{D0E39C5A-5838-4ADA-AA84-17B0C2F387EB}" type="PERCENTAGE">
                      <a:rPr lang="en-US"/>
                      <a:pPr/>
                      <a:t>[PORCENTAGEM]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809-4FDE-B2DE-2A361C69DE42}"/>
                </c:ext>
              </c:extLst>
            </c:dLbl>
            <c:dLbl>
              <c:idx val="2"/>
              <c:layout>
                <c:manualLayout>
                  <c:x val="-0.17583627971949456"/>
                  <c:y val="-8.47051226679739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09-4FDE-B2DE-2A361C69DE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Analysis!$C$32:$C$35</c:f>
              <c:strCache>
                <c:ptCount val="3"/>
                <c:pt idx="0">
                  <c:v>Open</c:v>
                </c:pt>
                <c:pt idx="1">
                  <c:v>Pending</c:v>
                </c:pt>
                <c:pt idx="2">
                  <c:v>Resolved</c:v>
                </c:pt>
              </c:strCache>
            </c:strRef>
          </c:cat>
          <c:val>
            <c:numRef>
              <c:f>Analysis!$D$32:$D$35</c:f>
              <c:numCache>
                <c:formatCode>0.00</c:formatCode>
                <c:ptCount val="3"/>
                <c:pt idx="0">
                  <c:v>13</c:v>
                </c:pt>
                <c:pt idx="1">
                  <c:v>13</c:v>
                </c:pt>
                <c:pt idx="2">
                  <c:v>1154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09-4FDE-B2DE-2A361C69DE4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Supporter.xlsx]Analysis!Tabela dinâmica2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Support Demand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tint val="94000"/>
                  <a:lumMod val="102000"/>
                  <a:satMod val="103000"/>
                </a:schemeClr>
              </a:gs>
              <a:gs pos="50000">
                <a:schemeClr val="accent1">
                  <a:shade val="100000"/>
                  <a:lumMod val="100000"/>
                  <a:satMod val="110000"/>
                </a:schemeClr>
              </a:gs>
              <a:gs pos="100000">
                <a:schemeClr val="accent1">
                  <a:shade val="78000"/>
                  <a:lumMod val="99000"/>
                  <a:satMod val="12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7554919920724195"/>
          <c:y val="0.23160112480390493"/>
          <c:w val="0.46894273930044461"/>
          <c:h val="0.6354636589681745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Analysis!$D$20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Analysis!$C$21:$C$27</c:f>
              <c:strCache>
                <c:ptCount val="6"/>
                <c:pt idx="0">
                  <c:v>Account Access</c:v>
                </c:pt>
                <c:pt idx="1">
                  <c:v>Billing</c:v>
                </c:pt>
                <c:pt idx="2">
                  <c:v>Bug</c:v>
                </c:pt>
                <c:pt idx="3">
                  <c:v>Feature Request</c:v>
                </c:pt>
                <c:pt idx="4">
                  <c:v>Integration</c:v>
                </c:pt>
                <c:pt idx="5">
                  <c:v>Technical Issue</c:v>
                </c:pt>
              </c:strCache>
            </c:strRef>
          </c:cat>
          <c:val>
            <c:numRef>
              <c:f>Analysis!$D$21:$D$27</c:f>
              <c:numCache>
                <c:formatCode>0.00</c:formatCode>
                <c:ptCount val="6"/>
                <c:pt idx="0">
                  <c:v>165</c:v>
                </c:pt>
                <c:pt idx="1">
                  <c:v>231</c:v>
                </c:pt>
                <c:pt idx="2">
                  <c:v>143</c:v>
                </c:pt>
                <c:pt idx="3">
                  <c:v>122</c:v>
                </c:pt>
                <c:pt idx="4">
                  <c:v>168</c:v>
                </c:pt>
                <c:pt idx="5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5-444C-B2A3-396CCC724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09400096"/>
        <c:axId val="555512944"/>
      </c:barChart>
      <c:catAx>
        <c:axId val="50940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512944"/>
        <c:crosses val="autoZero"/>
        <c:auto val="1"/>
        <c:lblAlgn val="ctr"/>
        <c:lblOffset val="100"/>
        <c:noMultiLvlLbl val="0"/>
      </c:catAx>
      <c:valAx>
        <c:axId val="55551294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40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13" Type="http://schemas.openxmlformats.org/officeDocument/2006/relationships/image" Target="../media/image7.png"/><Relationship Id="rId18" Type="http://schemas.openxmlformats.org/officeDocument/2006/relationships/image" Target="../media/image12.svg"/><Relationship Id="rId3" Type="http://schemas.openxmlformats.org/officeDocument/2006/relationships/chart" Target="../charts/chart3.xml"/><Relationship Id="rId21" Type="http://schemas.openxmlformats.org/officeDocument/2006/relationships/image" Target="../media/image15.png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17" Type="http://schemas.openxmlformats.org/officeDocument/2006/relationships/image" Target="../media/image11.png"/><Relationship Id="rId2" Type="http://schemas.openxmlformats.org/officeDocument/2006/relationships/chart" Target="../charts/chart2.xml"/><Relationship Id="rId16" Type="http://schemas.openxmlformats.org/officeDocument/2006/relationships/image" Target="../media/image10.svg"/><Relationship Id="rId20" Type="http://schemas.openxmlformats.org/officeDocument/2006/relationships/image" Target="../media/image14.sv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5" Type="http://schemas.openxmlformats.org/officeDocument/2006/relationships/chart" Target="../charts/chart5.xml"/><Relationship Id="rId15" Type="http://schemas.openxmlformats.org/officeDocument/2006/relationships/image" Target="../media/image9.png"/><Relationship Id="rId10" Type="http://schemas.openxmlformats.org/officeDocument/2006/relationships/image" Target="../media/image4.svg"/><Relationship Id="rId19" Type="http://schemas.openxmlformats.org/officeDocument/2006/relationships/image" Target="../media/image13.png"/><Relationship Id="rId4" Type="http://schemas.openxmlformats.org/officeDocument/2006/relationships/chart" Target="../charts/chart4.xml"/><Relationship Id="rId9" Type="http://schemas.openxmlformats.org/officeDocument/2006/relationships/image" Target="../media/image3.png"/><Relationship Id="rId14" Type="http://schemas.openxmlformats.org/officeDocument/2006/relationships/image" Target="../media/image8.svg"/><Relationship Id="rId22" Type="http://schemas.openxmlformats.org/officeDocument/2006/relationships/image" Target="../media/image1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22412</xdr:colOff>
      <xdr:row>14</xdr:row>
      <xdr:rowOff>22411</xdr:rowOff>
    </xdr:from>
    <xdr:to>
      <xdr:col>7</xdr:col>
      <xdr:colOff>627529</xdr:colOff>
      <xdr:row>26</xdr:row>
      <xdr:rowOff>11206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1BDD637F-929C-A78D-074C-F233A2A103F2}"/>
            </a:ext>
          </a:extLst>
        </xdr:cNvPr>
        <xdr:cNvSpPr/>
      </xdr:nvSpPr>
      <xdr:spPr>
        <a:xfrm>
          <a:off x="22412" y="2689411"/>
          <a:ext cx="5439055" cy="2274795"/>
        </a:xfrm>
        <a:prstGeom prst="roundRect">
          <a:avLst/>
        </a:prstGeom>
        <a:ln>
          <a:solidFill>
            <a:schemeClr val="bg2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14</xdr:row>
      <xdr:rowOff>1</xdr:rowOff>
    </xdr:from>
    <xdr:to>
      <xdr:col>6</xdr:col>
      <xdr:colOff>680355</xdr:colOff>
      <xdr:row>26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A92E7E-2398-46F1-B0A7-EB132C13B3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824</xdr:colOff>
      <xdr:row>11</xdr:row>
      <xdr:rowOff>39548</xdr:rowOff>
    </xdr:from>
    <xdr:to>
      <xdr:col>20</xdr:col>
      <xdr:colOff>16678</xdr:colOff>
      <xdr:row>21</xdr:row>
      <xdr:rowOff>92781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iority">
              <a:extLst>
                <a:ext uri="{FF2B5EF4-FFF2-40B4-BE49-F238E27FC236}">
                  <a16:creationId xmlns:a16="http://schemas.microsoft.com/office/drawing/2014/main" id="{90083E95-EBA0-4DD4-96AC-78267D4400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ior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0449" y="1976298"/>
              <a:ext cx="2746354" cy="17994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27215</xdr:colOff>
      <xdr:row>27</xdr:row>
      <xdr:rowOff>13604</xdr:rowOff>
    </xdr:from>
    <xdr:to>
      <xdr:col>7</xdr:col>
      <xdr:colOff>632333</xdr:colOff>
      <xdr:row>39</xdr:row>
      <xdr:rowOff>16005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FD4A57A0-3B0D-4C87-87D6-64A7670C5B89}"/>
            </a:ext>
          </a:extLst>
        </xdr:cNvPr>
        <xdr:cNvSpPr/>
      </xdr:nvSpPr>
      <xdr:spPr>
        <a:xfrm>
          <a:off x="27215" y="4976932"/>
          <a:ext cx="5424998" cy="2205775"/>
        </a:xfrm>
        <a:prstGeom prst="roundRect">
          <a:avLst/>
        </a:prstGeom>
        <a:ln>
          <a:solidFill>
            <a:schemeClr val="bg2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16</xdr:col>
      <xdr:colOff>3096</xdr:colOff>
      <xdr:row>21</xdr:row>
      <xdr:rowOff>97475</xdr:rowOff>
    </xdr:from>
    <xdr:to>
      <xdr:col>20</xdr:col>
      <xdr:colOff>18950</xdr:colOff>
      <xdr:row>31</xdr:row>
      <xdr:rowOff>155434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EB682584-61C5-4140-959E-1AE025D329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2721" y="3780475"/>
              <a:ext cx="2746354" cy="18042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8</xdr:col>
      <xdr:colOff>37205</xdr:colOff>
      <xdr:row>27</xdr:row>
      <xdr:rowOff>14100</xdr:rowOff>
    </xdr:from>
    <xdr:to>
      <xdr:col>15</xdr:col>
      <xdr:colOff>642322</xdr:colOff>
      <xdr:row>39</xdr:row>
      <xdr:rowOff>16501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7F4B8ED2-1FFE-4449-92A4-68E39B00C97B}"/>
            </a:ext>
          </a:extLst>
        </xdr:cNvPr>
        <xdr:cNvSpPr/>
      </xdr:nvSpPr>
      <xdr:spPr>
        <a:xfrm>
          <a:off x="5561705" y="5157600"/>
          <a:ext cx="5486680" cy="2288401"/>
        </a:xfrm>
        <a:prstGeom prst="roundRect">
          <a:avLst/>
        </a:prstGeom>
        <a:ln>
          <a:solidFill>
            <a:schemeClr val="bg2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258536</xdr:colOff>
      <xdr:row>27</xdr:row>
      <xdr:rowOff>68036</xdr:rowOff>
    </xdr:from>
    <xdr:to>
      <xdr:col>7</xdr:col>
      <xdr:colOff>421822</xdr:colOff>
      <xdr:row>38</xdr:row>
      <xdr:rowOff>59605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67CDCBC-F883-46FE-85A5-9AD4C94DD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110435</xdr:colOff>
      <xdr:row>27</xdr:row>
      <xdr:rowOff>55218</xdr:rowOff>
    </xdr:from>
    <xdr:to>
      <xdr:col>15</xdr:col>
      <xdr:colOff>685315</xdr:colOff>
      <xdr:row>38</xdr:row>
      <xdr:rowOff>118866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DD5BE45-93D9-430C-B21B-3DBED2CF4D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29766</xdr:colOff>
      <xdr:row>40</xdr:row>
      <xdr:rowOff>5959</xdr:rowOff>
    </xdr:from>
    <xdr:to>
      <xdr:col>7</xdr:col>
      <xdr:colOff>652742</xdr:colOff>
      <xdr:row>51</xdr:row>
      <xdr:rowOff>173348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334CC8B6-4EDE-4EC8-9D27-C02BB6AC0B16}"/>
            </a:ext>
          </a:extLst>
        </xdr:cNvPr>
        <xdr:cNvSpPr/>
      </xdr:nvSpPr>
      <xdr:spPr>
        <a:xfrm>
          <a:off x="29766" y="7625959"/>
          <a:ext cx="5456914" cy="2262889"/>
        </a:xfrm>
        <a:prstGeom prst="roundRect">
          <a:avLst/>
        </a:prstGeom>
        <a:ln>
          <a:solidFill>
            <a:schemeClr val="bg2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79375</xdr:colOff>
      <xdr:row>40</xdr:row>
      <xdr:rowOff>29766</xdr:rowOff>
    </xdr:from>
    <xdr:to>
      <xdr:col>7</xdr:col>
      <xdr:colOff>575468</xdr:colOff>
      <xdr:row>51</xdr:row>
      <xdr:rowOff>95648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B3981DA-DF12-4EEE-94B1-DC490664DA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59545</xdr:colOff>
      <xdr:row>39</xdr:row>
      <xdr:rowOff>164704</xdr:rowOff>
    </xdr:from>
    <xdr:to>
      <xdr:col>15</xdr:col>
      <xdr:colOff>682522</xdr:colOff>
      <xdr:row>51</xdr:row>
      <xdr:rowOff>153499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482EA8AF-A1E6-4908-82BE-F9CF24F859D5}"/>
            </a:ext>
          </a:extLst>
        </xdr:cNvPr>
        <xdr:cNvSpPr/>
      </xdr:nvSpPr>
      <xdr:spPr>
        <a:xfrm>
          <a:off x="5584045" y="7594204"/>
          <a:ext cx="5504540" cy="2274795"/>
        </a:xfrm>
        <a:prstGeom prst="roundRect">
          <a:avLst/>
        </a:prstGeom>
        <a:ln>
          <a:solidFill>
            <a:schemeClr val="bg2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675103</xdr:colOff>
      <xdr:row>40</xdr:row>
      <xdr:rowOff>33617</xdr:rowOff>
    </xdr:from>
    <xdr:to>
      <xdr:col>15</xdr:col>
      <xdr:colOff>605119</xdr:colOff>
      <xdr:row>51</xdr:row>
      <xdr:rowOff>129669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3AF7923-BA27-4283-A3F3-F95D8D7A96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</xdr:colOff>
      <xdr:row>14</xdr:row>
      <xdr:rowOff>16648</xdr:rowOff>
    </xdr:from>
    <xdr:to>
      <xdr:col>15</xdr:col>
      <xdr:colOff>605118</xdr:colOff>
      <xdr:row>26</xdr:row>
      <xdr:rowOff>16329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102B5035-8940-4BF9-94DF-E6BE73B5D652}"/>
            </a:ext>
          </a:extLst>
        </xdr:cNvPr>
        <xdr:cNvSpPr/>
      </xdr:nvSpPr>
      <xdr:spPr>
        <a:xfrm>
          <a:off x="5524501" y="2683648"/>
          <a:ext cx="5486680" cy="2285681"/>
        </a:xfrm>
        <a:prstGeom prst="roundRect">
          <a:avLst/>
        </a:prstGeom>
        <a:ln>
          <a:solidFill>
            <a:schemeClr val="bg2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635513</xdr:colOff>
      <xdr:row>13</xdr:row>
      <xdr:rowOff>178126</xdr:rowOff>
    </xdr:from>
    <xdr:to>
      <xdr:col>15</xdr:col>
      <xdr:colOff>623375</xdr:colOff>
      <xdr:row>25</xdr:row>
      <xdr:rowOff>176064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CE21569-F7C2-4038-A716-C9CF3516C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16</xdr:col>
      <xdr:colOff>1151</xdr:colOff>
      <xdr:row>31</xdr:row>
      <xdr:rowOff>169326</xdr:rowOff>
    </xdr:from>
    <xdr:to>
      <xdr:col>19</xdr:col>
      <xdr:colOff>670560</xdr:colOff>
      <xdr:row>42</xdr:row>
      <xdr:rowOff>43599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Customer Segment">
              <a:extLst>
                <a:ext uri="{FF2B5EF4-FFF2-40B4-BE49-F238E27FC236}">
                  <a16:creationId xmlns:a16="http://schemas.microsoft.com/office/drawing/2014/main" id="{086AC32B-FCB5-4415-96C5-C1D358C110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0776" y="5598576"/>
              <a:ext cx="2717284" cy="17951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7323</xdr:colOff>
      <xdr:row>52</xdr:row>
      <xdr:rowOff>89195</xdr:rowOff>
    </xdr:from>
    <xdr:to>
      <xdr:col>19</xdr:col>
      <xdr:colOff>671328</xdr:colOff>
      <xdr:row>62</xdr:row>
      <xdr:rowOff>142258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Product">
              <a:extLst>
                <a:ext uri="{FF2B5EF4-FFF2-40B4-BE49-F238E27FC236}">
                  <a16:creationId xmlns:a16="http://schemas.microsoft.com/office/drawing/2014/main" id="{0A0B95A5-AFD3-479F-8236-7D477634DF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6948" y="9185570"/>
              <a:ext cx="2711880" cy="1799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5042</xdr:colOff>
      <xdr:row>42</xdr:row>
      <xdr:rowOff>49629</xdr:rowOff>
    </xdr:from>
    <xdr:to>
      <xdr:col>19</xdr:col>
      <xdr:colOff>673195</xdr:colOff>
      <xdr:row>52</xdr:row>
      <xdr:rowOff>93732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Agent">
              <a:extLst>
                <a:ext uri="{FF2B5EF4-FFF2-40B4-BE49-F238E27FC236}">
                  <a16:creationId xmlns:a16="http://schemas.microsoft.com/office/drawing/2014/main" id="{FE9D5BEC-4E54-4201-84A5-14CAE781CD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4667" y="7399754"/>
              <a:ext cx="2716028" cy="17903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542226</xdr:colOff>
      <xdr:row>3</xdr:row>
      <xdr:rowOff>134233</xdr:rowOff>
    </xdr:from>
    <xdr:to>
      <xdr:col>2</xdr:col>
      <xdr:colOff>639919</xdr:colOff>
      <xdr:row>7</xdr:row>
      <xdr:rowOff>170572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C2A78C3E-64E6-344A-1F8D-48A9A9D4CE8D}"/>
            </a:ext>
          </a:extLst>
        </xdr:cNvPr>
        <xdr:cNvGrpSpPr/>
      </xdr:nvGrpSpPr>
      <xdr:grpSpPr>
        <a:xfrm>
          <a:off x="542226" y="691794"/>
          <a:ext cx="1468364" cy="779754"/>
          <a:chOff x="950129" y="508909"/>
          <a:chExt cx="1469826" cy="755045"/>
        </a:xfrm>
      </xdr:grpSpPr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9641746A-D8CF-2440-CA19-5E04D95654A7}"/>
              </a:ext>
            </a:extLst>
          </xdr:cNvPr>
          <xdr:cNvGrpSpPr/>
        </xdr:nvGrpSpPr>
        <xdr:grpSpPr>
          <a:xfrm>
            <a:off x="950129" y="508909"/>
            <a:ext cx="1469826" cy="755045"/>
            <a:chOff x="1648445" y="1043888"/>
            <a:chExt cx="1465385" cy="768366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5922DE81-2B0D-CF05-ECF5-23447F420F94}"/>
                </a:ext>
              </a:extLst>
            </xdr:cNvPr>
            <xdr:cNvSpPr/>
          </xdr:nvSpPr>
          <xdr:spPr>
            <a:xfrm>
              <a:off x="1648445" y="1043888"/>
              <a:ext cx="1465385" cy="768366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>
                  <a:solidFill>
                    <a:srgbClr val="64748B"/>
                  </a:solidFill>
                  <a:latin typeface="Aptos" panose="020F0502020204030204" pitchFamily="34" charset="0"/>
                  <a:ea typeface="+mn-ea"/>
                  <a:cs typeface="+mn-cs"/>
                </a:rPr>
                <a:t>TOTAL TICKETS</a:t>
              </a:r>
              <a:endParaRPr lang="pt-BR" sz="1100">
                <a:solidFill>
                  <a:srgbClr val="64748B"/>
                </a:solidFill>
                <a:latin typeface="Aptos" panose="020F0502020204030204" pitchFamily="34" charset="0"/>
              </a:endParaRPr>
            </a:p>
          </xdr:txBody>
        </xdr:sp>
        <xdr:sp macro="" textlink="Dashboard!$AB$1">
          <xdr:nvSpPr>
            <xdr:cNvPr id="21" name="CaixaDeTexto 20">
              <a:extLst>
                <a:ext uri="{FF2B5EF4-FFF2-40B4-BE49-F238E27FC236}">
                  <a16:creationId xmlns:a16="http://schemas.microsoft.com/office/drawing/2014/main" id="{2B505151-15E9-7AFA-0E46-C1A38D9EA8D1}"/>
                </a:ext>
              </a:extLst>
            </xdr:cNvPr>
            <xdr:cNvSpPr txBox="1"/>
          </xdr:nvSpPr>
          <xdr:spPr>
            <a:xfrm>
              <a:off x="1791763" y="1337913"/>
              <a:ext cx="755072" cy="359358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F55ECC9B-E739-4703-BDAC-32417F895F38}" type="TxLink">
                <a:rPr lang="en-US" sz="2000" b="1" i="0" u="none" strike="noStrike">
                  <a:solidFill>
                    <a:srgbClr val="000000"/>
                  </a:solidFill>
                  <a:latin typeface="Aptos" panose="020B0004020202020204" pitchFamily="34" charset="0"/>
                </a:rPr>
                <a:pPr/>
                <a:t>1180</a:t>
              </a:fld>
              <a:endParaRPr lang="pt-BR" sz="2000" b="1">
                <a:solidFill>
                  <a:srgbClr val="0F172A"/>
                </a:solidFill>
                <a:latin typeface="Aptos" panose="020B0004020202020204" pitchFamily="34" charset="0"/>
              </a:endParaRPr>
            </a:p>
          </xdr:txBody>
        </xdr:sp>
      </xdr:grpSp>
      <xdr:pic>
        <xdr:nvPicPr>
          <xdr:cNvPr id="24" name="Gráfico 23" descr="Documento estrutura de tópicos">
            <a:extLst>
              <a:ext uri="{FF2B5EF4-FFF2-40B4-BE49-F238E27FC236}">
                <a16:creationId xmlns:a16="http://schemas.microsoft.com/office/drawing/2014/main" id="{160CE6AF-B580-931D-7801-EE51EA10D4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1970500" y="802631"/>
            <a:ext cx="342676" cy="333795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468347</xdr:colOff>
      <xdr:row>3</xdr:row>
      <xdr:rowOff>123928</xdr:rowOff>
    </xdr:from>
    <xdr:to>
      <xdr:col>6</xdr:col>
      <xdr:colOff>561508</xdr:colOff>
      <xdr:row>7</xdr:row>
      <xdr:rowOff>161190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EF3D7B31-D44F-98C8-2E0A-70ACFE146299}"/>
            </a:ext>
          </a:extLst>
        </xdr:cNvPr>
        <xdr:cNvGrpSpPr/>
      </xdr:nvGrpSpPr>
      <xdr:grpSpPr>
        <a:xfrm>
          <a:off x="3209688" y="681489"/>
          <a:ext cx="1463832" cy="780677"/>
          <a:chOff x="1274379" y="1690705"/>
          <a:chExt cx="1464038" cy="775487"/>
        </a:xfrm>
      </xdr:grpSpPr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E5C8B553-1066-977C-9319-CC2486A1C25D}"/>
              </a:ext>
            </a:extLst>
          </xdr:cNvPr>
          <xdr:cNvGrpSpPr/>
        </xdr:nvGrpSpPr>
        <xdr:grpSpPr>
          <a:xfrm>
            <a:off x="1274379" y="1690705"/>
            <a:ext cx="1464038" cy="775487"/>
            <a:chOff x="1660770" y="1050192"/>
            <a:chExt cx="1465385" cy="768366"/>
          </a:xfrm>
        </xdr:grpSpPr>
        <xdr:sp macro="" textlink="">
          <xdr:nvSpPr>
            <xdr:cNvPr id="29" name="Retângulo: Cantos Arredondados 28">
              <a:extLst>
                <a:ext uri="{FF2B5EF4-FFF2-40B4-BE49-F238E27FC236}">
                  <a16:creationId xmlns:a16="http://schemas.microsoft.com/office/drawing/2014/main" id="{03748982-E9E0-9C2A-D3C3-F86F112AE9A3}"/>
                </a:ext>
              </a:extLst>
            </xdr:cNvPr>
            <xdr:cNvSpPr/>
          </xdr:nvSpPr>
          <xdr:spPr>
            <a:xfrm>
              <a:off x="1660770" y="1050192"/>
              <a:ext cx="1465385" cy="768366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>
                  <a:solidFill>
                    <a:srgbClr val="64748B"/>
                  </a:solidFill>
                  <a:latin typeface="Aptos" panose="020F0502020204030204" pitchFamily="34" charset="0"/>
                  <a:ea typeface="+mn-ea"/>
                  <a:cs typeface="+mn-cs"/>
                </a:rPr>
                <a:t>OPEN</a:t>
              </a:r>
              <a:r>
                <a:rPr lang="pt-BR" sz="1100" baseline="0">
                  <a:solidFill>
                    <a:srgbClr val="64748B"/>
                  </a:solidFill>
                  <a:latin typeface="Aptos" panose="020F0502020204030204" pitchFamily="34" charset="0"/>
                  <a:ea typeface="+mn-ea"/>
                  <a:cs typeface="+mn-cs"/>
                </a:rPr>
                <a:t> BACKLOG</a:t>
              </a:r>
              <a:endParaRPr lang="pt-BR" sz="1100">
                <a:solidFill>
                  <a:srgbClr val="64748B"/>
                </a:solidFill>
                <a:latin typeface="Aptos" panose="020F0502020204030204" pitchFamily="34" charset="0"/>
              </a:endParaRPr>
            </a:p>
          </xdr:txBody>
        </xdr:sp>
        <xdr:sp macro="" textlink="Dashboard!$AB$3">
          <xdr:nvSpPr>
            <xdr:cNvPr id="30" name="CaixaDeTexto 29">
              <a:extLst>
                <a:ext uri="{FF2B5EF4-FFF2-40B4-BE49-F238E27FC236}">
                  <a16:creationId xmlns:a16="http://schemas.microsoft.com/office/drawing/2014/main" id="{C9F7044C-7A95-04CA-A48F-34022239C511}"/>
                </a:ext>
              </a:extLst>
            </xdr:cNvPr>
            <xdr:cNvSpPr txBox="1"/>
          </xdr:nvSpPr>
          <xdr:spPr>
            <a:xfrm>
              <a:off x="1782885" y="1343269"/>
              <a:ext cx="776335" cy="3541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2666C80C-0850-4F33-9066-9EEC07EC1E09}" type="TxLink">
                <a:rPr lang="en-US" sz="2000" b="0" i="0" u="none" strike="noStrike">
                  <a:solidFill>
                    <a:srgbClr val="000000"/>
                  </a:solidFill>
                  <a:latin typeface="Carlito"/>
                </a:rPr>
                <a:pPr/>
                <a:t>26</a:t>
              </a:fld>
              <a:endParaRPr lang="pt-BR" sz="4000" b="1">
                <a:solidFill>
                  <a:srgbClr val="0F172A"/>
                </a:solidFill>
              </a:endParaRPr>
            </a:p>
          </xdr:txBody>
        </xdr:sp>
      </xdr:grpSp>
      <xdr:pic>
        <xdr:nvPicPr>
          <xdr:cNvPr id="32" name="Gráfico 31" descr="Relógio estrutura de tópicos">
            <a:extLst>
              <a:ext uri="{FF2B5EF4-FFF2-40B4-BE49-F238E27FC236}">
                <a16:creationId xmlns:a16="http://schemas.microsoft.com/office/drawing/2014/main" id="{71D73BF6-99BE-61D5-D1D7-4C4E07AA8B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2279433" y="1996966"/>
            <a:ext cx="342898" cy="342898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454068</xdr:colOff>
      <xdr:row>3</xdr:row>
      <xdr:rowOff>144081</xdr:rowOff>
    </xdr:from>
    <xdr:to>
      <xdr:col>10</xdr:col>
      <xdr:colOff>497533</xdr:colOff>
      <xdr:row>8</xdr:row>
      <xdr:rowOff>4126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29D1109A-4475-D97D-A286-615D799FE71A}"/>
            </a:ext>
          </a:extLst>
        </xdr:cNvPr>
        <xdr:cNvGrpSpPr/>
      </xdr:nvGrpSpPr>
      <xdr:grpSpPr>
        <a:xfrm>
          <a:off x="5936751" y="701642"/>
          <a:ext cx="1460599" cy="789313"/>
          <a:chOff x="4250121" y="1517431"/>
          <a:chExt cx="1464038" cy="775487"/>
        </a:xfrm>
      </xdr:grpSpPr>
      <xdr:grpSp>
        <xdr:nvGrpSpPr>
          <xdr:cNvPr id="36" name="Agrupar 35">
            <a:extLst>
              <a:ext uri="{FF2B5EF4-FFF2-40B4-BE49-F238E27FC236}">
                <a16:creationId xmlns:a16="http://schemas.microsoft.com/office/drawing/2014/main" id="{B99D4824-803D-A043-62C8-67FD30ACD357}"/>
              </a:ext>
            </a:extLst>
          </xdr:cNvPr>
          <xdr:cNvGrpSpPr/>
        </xdr:nvGrpSpPr>
        <xdr:grpSpPr>
          <a:xfrm>
            <a:off x="4250121" y="1517431"/>
            <a:ext cx="1464038" cy="775487"/>
            <a:chOff x="1660770" y="1050192"/>
            <a:chExt cx="1465385" cy="768366"/>
          </a:xfrm>
        </xdr:grpSpPr>
        <xdr:sp macro="" textlink="">
          <xdr:nvSpPr>
            <xdr:cNvPr id="38" name="Retângulo: Cantos Arredondados 37">
              <a:extLst>
                <a:ext uri="{FF2B5EF4-FFF2-40B4-BE49-F238E27FC236}">
                  <a16:creationId xmlns:a16="http://schemas.microsoft.com/office/drawing/2014/main" id="{FC523F9B-E6F7-4EE8-BC29-F9B8E482AE0A}"/>
                </a:ext>
              </a:extLst>
            </xdr:cNvPr>
            <xdr:cNvSpPr/>
          </xdr:nvSpPr>
          <xdr:spPr>
            <a:xfrm>
              <a:off x="1660770" y="1050192"/>
              <a:ext cx="1465385" cy="768366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>
                  <a:solidFill>
                    <a:srgbClr val="64748B"/>
                  </a:solidFill>
                  <a:latin typeface="Aptos" panose="020F0502020204030204" pitchFamily="34" charset="0"/>
                  <a:ea typeface="+mn-ea"/>
                  <a:cs typeface="+mn-cs"/>
                </a:rPr>
                <a:t>Ave. First</a:t>
              </a:r>
              <a:r>
                <a:rPr lang="pt-BR" sz="1100" baseline="0">
                  <a:solidFill>
                    <a:srgbClr val="64748B"/>
                  </a:solidFill>
                  <a:latin typeface="Aptos" panose="020F0502020204030204" pitchFamily="34" charset="0"/>
                  <a:ea typeface="+mn-ea"/>
                  <a:cs typeface="+mn-cs"/>
                </a:rPr>
                <a:t> Response</a:t>
              </a:r>
              <a:r>
                <a:rPr lang="pt-BR" sz="1100">
                  <a:solidFill>
                    <a:srgbClr val="64748B"/>
                  </a:solidFill>
                  <a:latin typeface="Aptos" panose="020F0502020204030204" pitchFamily="34" charset="0"/>
                  <a:ea typeface="+mn-ea"/>
                  <a:cs typeface="+mn-cs"/>
                </a:rPr>
                <a:t> se</a:t>
              </a:r>
              <a:endParaRPr lang="pt-BR" sz="1100">
                <a:solidFill>
                  <a:srgbClr val="64748B"/>
                </a:solidFill>
                <a:latin typeface="Aptos" panose="020F0502020204030204" pitchFamily="34" charset="0"/>
              </a:endParaRPr>
            </a:p>
          </xdr:txBody>
        </xdr:sp>
        <xdr:sp macro="" textlink="Dashboard!$AB$8">
          <xdr:nvSpPr>
            <xdr:cNvPr id="39" name="CaixaDeTexto 38">
              <a:extLst>
                <a:ext uri="{FF2B5EF4-FFF2-40B4-BE49-F238E27FC236}">
                  <a16:creationId xmlns:a16="http://schemas.microsoft.com/office/drawing/2014/main" id="{EF8D07F8-1765-7EF2-F59D-00D2CE5C8CCA}"/>
                </a:ext>
              </a:extLst>
            </xdr:cNvPr>
            <xdr:cNvSpPr txBox="1"/>
          </xdr:nvSpPr>
          <xdr:spPr>
            <a:xfrm>
              <a:off x="1782885" y="1343269"/>
              <a:ext cx="793750" cy="3541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B8366B9D-8AC0-430C-84BC-C45AF3D0398D}" type="TxLink">
                <a:rPr lang="en-US" sz="1800" b="1" i="0" u="none" strike="noStrike">
                  <a:solidFill>
                    <a:srgbClr val="000000"/>
                  </a:solidFill>
                  <a:latin typeface="Aptos" panose="020B0004020202020204" pitchFamily="34" charset="0"/>
                </a:rPr>
                <a:pPr/>
                <a:t>12:12</a:t>
              </a:fld>
              <a:endParaRPr lang="pt-BR" sz="3600" b="1">
                <a:solidFill>
                  <a:srgbClr val="0F172A"/>
                </a:solidFill>
                <a:latin typeface="Aptos" panose="020B0004020202020204" pitchFamily="34" charset="0"/>
              </a:endParaRPr>
            </a:p>
          </xdr:txBody>
        </xdr:sp>
      </xdr:grpSp>
      <xdr:pic>
        <xdr:nvPicPr>
          <xdr:cNvPr id="41" name="Gráfico 40" descr="Cronômetro 75% estrutura de tópicos">
            <a:extLst>
              <a:ext uri="{FF2B5EF4-FFF2-40B4-BE49-F238E27FC236}">
                <a16:creationId xmlns:a16="http://schemas.microsoft.com/office/drawing/2014/main" id="{E3936CA9-AE70-2F89-715D-8D01668537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5189482" y="1780190"/>
            <a:ext cx="415157" cy="41515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501798</xdr:colOff>
      <xdr:row>3</xdr:row>
      <xdr:rowOff>120018</xdr:rowOff>
    </xdr:from>
    <xdr:to>
      <xdr:col>14</xdr:col>
      <xdr:colOff>650885</xdr:colOff>
      <xdr:row>7</xdr:row>
      <xdr:rowOff>157280</xdr:rowOff>
    </xdr:to>
    <xdr:grpSp>
      <xdr:nvGrpSpPr>
        <xdr:cNvPr id="58" name="Agrupar 57">
          <a:extLst>
            <a:ext uri="{FF2B5EF4-FFF2-40B4-BE49-F238E27FC236}">
              <a16:creationId xmlns:a16="http://schemas.microsoft.com/office/drawing/2014/main" id="{724A9523-F108-8385-DB8D-CD91467301DD}"/>
            </a:ext>
          </a:extLst>
        </xdr:cNvPr>
        <xdr:cNvGrpSpPr/>
      </xdr:nvGrpSpPr>
      <xdr:grpSpPr>
        <a:xfrm>
          <a:off x="8772286" y="677579"/>
          <a:ext cx="1519758" cy="780677"/>
          <a:chOff x="6857999" y="1598542"/>
          <a:chExt cx="1524001" cy="768632"/>
        </a:xfrm>
      </xdr:grpSpPr>
      <xdr:grpSp>
        <xdr:nvGrpSpPr>
          <xdr:cNvPr id="54" name="Agrupar 53">
            <a:extLst>
              <a:ext uri="{FF2B5EF4-FFF2-40B4-BE49-F238E27FC236}">
                <a16:creationId xmlns:a16="http://schemas.microsoft.com/office/drawing/2014/main" id="{0380FDBF-CA5A-2071-6984-56279A5DBF10}"/>
              </a:ext>
            </a:extLst>
          </xdr:cNvPr>
          <xdr:cNvGrpSpPr/>
        </xdr:nvGrpSpPr>
        <xdr:grpSpPr>
          <a:xfrm>
            <a:off x="6857999" y="1598542"/>
            <a:ext cx="1524001" cy="768632"/>
            <a:chOff x="1611318" y="950835"/>
            <a:chExt cx="1516528" cy="768366"/>
          </a:xfrm>
        </xdr:grpSpPr>
        <xdr:sp macro="" textlink="">
          <xdr:nvSpPr>
            <xdr:cNvPr id="56" name="Retângulo: Cantos Arredondados 55">
              <a:extLst>
                <a:ext uri="{FF2B5EF4-FFF2-40B4-BE49-F238E27FC236}">
                  <a16:creationId xmlns:a16="http://schemas.microsoft.com/office/drawing/2014/main" id="{36A517AB-A4EC-9D21-1166-1484712E5A2E}"/>
                </a:ext>
              </a:extLst>
            </xdr:cNvPr>
            <xdr:cNvSpPr/>
          </xdr:nvSpPr>
          <xdr:spPr>
            <a:xfrm>
              <a:off x="1611318" y="950835"/>
              <a:ext cx="1516528" cy="768366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>
                  <a:solidFill>
                    <a:srgbClr val="64748B"/>
                  </a:solidFill>
                  <a:latin typeface="Aptos" panose="020F0502020204030204" pitchFamily="34" charset="0"/>
                  <a:ea typeface="+mn-ea"/>
                  <a:cs typeface="+mn-cs"/>
                </a:rPr>
                <a:t>Ave.</a:t>
              </a:r>
              <a:r>
                <a:rPr lang="pt-BR" sz="1100" baseline="0">
                  <a:solidFill>
                    <a:srgbClr val="64748B"/>
                  </a:solidFill>
                  <a:latin typeface="Aptos" panose="020F0502020204030204" pitchFamily="34" charset="0"/>
                  <a:ea typeface="+mn-ea"/>
                  <a:cs typeface="+mn-cs"/>
                </a:rPr>
                <a:t> Resolution Time</a:t>
              </a:r>
              <a:endParaRPr lang="pt-BR" sz="1100">
                <a:solidFill>
                  <a:srgbClr val="64748B"/>
                </a:solidFill>
                <a:latin typeface="Aptos" panose="020F0502020204030204" pitchFamily="34" charset="0"/>
              </a:endParaRPr>
            </a:p>
          </xdr:txBody>
        </xdr:sp>
        <xdr:sp macro="" textlink="Dashboard!$AB$6">
          <xdr:nvSpPr>
            <xdr:cNvPr id="57" name="CaixaDeTexto 56">
              <a:extLst>
                <a:ext uri="{FF2B5EF4-FFF2-40B4-BE49-F238E27FC236}">
                  <a16:creationId xmlns:a16="http://schemas.microsoft.com/office/drawing/2014/main" id="{495165D3-BCD4-7FD4-66F9-4C5AD915BFB8}"/>
                </a:ext>
              </a:extLst>
            </xdr:cNvPr>
            <xdr:cNvSpPr txBox="1"/>
          </xdr:nvSpPr>
          <xdr:spPr>
            <a:xfrm>
              <a:off x="1733433" y="1260472"/>
              <a:ext cx="793750" cy="3541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14C8C3ED-6626-44FD-BB9A-215248BEB31C}" type="TxLink">
                <a:rPr lang="en-US" sz="2000" b="1" i="0" u="none" strike="noStrike">
                  <a:solidFill>
                    <a:srgbClr val="000000"/>
                  </a:solidFill>
                  <a:latin typeface="Aptos" panose="020B0004020202020204" pitchFamily="34" charset="0"/>
                </a:rPr>
                <a:pPr/>
                <a:t>2:23</a:t>
              </a:fld>
              <a:endParaRPr lang="pt-BR" sz="4000" b="1">
                <a:solidFill>
                  <a:srgbClr val="0F172A"/>
                </a:solidFill>
                <a:latin typeface="Aptos" panose="020B0004020202020204" pitchFamily="34" charset="0"/>
              </a:endParaRPr>
            </a:p>
          </xdr:txBody>
        </xdr:sp>
      </xdr:grpSp>
      <xdr:pic>
        <xdr:nvPicPr>
          <xdr:cNvPr id="52" name="Gráfico 51" descr="Marca de seleção com preenchimento sólido">
            <a:extLst>
              <a:ext uri="{FF2B5EF4-FFF2-40B4-BE49-F238E27FC236}">
                <a16:creationId xmlns:a16="http://schemas.microsoft.com/office/drawing/2014/main" id="{BF9312C3-71E6-E68F-21F9-5B272745F2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7902927" y="1938130"/>
            <a:ext cx="313420" cy="31342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543214</xdr:colOff>
      <xdr:row>8</xdr:row>
      <xdr:rowOff>150650</xdr:rowOff>
    </xdr:from>
    <xdr:to>
      <xdr:col>2</xdr:col>
      <xdr:colOff>640907</xdr:colOff>
      <xdr:row>13</xdr:row>
      <xdr:rowOff>10695</xdr:rowOff>
    </xdr:to>
    <xdr:grpSp>
      <xdr:nvGrpSpPr>
        <xdr:cNvPr id="69" name="Agrupar 68">
          <a:extLst>
            <a:ext uri="{FF2B5EF4-FFF2-40B4-BE49-F238E27FC236}">
              <a16:creationId xmlns:a16="http://schemas.microsoft.com/office/drawing/2014/main" id="{0E7C2035-FF16-E5C3-3DC1-C1549587A2D0}"/>
            </a:ext>
          </a:extLst>
        </xdr:cNvPr>
        <xdr:cNvGrpSpPr/>
      </xdr:nvGrpSpPr>
      <xdr:grpSpPr>
        <a:xfrm>
          <a:off x="543214" y="1637479"/>
          <a:ext cx="1468364" cy="789314"/>
          <a:chOff x="1134716" y="1408043"/>
          <a:chExt cx="1472606" cy="768632"/>
        </a:xfrm>
      </xdr:grpSpPr>
      <xdr:grpSp>
        <xdr:nvGrpSpPr>
          <xdr:cNvPr id="65" name="Agrupar 64">
            <a:extLst>
              <a:ext uri="{FF2B5EF4-FFF2-40B4-BE49-F238E27FC236}">
                <a16:creationId xmlns:a16="http://schemas.microsoft.com/office/drawing/2014/main" id="{569BCE43-A025-7590-2455-566E2CF53B4E}"/>
              </a:ext>
            </a:extLst>
          </xdr:cNvPr>
          <xdr:cNvGrpSpPr/>
        </xdr:nvGrpSpPr>
        <xdr:grpSpPr>
          <a:xfrm>
            <a:off x="1134716" y="1408043"/>
            <a:ext cx="1472606" cy="768632"/>
            <a:chOff x="1660769" y="1050192"/>
            <a:chExt cx="1465385" cy="768366"/>
          </a:xfrm>
        </xdr:grpSpPr>
        <xdr:sp macro="" textlink="">
          <xdr:nvSpPr>
            <xdr:cNvPr id="67" name="Retângulo: Cantos Arredondados 66">
              <a:extLst>
                <a:ext uri="{FF2B5EF4-FFF2-40B4-BE49-F238E27FC236}">
                  <a16:creationId xmlns:a16="http://schemas.microsoft.com/office/drawing/2014/main" id="{6A292C72-F386-773D-DB28-3B2A534ACF5C}"/>
                </a:ext>
              </a:extLst>
            </xdr:cNvPr>
            <xdr:cNvSpPr/>
          </xdr:nvSpPr>
          <xdr:spPr>
            <a:xfrm>
              <a:off x="1660769" y="1050192"/>
              <a:ext cx="1465385" cy="768366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>
                  <a:solidFill>
                    <a:srgbClr val="64748B"/>
                  </a:solidFill>
                  <a:latin typeface="Aptos" panose="020F0502020204030204" pitchFamily="34" charset="0"/>
                  <a:ea typeface="+mn-ea"/>
                  <a:cs typeface="+mn-cs"/>
                </a:rPr>
                <a:t>Response SLA</a:t>
              </a:r>
              <a:endParaRPr lang="pt-BR" sz="1100">
                <a:solidFill>
                  <a:srgbClr val="64748B"/>
                </a:solidFill>
                <a:latin typeface="Aptos" panose="020F0502020204030204" pitchFamily="34" charset="0"/>
              </a:endParaRPr>
            </a:p>
          </xdr:txBody>
        </xdr:sp>
        <xdr:sp macro="" textlink="Dashboard!$AB$2">
          <xdr:nvSpPr>
            <xdr:cNvPr id="68" name="CaixaDeTexto 67">
              <a:extLst>
                <a:ext uri="{FF2B5EF4-FFF2-40B4-BE49-F238E27FC236}">
                  <a16:creationId xmlns:a16="http://schemas.microsoft.com/office/drawing/2014/main" id="{E58AF4D1-783F-6714-FD43-2F27F5F81038}"/>
                </a:ext>
              </a:extLst>
            </xdr:cNvPr>
            <xdr:cNvSpPr txBox="1"/>
          </xdr:nvSpPr>
          <xdr:spPr>
            <a:xfrm>
              <a:off x="1768428" y="1340291"/>
              <a:ext cx="895178" cy="36118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36A67692-F35A-4588-AD70-B89A283D61CF}" type="TxLink">
                <a:rPr lang="en-US" sz="2000" b="1" i="0" u="none" strike="noStrike">
                  <a:solidFill>
                    <a:srgbClr val="000000"/>
                  </a:solidFill>
                  <a:latin typeface="Aptos" panose="020B0004020202020204" pitchFamily="34" charset="0"/>
                </a:rPr>
                <a:pPr/>
                <a:t>55,3%</a:t>
              </a:fld>
              <a:endParaRPr lang="pt-BR" sz="4000" b="1">
                <a:solidFill>
                  <a:srgbClr val="0F172A"/>
                </a:solidFill>
                <a:latin typeface="Aptos" panose="020B0004020202020204" pitchFamily="34" charset="0"/>
              </a:endParaRPr>
            </a:p>
          </xdr:txBody>
        </xdr:sp>
      </xdr:grpSp>
      <xdr:pic>
        <xdr:nvPicPr>
          <xdr:cNvPr id="50" name="Gráfico 49" descr="Escudo com preenchimento sólido">
            <a:extLst>
              <a:ext uri="{FF2B5EF4-FFF2-40B4-BE49-F238E27FC236}">
                <a16:creationId xmlns:a16="http://schemas.microsoft.com/office/drawing/2014/main" id="{FC85BC58-6169-2ACD-3519-720C553AB7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2167767" y="1666507"/>
            <a:ext cx="411900" cy="41190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456638</xdr:colOff>
      <xdr:row>8</xdr:row>
      <xdr:rowOff>134084</xdr:rowOff>
    </xdr:from>
    <xdr:to>
      <xdr:col>6</xdr:col>
      <xdr:colOff>549799</xdr:colOff>
      <xdr:row>12</xdr:row>
      <xdr:rowOff>173846</xdr:rowOff>
    </xdr:to>
    <xdr:grpSp>
      <xdr:nvGrpSpPr>
        <xdr:cNvPr id="75" name="Agrupar 74">
          <a:extLst>
            <a:ext uri="{FF2B5EF4-FFF2-40B4-BE49-F238E27FC236}">
              <a16:creationId xmlns:a16="http://schemas.microsoft.com/office/drawing/2014/main" id="{9BCC049D-AAE8-E72A-8F3F-2698B270EB17}"/>
            </a:ext>
          </a:extLst>
        </xdr:cNvPr>
        <xdr:cNvGrpSpPr/>
      </xdr:nvGrpSpPr>
      <xdr:grpSpPr>
        <a:xfrm>
          <a:off x="3197979" y="1620913"/>
          <a:ext cx="1463832" cy="783177"/>
          <a:chOff x="3934239" y="1507435"/>
          <a:chExt cx="1472606" cy="768632"/>
        </a:xfrm>
      </xdr:grpSpPr>
      <xdr:grpSp>
        <xdr:nvGrpSpPr>
          <xdr:cNvPr id="71" name="Agrupar 70">
            <a:extLst>
              <a:ext uri="{FF2B5EF4-FFF2-40B4-BE49-F238E27FC236}">
                <a16:creationId xmlns:a16="http://schemas.microsoft.com/office/drawing/2014/main" id="{2175619F-56C9-48FC-0182-F1D16F29CB52}"/>
              </a:ext>
            </a:extLst>
          </xdr:cNvPr>
          <xdr:cNvGrpSpPr/>
        </xdr:nvGrpSpPr>
        <xdr:grpSpPr>
          <a:xfrm>
            <a:off x="3934239" y="1507435"/>
            <a:ext cx="1472606" cy="768632"/>
            <a:chOff x="1660769" y="1050192"/>
            <a:chExt cx="1465385" cy="768366"/>
          </a:xfrm>
        </xdr:grpSpPr>
        <xdr:sp macro="" textlink="">
          <xdr:nvSpPr>
            <xdr:cNvPr id="73" name="Retângulo: Cantos Arredondados 72">
              <a:extLst>
                <a:ext uri="{FF2B5EF4-FFF2-40B4-BE49-F238E27FC236}">
                  <a16:creationId xmlns:a16="http://schemas.microsoft.com/office/drawing/2014/main" id="{3762F4E4-CC3D-C5AE-9FC1-3ABC2BD59A33}"/>
                </a:ext>
              </a:extLst>
            </xdr:cNvPr>
            <xdr:cNvSpPr/>
          </xdr:nvSpPr>
          <xdr:spPr>
            <a:xfrm>
              <a:off x="1660769" y="1050192"/>
              <a:ext cx="1465385" cy="768366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>
                  <a:solidFill>
                    <a:srgbClr val="64748B"/>
                  </a:solidFill>
                  <a:latin typeface="Aptos" panose="020F0502020204030204" pitchFamily="34" charset="0"/>
                  <a:ea typeface="+mn-ea"/>
                  <a:cs typeface="+mn-cs"/>
                </a:rPr>
                <a:t>Resolution SLA</a:t>
              </a:r>
              <a:endParaRPr lang="pt-BR" sz="1100">
                <a:solidFill>
                  <a:srgbClr val="64748B"/>
                </a:solidFill>
                <a:latin typeface="Aptos" panose="020F0502020204030204" pitchFamily="34" charset="0"/>
              </a:endParaRPr>
            </a:p>
          </xdr:txBody>
        </xdr:sp>
        <xdr:sp macro="" textlink="Dashboard!$AB$4">
          <xdr:nvSpPr>
            <xdr:cNvPr id="74" name="CaixaDeTexto 73">
              <a:extLst>
                <a:ext uri="{FF2B5EF4-FFF2-40B4-BE49-F238E27FC236}">
                  <a16:creationId xmlns:a16="http://schemas.microsoft.com/office/drawing/2014/main" id="{BE60006C-0B12-7F31-69BD-FE5F667E6706}"/>
                </a:ext>
              </a:extLst>
            </xdr:cNvPr>
            <xdr:cNvSpPr txBox="1"/>
          </xdr:nvSpPr>
          <xdr:spPr>
            <a:xfrm>
              <a:off x="1782885" y="1343269"/>
              <a:ext cx="793750" cy="3541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E61ED690-2108-450C-89BA-4FCC32C17D94}" type="TxLink">
                <a:rPr lang="en-US" sz="2000" b="1" i="0" u="none" strike="noStrike">
                  <a:solidFill>
                    <a:srgbClr val="000000"/>
                  </a:solidFill>
                  <a:latin typeface="Aptos" panose="020B0004020202020204" pitchFamily="34" charset="0"/>
                </a:rPr>
                <a:pPr/>
                <a:t>50%</a:t>
              </a:fld>
              <a:endParaRPr lang="pt-BR" sz="4000" b="1">
                <a:solidFill>
                  <a:srgbClr val="0F172A"/>
                </a:solidFill>
                <a:latin typeface="Aptos" panose="020B0004020202020204" pitchFamily="34" charset="0"/>
              </a:endParaRPr>
            </a:p>
          </xdr:txBody>
        </xdr:sp>
      </xdr:grpSp>
      <xdr:pic>
        <xdr:nvPicPr>
          <xdr:cNvPr id="48" name="Gráfico 47" descr="Estrelas estrutura de tópicos">
            <a:extLst>
              <a:ext uri="{FF2B5EF4-FFF2-40B4-BE49-F238E27FC236}">
                <a16:creationId xmlns:a16="http://schemas.microsoft.com/office/drawing/2014/main" id="{673BAFED-9975-4F91-A904-CCC2958A09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4913413" y="1754597"/>
            <a:ext cx="428870" cy="42887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464920</xdr:colOff>
      <xdr:row>8</xdr:row>
      <xdr:rowOff>158932</xdr:rowOff>
    </xdr:from>
    <xdr:to>
      <xdr:col>10</xdr:col>
      <xdr:colOff>508385</xdr:colOff>
      <xdr:row>13</xdr:row>
      <xdr:rowOff>18977</xdr:rowOff>
    </xdr:to>
    <xdr:grpSp>
      <xdr:nvGrpSpPr>
        <xdr:cNvPr id="81" name="Agrupar 80">
          <a:extLst>
            <a:ext uri="{FF2B5EF4-FFF2-40B4-BE49-F238E27FC236}">
              <a16:creationId xmlns:a16="http://schemas.microsoft.com/office/drawing/2014/main" id="{41886B94-D3AE-87AD-D552-701A141F3E21}"/>
            </a:ext>
          </a:extLst>
        </xdr:cNvPr>
        <xdr:cNvGrpSpPr/>
      </xdr:nvGrpSpPr>
      <xdr:grpSpPr>
        <a:xfrm>
          <a:off x="5947603" y="1645761"/>
          <a:ext cx="1460599" cy="789314"/>
          <a:chOff x="6659218" y="1383195"/>
          <a:chExt cx="1472606" cy="768632"/>
        </a:xfrm>
      </xdr:grpSpPr>
      <xdr:grpSp>
        <xdr:nvGrpSpPr>
          <xdr:cNvPr id="77" name="Agrupar 76">
            <a:extLst>
              <a:ext uri="{FF2B5EF4-FFF2-40B4-BE49-F238E27FC236}">
                <a16:creationId xmlns:a16="http://schemas.microsoft.com/office/drawing/2014/main" id="{7E16DCFB-7CA6-6231-3680-05E32B6A7690}"/>
              </a:ext>
            </a:extLst>
          </xdr:cNvPr>
          <xdr:cNvGrpSpPr/>
        </xdr:nvGrpSpPr>
        <xdr:grpSpPr>
          <a:xfrm>
            <a:off x="6659218" y="1383195"/>
            <a:ext cx="1472606" cy="768632"/>
            <a:chOff x="1660770" y="1050191"/>
            <a:chExt cx="1465385" cy="768366"/>
          </a:xfrm>
        </xdr:grpSpPr>
        <xdr:sp macro="" textlink="">
          <xdr:nvSpPr>
            <xdr:cNvPr id="79" name="Retângulo: Cantos Arredondados 78">
              <a:extLst>
                <a:ext uri="{FF2B5EF4-FFF2-40B4-BE49-F238E27FC236}">
                  <a16:creationId xmlns:a16="http://schemas.microsoft.com/office/drawing/2014/main" id="{90F87340-6466-57A6-2BBA-EF0DBD661950}"/>
                </a:ext>
              </a:extLst>
            </xdr:cNvPr>
            <xdr:cNvSpPr/>
          </xdr:nvSpPr>
          <xdr:spPr>
            <a:xfrm>
              <a:off x="1660770" y="1050191"/>
              <a:ext cx="1465385" cy="768366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>
                  <a:solidFill>
                    <a:srgbClr val="64748B"/>
                  </a:solidFill>
                  <a:latin typeface="Aptos" panose="020F0502020204030204" pitchFamily="34" charset="0"/>
                  <a:ea typeface="+mn-ea"/>
                  <a:cs typeface="+mn-cs"/>
                </a:rPr>
                <a:t>Average</a:t>
              </a:r>
              <a:r>
                <a:rPr lang="pt-BR" sz="1100" baseline="0">
                  <a:solidFill>
                    <a:srgbClr val="64748B"/>
                  </a:solidFill>
                  <a:latin typeface="Aptos" panose="020F0502020204030204" pitchFamily="34" charset="0"/>
                  <a:ea typeface="+mn-ea"/>
                  <a:cs typeface="+mn-cs"/>
                </a:rPr>
                <a:t> CSAT</a:t>
              </a:r>
              <a:endParaRPr lang="pt-BR" sz="1100">
                <a:solidFill>
                  <a:srgbClr val="64748B"/>
                </a:solidFill>
                <a:latin typeface="Aptos" panose="020F0502020204030204" pitchFamily="34" charset="0"/>
              </a:endParaRPr>
            </a:p>
          </xdr:txBody>
        </xdr:sp>
        <xdr:sp macro="" textlink="Dashboard!$AB$5">
          <xdr:nvSpPr>
            <xdr:cNvPr id="80" name="CaixaDeTexto 79">
              <a:extLst>
                <a:ext uri="{FF2B5EF4-FFF2-40B4-BE49-F238E27FC236}">
                  <a16:creationId xmlns:a16="http://schemas.microsoft.com/office/drawing/2014/main" id="{0FA8C491-E998-3275-38D2-AECCDE08EB47}"/>
                </a:ext>
              </a:extLst>
            </xdr:cNvPr>
            <xdr:cNvSpPr txBox="1"/>
          </xdr:nvSpPr>
          <xdr:spPr>
            <a:xfrm>
              <a:off x="1782885" y="1343269"/>
              <a:ext cx="793750" cy="3541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95DD5769-B178-4A9B-8F87-12B070424709}" type="TxLink">
                <a:rPr lang="en-US" sz="2000" b="1" i="0" u="none" strike="noStrike">
                  <a:solidFill>
                    <a:srgbClr val="000000"/>
                  </a:solidFill>
                  <a:latin typeface="Aptos" panose="020B0004020202020204" pitchFamily="34" charset="0"/>
                </a:rPr>
                <a:pPr/>
                <a:t>3,79</a:t>
              </a:fld>
              <a:endParaRPr lang="pt-BR" sz="4000" b="1">
                <a:solidFill>
                  <a:srgbClr val="0F172A"/>
                </a:solidFill>
                <a:latin typeface="Aptos" panose="020B0004020202020204" pitchFamily="34" charset="0"/>
              </a:endParaRPr>
            </a:p>
          </xdr:txBody>
        </xdr:sp>
      </xdr:grpSp>
      <xdr:pic>
        <xdr:nvPicPr>
          <xdr:cNvPr id="44" name="Gráfico 43" descr="Aviso com preenchimento sólido">
            <a:extLst>
              <a:ext uri="{FF2B5EF4-FFF2-40B4-BE49-F238E27FC236}">
                <a16:creationId xmlns:a16="http://schemas.microsoft.com/office/drawing/2014/main" id="{17FA8BF2-FD1C-08E3-9DEC-33A8192137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96DAC541-7B7A-43D3-8B79-37D633B846F1}">
                <asvg:svgBlip xmlns:asvg="http://schemas.microsoft.com/office/drawing/2016/SVG/main" r:embed="rId20"/>
              </a:ext>
            </a:extLst>
          </a:blip>
          <a:stretch>
            <a:fillRect/>
          </a:stretch>
        </xdr:blipFill>
        <xdr:spPr>
          <a:xfrm>
            <a:off x="7686262" y="1651553"/>
            <a:ext cx="331303" cy="331303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489768</xdr:colOff>
      <xdr:row>8</xdr:row>
      <xdr:rowOff>95172</xdr:rowOff>
    </xdr:from>
    <xdr:to>
      <xdr:col>14</xdr:col>
      <xdr:colOff>675736</xdr:colOff>
      <xdr:row>12</xdr:row>
      <xdr:rowOff>132434</xdr:rowOff>
    </xdr:to>
    <xdr:grpSp>
      <xdr:nvGrpSpPr>
        <xdr:cNvPr id="87" name="Agrupar 86">
          <a:extLst>
            <a:ext uri="{FF2B5EF4-FFF2-40B4-BE49-F238E27FC236}">
              <a16:creationId xmlns:a16="http://schemas.microsoft.com/office/drawing/2014/main" id="{371D3EDA-4E15-CD08-AB67-D26178DC8650}"/>
            </a:ext>
          </a:extLst>
        </xdr:cNvPr>
        <xdr:cNvGrpSpPr/>
      </xdr:nvGrpSpPr>
      <xdr:grpSpPr>
        <a:xfrm>
          <a:off x="8760256" y="1582001"/>
          <a:ext cx="1556639" cy="780677"/>
          <a:chOff x="8878956" y="1681370"/>
          <a:chExt cx="1472606" cy="768632"/>
        </a:xfrm>
      </xdr:grpSpPr>
      <xdr:grpSp>
        <xdr:nvGrpSpPr>
          <xdr:cNvPr id="83" name="Agrupar 82">
            <a:extLst>
              <a:ext uri="{FF2B5EF4-FFF2-40B4-BE49-F238E27FC236}">
                <a16:creationId xmlns:a16="http://schemas.microsoft.com/office/drawing/2014/main" id="{A270C031-93AE-C26A-6D6D-DDED7CA97206}"/>
              </a:ext>
            </a:extLst>
          </xdr:cNvPr>
          <xdr:cNvGrpSpPr/>
        </xdr:nvGrpSpPr>
        <xdr:grpSpPr>
          <a:xfrm>
            <a:off x="8878956" y="1681370"/>
            <a:ext cx="1472606" cy="768632"/>
            <a:chOff x="1660770" y="1050191"/>
            <a:chExt cx="1465385" cy="768366"/>
          </a:xfrm>
        </xdr:grpSpPr>
        <xdr:sp macro="" textlink="">
          <xdr:nvSpPr>
            <xdr:cNvPr id="85" name="Retângulo: Cantos Arredondados 84">
              <a:extLst>
                <a:ext uri="{FF2B5EF4-FFF2-40B4-BE49-F238E27FC236}">
                  <a16:creationId xmlns:a16="http://schemas.microsoft.com/office/drawing/2014/main" id="{CE66993C-5FCC-E801-0310-7DD38DEE31A7}"/>
                </a:ext>
              </a:extLst>
            </xdr:cNvPr>
            <xdr:cNvSpPr/>
          </xdr:nvSpPr>
          <xdr:spPr>
            <a:xfrm>
              <a:off x="1660770" y="1050191"/>
              <a:ext cx="1465385" cy="768366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>
                  <a:solidFill>
                    <a:srgbClr val="64748B"/>
                  </a:solidFill>
                  <a:latin typeface="Aptos" panose="020F0502020204030204" pitchFamily="34" charset="0"/>
                </a:rPr>
                <a:t>Reopen</a:t>
              </a:r>
              <a:r>
                <a:rPr lang="pt-BR" sz="1100" baseline="0">
                  <a:solidFill>
                    <a:srgbClr val="64748B"/>
                  </a:solidFill>
                  <a:latin typeface="Aptos" panose="020F0502020204030204" pitchFamily="34" charset="0"/>
                </a:rPr>
                <a:t> Rate</a:t>
              </a:r>
              <a:endParaRPr lang="pt-BR" sz="1100">
                <a:solidFill>
                  <a:srgbClr val="64748B"/>
                </a:solidFill>
                <a:latin typeface="Aptos" panose="020F0502020204030204" pitchFamily="34" charset="0"/>
              </a:endParaRPr>
            </a:p>
          </xdr:txBody>
        </xdr:sp>
        <xdr:sp macro="" textlink="Dashboard!$AB$7">
          <xdr:nvSpPr>
            <xdr:cNvPr id="86" name="CaixaDeTexto 85">
              <a:extLst>
                <a:ext uri="{FF2B5EF4-FFF2-40B4-BE49-F238E27FC236}">
                  <a16:creationId xmlns:a16="http://schemas.microsoft.com/office/drawing/2014/main" id="{71C161AA-6533-112E-A5DB-506C51EABC30}"/>
                </a:ext>
              </a:extLst>
            </xdr:cNvPr>
            <xdr:cNvSpPr txBox="1"/>
          </xdr:nvSpPr>
          <xdr:spPr>
            <a:xfrm>
              <a:off x="1782885" y="1343269"/>
              <a:ext cx="793750" cy="3541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ABD96092-FAFC-457E-B049-17D648A5C767}" type="TxLink">
                <a:rPr lang="en-US" sz="2000" b="1" i="0" u="none" strike="noStrike">
                  <a:solidFill>
                    <a:srgbClr val="000000"/>
                  </a:solidFill>
                  <a:latin typeface="Aptos" panose="020B0004020202020204" pitchFamily="34" charset="0"/>
                </a:rPr>
                <a:pPr/>
                <a:t>18%</a:t>
              </a:fld>
              <a:endParaRPr lang="pt-BR" sz="4000" b="1">
                <a:solidFill>
                  <a:srgbClr val="0F172A"/>
                </a:solidFill>
                <a:latin typeface="Aptos" panose="020B0004020202020204" pitchFamily="34" charset="0"/>
              </a:endParaRPr>
            </a:p>
          </xdr:txBody>
        </xdr:sp>
      </xdr:grpSp>
      <xdr:pic>
        <xdr:nvPicPr>
          <xdr:cNvPr id="46" name="Gráfico 45" descr="Seta circular com preenchimento sólido">
            <a:extLst>
              <a:ext uri="{FF2B5EF4-FFF2-40B4-BE49-F238E27FC236}">
                <a16:creationId xmlns:a16="http://schemas.microsoft.com/office/drawing/2014/main" id="{0D23F44B-AF27-13F6-6CC9-8D0892C703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96DAC541-7B7A-43D3-8B79-37D633B846F1}">
                <asvg:svgBlip xmlns:asvg="http://schemas.microsoft.com/office/drawing/2016/SVG/main" r:embed="rId22"/>
              </a:ext>
            </a:extLst>
          </a:blip>
          <a:stretch>
            <a:fillRect/>
          </a:stretch>
        </xdr:blipFill>
        <xdr:spPr>
          <a:xfrm>
            <a:off x="9864586" y="1921564"/>
            <a:ext cx="443205" cy="443205"/>
          </a:xfrm>
          <a:prstGeom prst="rect">
            <a:avLst/>
          </a:prstGeom>
        </xdr:spPr>
      </xdr:pic>
    </xdr:grpSp>
    <xdr:clientData/>
  </xdr:twoCellAnchor>
  <xdr:twoCellAnchor editAs="oneCell">
    <xdr:from>
      <xdr:col>16</xdr:col>
      <xdr:colOff>3189</xdr:colOff>
      <xdr:row>2</xdr:row>
      <xdr:rowOff>187637</xdr:rowOff>
    </xdr:from>
    <xdr:to>
      <xdr:col>20</xdr:col>
      <xdr:colOff>140</xdr:colOff>
      <xdr:row>10</xdr:row>
      <xdr:rowOff>146362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8" name="Opened At">
              <a:extLst>
                <a:ext uri="{FF2B5EF4-FFF2-40B4-BE49-F238E27FC236}">
                  <a16:creationId xmlns:a16="http://schemas.microsoft.com/office/drawing/2014/main" id="{B64F2DA2-306C-4F36-919F-6D42A6E5A8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pened A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2814" y="536887"/>
              <a:ext cx="2727451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BARA SOARES" refreshedDate="46294.518679976849" createdVersion="8" refreshedVersion="8" minRefreshableVersion="3" recordCount="1180" xr:uid="{196F6AC5-9EAF-4618-A0DF-83274226CF4C}">
  <cacheSource type="worksheet">
    <worksheetSource name="Clean_Tickets"/>
  </cacheSource>
  <cacheFields count="38">
    <cacheField name="Ticket ID" numFmtId="0">
      <sharedItems/>
    </cacheField>
    <cacheField name="Resolution Hours" numFmtId="0">
      <sharedItems containsString="0" containsBlank="1" containsNumber="1" minValue="1.08" maxValue="253.6"/>
    </cacheField>
    <cacheField name="Opened At" numFmtId="22">
      <sharedItems containsSemiMixedTypes="0" containsNonDate="0" containsDate="1" containsString="0" minDate="2026-01-01T13:02:00" maxDate="2026-08-31T15:51:00" count="1179">
        <d v="2026-04-12T16:36:00"/>
        <d v="2026-01-03T13:16:00"/>
        <d v="2026-04-24T16:16:00"/>
        <d v="2026-05-08T14:59:00"/>
        <d v="2026-08-07T02:54:00"/>
        <d v="2026-04-09T21:20:00"/>
        <d v="2026-02-14T03:19:00"/>
        <d v="2026-08-02T20:39:00"/>
        <d v="2026-01-22T12:21:00"/>
        <d v="2026-06-14T12:54:00"/>
        <d v="2026-08-08T11:25:00"/>
        <d v="2026-05-29T23:00:00"/>
        <d v="2026-01-29T06:26:00"/>
        <d v="2026-07-23T19:46:00"/>
        <d v="2026-02-20T10:44:00"/>
        <d v="2026-02-11T05:43:00"/>
        <d v="2026-08-12T19:37:00"/>
        <d v="2026-04-14T20:38:00"/>
        <d v="2026-04-02T02:15:00"/>
        <d v="2026-07-13T05:14:00"/>
        <d v="2026-05-25T03:42:00"/>
        <d v="2026-04-10T00:16:00"/>
        <d v="2026-04-25T21:33:00"/>
        <d v="2026-04-28T01:04:00"/>
        <d v="2026-03-22T13:47:00"/>
        <d v="2026-04-03T20:55:00"/>
        <d v="2026-08-16T12:08:00"/>
        <d v="2026-08-22T22:34:00"/>
        <d v="2026-05-06T00:48:00"/>
        <d v="2026-03-12T17:16:00"/>
        <d v="2026-04-25T08:33:00"/>
        <d v="2026-02-04T07:52:00"/>
        <d v="2026-05-25T08:44:00"/>
        <d v="2026-02-06T04:23:00"/>
        <d v="2026-03-29T22:39:00"/>
        <d v="2026-06-01T08:00:00"/>
        <d v="2026-04-01T10:05:00"/>
        <d v="2026-02-07T10:00:00"/>
        <d v="2026-07-24T10:37:00"/>
        <d v="2026-01-04T01:38:00"/>
        <d v="2026-03-03T14:28:00"/>
        <d v="2026-04-25T23:25:00"/>
        <d v="2026-07-04T22:22:00"/>
        <d v="2026-08-05T21:17:00"/>
        <d v="2026-06-05T18:35:00"/>
        <d v="2026-05-27T23:24:00"/>
        <d v="2026-05-30T12:43:00"/>
        <d v="2026-06-01T06:49:00"/>
        <d v="2026-08-07T20:16:00"/>
        <d v="2026-07-02T13:32:00"/>
        <d v="2026-01-28T08:08:00"/>
        <d v="2026-06-05T10:45:00"/>
        <d v="2026-01-31T07:12:00"/>
        <d v="2026-05-21T11:19:00"/>
        <d v="2026-07-28T10:47:00"/>
        <d v="2026-05-20T18:48:00"/>
        <d v="2026-06-25T17:42:00"/>
        <d v="2026-07-26T19:27:00"/>
        <d v="2026-07-05T03:04:00"/>
        <d v="2026-03-16T13:48:00"/>
        <d v="2026-04-12T23:09:00"/>
        <d v="2026-01-23T11:04:00"/>
        <d v="2026-03-29T05:07:00"/>
        <d v="2026-04-23T06:55:00"/>
        <d v="2026-08-05T10:11:00"/>
        <d v="2026-02-22T05:26:00"/>
        <d v="2026-07-09T00:57:00"/>
        <d v="2026-05-10T18:21:00"/>
        <d v="2026-05-10T11:21:00"/>
        <d v="2026-04-25T03:18:00"/>
        <d v="2026-06-27T18:16:00"/>
        <d v="2026-07-01T21:22:00"/>
        <d v="2026-07-08T12:50:00"/>
        <d v="2026-02-19T06:57:00"/>
        <d v="2026-05-02T13:07:00"/>
        <d v="2026-02-21T15:03:00"/>
        <d v="2026-02-03T21:55:00"/>
        <d v="2026-01-27T02:50:00"/>
        <d v="2026-03-27T05:43:00"/>
        <d v="2026-06-19T02:01:00"/>
        <d v="2026-03-27T18:31:00"/>
        <d v="2026-03-20T07:14:00"/>
        <d v="2026-04-20T02:08:00"/>
        <d v="2026-03-19T04:47:00"/>
        <d v="2026-08-14T18:36:00"/>
        <d v="2026-03-30T21:54:00"/>
        <d v="2026-02-15T16:37:00"/>
        <d v="2026-05-09T14:26:00"/>
        <d v="2026-07-14T10:24:00"/>
        <d v="2026-08-04T20:55:00"/>
        <d v="2026-02-13T13:27:00"/>
        <d v="2026-03-18T21:07:00"/>
        <d v="2026-05-26T01:36:00"/>
        <d v="2026-03-23T14:08:00"/>
        <d v="2026-04-22T07:02:00"/>
        <d v="2026-03-18T15:09:00"/>
        <d v="2026-03-24T16:57:00"/>
        <d v="2026-04-13T22:07:00"/>
        <d v="2026-04-22T04:48:00"/>
        <d v="2026-08-06T15:26:00"/>
        <d v="2026-06-19T06:33:00"/>
        <d v="2026-01-21T12:06:00"/>
        <d v="2026-01-07T11:32:00"/>
        <d v="2026-04-17T04:27:00"/>
        <d v="2026-06-03T04:58:00"/>
        <d v="2026-03-30T17:46:00"/>
        <d v="2026-07-21T03:49:00"/>
        <d v="2026-01-16T11:35:00"/>
        <d v="2026-04-10T17:07:00"/>
        <d v="2026-03-13T02:01:00"/>
        <d v="2026-07-13T09:27:00"/>
        <d v="2026-06-01T09:52:00"/>
        <d v="2026-02-24T05:18:00"/>
        <d v="2026-02-10T12:08:00"/>
        <d v="2026-04-18T15:53:00"/>
        <d v="2026-01-02T02:31:00"/>
        <d v="2026-01-28T08:03:00"/>
        <d v="2026-05-11T07:09:00"/>
        <d v="2026-04-25T00:51:00"/>
        <d v="2026-08-15T04:49:00"/>
        <d v="2026-07-26T04:39:00"/>
        <d v="2026-03-06T20:23:00"/>
        <d v="2026-01-16T01:20:00"/>
        <d v="2026-03-01T01:59:00"/>
        <d v="2026-05-31T11:39:00"/>
        <d v="2026-04-26T19:05:00"/>
        <d v="2026-08-17T10:48:00"/>
        <d v="2026-03-03T07:35:00"/>
        <d v="2026-03-09T15:40:00"/>
        <d v="2026-06-14T04:48:00"/>
        <d v="2026-06-16T08:15:00"/>
        <d v="2026-06-07T04:14:00"/>
        <d v="2026-08-20T00:43:00"/>
        <d v="2026-08-03T10:02:00"/>
        <d v="2026-01-27T20:57:00"/>
        <d v="2026-06-10T06:29:00"/>
        <d v="2026-06-04T16:57:00"/>
        <d v="2026-05-27T18:40:00"/>
        <d v="2026-07-04T20:09:00"/>
        <d v="2026-05-26T13:53:00"/>
        <d v="2026-06-01T03:08:00"/>
        <d v="2026-01-26T03:05:00"/>
        <d v="2026-02-21T07:00:00"/>
        <d v="2026-06-25T08:48:00"/>
        <d v="2026-07-07T02:42:00"/>
        <d v="2026-03-22T04:56:00"/>
        <d v="2026-06-10T07:25:00"/>
        <d v="2026-07-28T22:14:00"/>
        <d v="2026-01-16T11:19:00"/>
        <d v="2026-05-15T21:14:00"/>
        <d v="2026-08-31T05:06:00"/>
        <d v="2026-06-24T09:37:00"/>
        <d v="2026-01-06T05:27:00"/>
        <d v="2026-07-16T07:39:00"/>
        <d v="2026-08-25T12:14:00"/>
        <d v="2026-05-21T00:13:00"/>
        <d v="2026-06-23T00:53:00"/>
        <d v="2026-08-06T14:32:00"/>
        <d v="2026-05-12T05:04:00"/>
        <d v="2026-02-13T03:17:00"/>
        <d v="2026-06-28T12:18:00"/>
        <d v="2026-04-02T11:08:00"/>
        <d v="2026-02-07T10:30:00"/>
        <d v="2026-08-26T15:35:00"/>
        <d v="2026-01-24T14:25:00"/>
        <d v="2026-08-28T13:34:00"/>
        <d v="2026-06-28T23:44:00"/>
        <d v="2026-06-05T01:05:00"/>
        <d v="2026-02-20T23:36:00"/>
        <d v="2026-03-28T05:21:00"/>
        <d v="2026-04-26T22:01:00"/>
        <d v="2026-07-22T20:42:00"/>
        <d v="2026-03-20T12:46:00"/>
        <d v="2026-04-29T06:04:00"/>
        <d v="2026-05-09T19:16:00"/>
        <d v="2026-01-14T09:23:00"/>
        <d v="2026-07-26T20:01:00"/>
        <d v="2026-04-09T00:36:00"/>
        <d v="2026-01-27T04:06:00"/>
        <d v="2026-03-03T08:59:00"/>
        <d v="2026-03-28T07:14:00"/>
        <d v="2026-07-25T15:58:00"/>
        <d v="2026-02-12T12:40:00"/>
        <d v="2026-02-01T19:04:00"/>
        <d v="2026-07-19T00:05:00"/>
        <d v="2026-04-15T22:24:00"/>
        <d v="2026-07-05T01:55:00"/>
        <d v="2026-08-04T15:32:00"/>
        <d v="2026-08-20T22:46:00"/>
        <d v="2026-04-27T22:12:00"/>
        <d v="2026-03-30T08:54:00"/>
        <d v="2026-03-07T15:11:00"/>
        <d v="2026-08-25T09:33:00"/>
        <d v="2026-01-25T02:51:00"/>
        <d v="2026-07-14T04:50:00"/>
        <d v="2026-02-23T23:49:00"/>
        <d v="2026-02-03T22:21:00"/>
        <d v="2026-02-14T16:18:00"/>
        <d v="2026-01-28T14:27:00"/>
        <d v="2026-05-20T01:39:00"/>
        <d v="2026-01-17T16:15:00"/>
        <d v="2026-01-16T05:14:00"/>
        <d v="2026-08-26T15:52:00"/>
        <d v="2026-08-04T05:54:00"/>
        <d v="2026-07-26T05:16:00"/>
        <d v="2026-06-11T12:49:00"/>
        <d v="2026-08-22T02:49:00"/>
        <d v="2026-07-29T08:27:00"/>
        <d v="2026-08-11T18:10:00"/>
        <d v="2026-04-26T04:21:00"/>
        <d v="2026-04-07T10:36:00"/>
        <d v="2026-06-27T01:45:00"/>
        <d v="2026-08-02T11:55:00"/>
        <d v="2026-03-04T12:54:00"/>
        <d v="2026-04-28T22:41:00"/>
        <d v="2026-02-12T05:48:00"/>
        <d v="2026-01-25T22:23:00"/>
        <d v="2026-07-22T16:39:00"/>
        <d v="2026-05-09T02:35:00"/>
        <d v="2026-05-03T05:18:00"/>
        <d v="2026-02-07T02:00:00"/>
        <d v="2026-03-15T20:16:00"/>
        <d v="2026-08-18T05:13:00"/>
        <d v="2026-08-13T02:49:00"/>
        <d v="2026-02-03T08:52:00"/>
        <d v="2026-08-18T12:44:00"/>
        <d v="2026-02-12T04:08:00"/>
        <d v="2026-07-27T10:26:00"/>
        <d v="2026-06-08T21:12:00"/>
        <d v="2026-01-31T21:37:00"/>
        <d v="2026-08-30T16:01:00"/>
        <d v="2026-08-27T18:28:00"/>
        <d v="2026-01-25T05:49:00"/>
        <d v="2026-02-26T13:26:00"/>
        <d v="2026-04-09T14:47:00"/>
        <d v="2026-03-07T00:52:00"/>
        <d v="2026-05-05T00:04:00"/>
        <d v="2026-04-25T10:06:00"/>
        <d v="2026-07-28T07:18:00"/>
        <d v="2026-05-22T11:11:00"/>
        <d v="2026-03-04T16:00:00"/>
        <d v="2026-04-01T11:38:00"/>
        <d v="2026-07-25T12:05:00"/>
        <d v="2026-01-05T12:53:00"/>
        <d v="2026-06-30T12:40:00"/>
        <d v="2026-05-29T17:21:00"/>
        <d v="2026-07-01T06:16:00"/>
        <d v="2026-06-04T20:20:00"/>
        <d v="2026-01-06T05:23:00"/>
        <d v="2026-07-29T09:29:00"/>
        <d v="2026-04-11T09:55:00"/>
        <d v="2026-08-21T11:20:00"/>
        <d v="2026-01-14T17:36:00"/>
        <d v="2026-08-27T16:18:00"/>
        <d v="2026-05-12T11:57:00"/>
        <d v="2026-06-22T00:26:00"/>
        <d v="2026-07-11T19:24:00"/>
        <d v="2026-01-20T04:22:00"/>
        <d v="2026-01-12T11:26:00"/>
        <d v="2026-06-21T20:11:00"/>
        <d v="2026-08-19T11:35:00"/>
        <d v="2026-08-22T16:38:00"/>
        <d v="2026-02-20T22:08:00"/>
        <d v="2026-08-09T21:12:00"/>
        <d v="2026-07-10T20:55:00"/>
        <d v="2026-04-26T18:15:00"/>
        <d v="2026-03-30T20:02:00"/>
        <d v="2026-07-15T08:05:00"/>
        <d v="2026-07-14T05:55:00"/>
        <d v="2026-03-16T23:57:00"/>
        <d v="2026-03-18T00:15:00"/>
        <d v="2026-01-17T03:03:00"/>
        <d v="2026-03-24T14:25:00"/>
        <d v="2026-03-10T23:33:00"/>
        <d v="2026-07-19T00:43:00"/>
        <d v="2026-07-17T05:01:00"/>
        <d v="2026-01-28T10:52:00"/>
        <d v="2026-02-13T13:02:00"/>
        <d v="2026-06-17T09:36:00"/>
        <d v="2026-03-05T14:46:00"/>
        <d v="2026-05-08T17:46:00"/>
        <d v="2026-04-08T16:15:00"/>
        <d v="2026-04-08T01:13:00"/>
        <d v="2026-04-17T20:31:00"/>
        <d v="2026-04-08T16:40:00"/>
        <d v="2026-07-01T01:56:00"/>
        <d v="2026-07-12T12:47:00"/>
        <d v="2026-04-28T05:49:00"/>
        <d v="2026-08-30T07:47:00"/>
        <d v="2026-01-01T14:13:00"/>
        <d v="2026-08-14T12:50:00"/>
        <d v="2026-08-27T21:44:00"/>
        <d v="2026-04-27T10:35:00"/>
        <d v="2026-05-04T15:07:00"/>
        <d v="2026-07-08T22:48:00"/>
        <d v="2026-02-21T13:55:00"/>
        <d v="2026-04-25T12:28:00"/>
        <d v="2026-05-02T03:18:00"/>
        <d v="2026-02-15T12:41:00"/>
        <d v="2026-04-24T21:11:00"/>
        <d v="2026-04-16T07:55:00"/>
        <d v="2026-07-02T03:07:00"/>
        <d v="2026-04-19T22:59:00"/>
        <d v="2026-06-29T17:51:00"/>
        <d v="2026-05-02T23:25:00"/>
        <d v="2026-05-09T02:07:00"/>
        <d v="2026-08-06T05:02:00"/>
        <d v="2026-07-21T16:56:00"/>
        <d v="2026-05-15T09:05:00"/>
        <d v="2026-05-19T13:17:00"/>
        <d v="2026-01-25T03:00:00"/>
        <d v="2026-08-02T20:26:00"/>
        <d v="2026-06-14T09:58:00"/>
        <d v="2026-06-03T01:54:00"/>
        <d v="2026-05-09T18:25:00"/>
        <d v="2026-04-06T11:54:00"/>
        <d v="2026-07-31T17:36:00"/>
        <d v="2026-08-21T09:46:00"/>
        <d v="2026-04-02T23:24:00"/>
        <d v="2026-04-30T03:16:00"/>
        <d v="2026-03-15T11:32:00"/>
        <d v="2026-03-09T10:40:00"/>
        <d v="2026-01-14T18:59:00"/>
        <d v="2026-04-19T20:12:00"/>
        <d v="2026-04-24T15:13:00"/>
        <d v="2026-08-19T17:22:00"/>
        <d v="2026-08-29T08:36:00"/>
        <d v="2026-08-25T19:27:00"/>
        <d v="2026-07-08T21:49:00"/>
        <d v="2026-01-01T22:29:00"/>
        <d v="2026-06-27T13:40:00"/>
        <d v="2026-08-06T06:37:00"/>
        <d v="2026-03-01T07:29:00"/>
        <d v="2026-08-20T11:07:00"/>
        <d v="2026-06-01T01:35:00"/>
        <d v="2026-07-23T18:30:00"/>
        <d v="2026-01-31T11:39:00"/>
        <d v="2026-08-05T18:08:00"/>
        <d v="2026-01-02T07:19:00"/>
        <d v="2026-03-13T18:43:00"/>
        <d v="2026-02-28T15:47:00"/>
        <d v="2026-06-15T14:14:00"/>
        <d v="2026-03-24T08:47:00"/>
        <d v="2026-01-24T16:44:00"/>
        <d v="2026-02-22T11:06:00"/>
        <d v="2026-02-06T00:46:00"/>
        <d v="2026-06-23T08:22:00"/>
        <d v="2026-06-02T15:24:00"/>
        <d v="2026-08-30T06:00:00"/>
        <d v="2026-04-01T10:37:00"/>
        <d v="2026-01-02T04:10:00"/>
        <d v="2026-07-19T20:50:00"/>
        <d v="2026-01-18T14:21:00"/>
        <d v="2026-08-27T16:40:00"/>
        <d v="2026-06-17T17:48:00"/>
        <d v="2026-06-05T16:29:00"/>
        <d v="2026-05-01T14:09:00"/>
        <d v="2026-05-30T08:03:00"/>
        <d v="2026-01-10T13:51:00"/>
        <d v="2026-05-02T00:53:00"/>
        <d v="2026-04-15T14:12:00"/>
        <d v="2026-08-09T03:57:00"/>
        <d v="2026-04-10T08:42:00"/>
        <d v="2026-03-23T17:18:00"/>
        <d v="2026-01-07T05:07:00"/>
        <d v="2026-08-11T06:56:00"/>
        <d v="2026-03-17T23:34:00"/>
        <d v="2026-08-09T19:42:00"/>
        <d v="2026-05-06T07:57:00"/>
        <d v="2026-04-18T05:18:00"/>
        <d v="2026-03-15T15:13:00"/>
        <d v="2026-04-06T06:14:00"/>
        <d v="2026-01-20T11:38:00"/>
        <d v="2026-08-27T09:51:00"/>
        <d v="2026-04-16T06:52:00"/>
        <d v="2026-02-25T04:22:00"/>
        <d v="2026-06-21T22:16:00"/>
        <d v="2026-01-26T02:38:00"/>
        <d v="2026-04-26T14:07:00"/>
        <d v="2026-02-20T11:27:00"/>
        <d v="2026-01-20T10:13:00"/>
        <d v="2026-08-24T11:24:00"/>
        <d v="2026-07-11T08:27:00"/>
        <d v="2026-05-13T18:06:00"/>
        <d v="2026-03-15T13:45:00"/>
        <d v="2026-04-10T13:15:00"/>
        <d v="2026-01-13T17:46:00"/>
        <d v="2026-05-19T08:48:00"/>
        <d v="2026-01-01T13:02:00"/>
        <d v="2026-02-07T05:21:00"/>
        <d v="2026-04-23T18:36:00"/>
        <d v="2026-05-09T12:26:00"/>
        <d v="2026-07-05T17:25:00"/>
        <d v="2026-01-09T04:20:00"/>
        <d v="2026-02-26T16:49:00"/>
        <d v="2026-01-09T01:13:00"/>
        <d v="2026-03-26T09:09:00"/>
        <d v="2026-01-30T14:59:00"/>
        <d v="2026-04-15T23:51:00"/>
        <d v="2026-04-08T20:43:00"/>
        <d v="2026-04-14T02:08:00"/>
        <d v="2026-02-25T20:49:00"/>
        <d v="2026-03-28T23:45:00"/>
        <d v="2026-04-05T03:17:00"/>
        <d v="2026-02-15T20:52:00"/>
        <d v="2026-08-27T14:51:00"/>
        <d v="2026-01-24T10:35:00"/>
        <d v="2026-05-20T02:09:00"/>
        <d v="2026-05-21T01:59:00"/>
        <d v="2026-03-11T03:18:00"/>
        <d v="2026-03-09T16:25:00"/>
        <d v="2026-03-22T17:05:00"/>
        <d v="2026-01-22T22:11:00"/>
        <d v="2026-02-15T20:05:00"/>
        <d v="2026-06-10T05:30:00"/>
        <d v="2026-07-17T15:56:00"/>
        <d v="2026-01-11T23:58:00"/>
        <d v="2026-08-08T02:42:00"/>
        <d v="2026-03-13T13:13:00"/>
        <d v="2026-06-17T07:28:00"/>
        <d v="2026-01-18T15:01:00"/>
        <d v="2026-08-21T01:56:00"/>
        <d v="2026-04-06T05:46:00"/>
        <d v="2026-08-23T04:14:00"/>
        <d v="2026-06-10T16:10:00"/>
        <d v="2026-04-23T20:51:00"/>
        <d v="2026-05-31T23:22:00"/>
        <d v="2026-07-07T18:10:00"/>
        <d v="2026-05-23T16:42:00"/>
        <d v="2026-07-05T10:14:00"/>
        <d v="2026-02-17T14:09:00"/>
        <d v="2026-06-03T17:38:00"/>
        <d v="2026-06-04T11:41:00"/>
        <d v="2026-02-20T15:03:00"/>
        <d v="2026-05-21T00:27:00"/>
        <d v="2026-04-12T20:25:00"/>
        <d v="2026-01-18T00:19:00"/>
        <d v="2026-05-25T17:14:00"/>
        <d v="2026-02-09T21:16:00"/>
        <d v="2026-04-28T12:44:00"/>
        <d v="2026-04-28T13:32:00"/>
        <d v="2026-06-24T00:04:00"/>
        <d v="2026-05-21T17:58:00"/>
        <d v="2026-02-16T14:02:00"/>
        <d v="2026-01-18T00:12:00"/>
        <d v="2026-01-31T17:43:00"/>
        <d v="2026-05-10T16:07:00"/>
        <d v="2026-04-07T13:20:00"/>
        <d v="2026-04-09T05:46:00"/>
        <d v="2026-03-23T23:53:00"/>
        <d v="2026-01-11T05:21:00"/>
        <d v="2026-07-10T09:42:00"/>
        <d v="2026-05-01T01:02:00"/>
        <d v="2026-01-16T11:40:00"/>
        <d v="2026-03-11T09:19:00"/>
        <d v="2026-06-10T15:45:00"/>
        <d v="2026-01-28T23:46:00"/>
        <d v="2026-03-13T11:30:00"/>
        <d v="2026-01-24T06:46:00"/>
        <d v="2026-08-29T03:32:00"/>
        <d v="2026-04-23T19:43:00"/>
        <d v="2026-04-19T04:20:00"/>
        <d v="2026-03-09T19:39:00"/>
        <d v="2026-02-24T11:59:00"/>
        <d v="2026-01-14T20:11:00"/>
        <d v="2026-05-17T19:15:00"/>
        <d v="2026-05-14T08:11:00"/>
        <d v="2026-03-27T04:14:00"/>
        <d v="2026-03-14T01:28:00"/>
        <d v="2026-06-04T17:37:00"/>
        <d v="2026-03-31T09:13:00"/>
        <d v="2026-07-11T22:36:00"/>
        <d v="2026-03-02T02:04:00"/>
        <d v="2026-02-05T18:31:00"/>
        <d v="2026-07-27T04:25:00"/>
        <d v="2026-06-01T15:05:00"/>
        <d v="2026-04-24T10:17:00"/>
        <d v="2026-01-20T10:09:00"/>
        <d v="2026-04-17T16:23:00"/>
        <d v="2026-06-05T18:29:00"/>
        <d v="2026-03-25T05:49:00"/>
        <d v="2026-04-01T02:17:00"/>
        <d v="2026-04-13T05:05:00"/>
        <d v="2026-05-20T23:34:00"/>
        <d v="2026-01-11T15:44:00"/>
        <d v="2026-02-08T19:49:00"/>
        <d v="2026-03-28T06:15:00"/>
        <d v="2026-02-02T02:04:00"/>
        <d v="2026-04-29T14:20:00"/>
        <d v="2026-03-07T18:06:00"/>
        <d v="2026-01-22T21:19:00"/>
        <d v="2026-04-08T03:23:00"/>
        <d v="2026-06-22T08:57:00"/>
        <d v="2026-06-21T01:16:00"/>
        <d v="2026-01-12T09:12:00"/>
        <d v="2026-05-12T08:01:00"/>
        <d v="2026-08-28T05:23:00"/>
        <d v="2026-03-16T20:38:00"/>
        <d v="2026-03-23T11:44:00"/>
        <d v="2026-02-05T22:59:00"/>
        <d v="2026-05-02T20:28:00"/>
        <d v="2026-07-12T09:54:00"/>
        <d v="2026-01-13T18:24:00"/>
        <d v="2026-07-16T15:44:00"/>
        <d v="2026-03-16T12:15:00"/>
        <d v="2026-05-02T11:20:00"/>
        <d v="2026-07-31T14:18:00"/>
        <d v="2026-06-17T09:24:00"/>
        <d v="2026-03-20T17:34:00"/>
        <d v="2026-03-02T17:12:00"/>
        <d v="2026-01-27T08:45:00"/>
        <d v="2026-04-10T06:17:00"/>
        <d v="2026-02-14T02:38:00"/>
        <d v="2026-02-14T23:04:00"/>
        <d v="2026-08-28T23:20:00"/>
        <d v="2026-01-06T20:09:00"/>
        <d v="2026-07-01T16:41:00"/>
        <d v="2026-02-21T00:59:00"/>
        <d v="2026-03-29T16:20:00"/>
        <d v="2026-06-03T20:56:00"/>
        <d v="2026-04-25T13:00:00"/>
        <d v="2026-02-28T10:20:00"/>
        <d v="2026-02-10T23:08:00"/>
        <d v="2026-05-09T13:57:00"/>
        <d v="2026-05-15T14:37:00"/>
        <d v="2026-04-25T20:55:00"/>
        <d v="2026-01-18T17:11:00"/>
        <d v="2026-05-15T21:19:00"/>
        <d v="2026-02-07T06:15:00"/>
        <d v="2026-05-25T14:25:00"/>
        <d v="2026-07-13T08:53:00"/>
        <d v="2026-07-23T08:40:00"/>
        <d v="2026-05-15T08:43:00"/>
        <d v="2026-07-24T17:42:00"/>
        <d v="2026-07-11T08:39:00"/>
        <d v="2026-07-26T22:19:00"/>
        <d v="2026-03-21T18:52:00"/>
        <d v="2026-07-14T09:12:00"/>
        <d v="2026-05-19T01:46:00"/>
        <d v="2026-08-11T18:58:00"/>
        <d v="2026-03-16T16:36:00"/>
        <d v="2026-04-13T19:54:00"/>
        <d v="2026-01-10T23:13:00"/>
        <d v="2026-04-17T14:01:00"/>
        <d v="2026-04-07T16:51:00"/>
        <d v="2026-01-23T11:15:00"/>
        <d v="2026-08-17T03:19:00"/>
        <d v="2026-07-16T08:20:00"/>
        <d v="2026-06-30T23:52:00"/>
        <d v="2026-08-12T12:53:00"/>
        <d v="2026-04-11T07:50:00"/>
        <d v="2026-04-01T04:40:00"/>
        <d v="2026-07-19T04:35:00"/>
        <d v="2026-03-30T19:23:00"/>
        <d v="2026-08-16T03:32:00"/>
        <d v="2026-03-23T15:31:00"/>
        <d v="2026-05-03T19:55:00"/>
        <d v="2026-06-21T04:59:00"/>
        <d v="2026-08-08T21:41:00"/>
        <d v="2026-07-27T06:20:00"/>
        <d v="2026-01-21T04:12:00"/>
        <d v="2026-02-01T05:07:00"/>
        <d v="2026-08-12T10:30:00"/>
        <d v="2026-01-30T12:24:00"/>
        <d v="2026-07-12T23:24:00"/>
        <d v="2026-06-11T07:06:00"/>
        <d v="2026-05-02T16:38:00"/>
        <d v="2026-05-27T17:40:00"/>
        <d v="2026-03-31T14:14:00"/>
        <d v="2026-06-09T10:06:00"/>
        <d v="2026-08-15T20:27:00"/>
        <d v="2026-04-11T19:36:00"/>
        <d v="2026-05-12T22:13:00"/>
        <d v="2026-04-29T16:57:00"/>
        <d v="2026-07-18T03:11:00"/>
        <d v="2026-08-16T12:59:00"/>
        <d v="2026-08-08T10:49:00"/>
        <d v="2026-05-20T21:36:00"/>
        <d v="2026-03-23T09:04:00"/>
        <d v="2026-04-01T01:19:00"/>
        <d v="2026-08-06T14:08:00"/>
        <d v="2026-07-12T19:49:00"/>
        <d v="2026-08-11T04:23:00"/>
        <d v="2026-04-12T04:41:00"/>
        <d v="2026-06-19T09:44:00"/>
        <d v="2026-04-30T04:25:00"/>
        <d v="2026-01-29T10:13:00"/>
        <d v="2026-01-31T00:58:00"/>
        <d v="2026-05-01T20:19:00"/>
        <d v="2026-07-01T07:22:00"/>
        <d v="2026-04-30T13:14:00"/>
        <d v="2026-04-09T22:47:00"/>
        <d v="2026-07-03T01:42:00"/>
        <d v="2026-01-23T05:51:00"/>
        <d v="2026-05-28T17:47:00"/>
        <d v="2026-06-17T16:00:00"/>
        <d v="2026-06-26T17:38:00"/>
        <d v="2026-05-25T12:34:00"/>
        <d v="2026-01-12T19:05:00"/>
        <d v="2026-03-05T13:55:00"/>
        <d v="2026-02-12T22:29:00"/>
        <d v="2026-02-07T21:02:00"/>
        <d v="2026-06-13T08:37:00"/>
        <d v="2026-04-28T10:40:00"/>
        <d v="2026-07-31T02:06:00"/>
        <d v="2026-07-10T00:22:00"/>
        <d v="2026-07-02T12:45:00"/>
        <d v="2026-06-26T11:36:00"/>
        <d v="2026-04-22T01:53:00"/>
        <d v="2026-01-03T13:10:00"/>
        <d v="2026-04-22T05:15:00"/>
        <d v="2026-06-06T09:41:00"/>
        <d v="2026-03-01T22:21:00"/>
        <d v="2026-01-03T17:43:00"/>
        <d v="2026-08-25T11:09:00"/>
        <d v="2026-07-26T03:45:00"/>
        <d v="2026-02-23T16:08:00"/>
        <d v="2026-06-08T21:33:00"/>
        <d v="2026-07-15T12:51:00"/>
        <d v="2026-01-01T18:24:00"/>
        <d v="2026-06-02T05:13:00"/>
        <d v="2026-06-18T05:32:00"/>
        <d v="2026-01-30T10:35:00"/>
        <d v="2026-08-23T05:34:00"/>
        <d v="2026-02-24T23:15:00"/>
        <d v="2026-01-26T03:10:00"/>
        <d v="2026-08-24T21:22:00"/>
        <d v="2026-06-03T23:44:00"/>
        <d v="2026-02-10T12:04:00"/>
        <d v="2026-01-14T04:35:00"/>
        <d v="2026-06-17T05:50:00"/>
        <d v="2026-05-13T12:28:00"/>
        <d v="2026-06-17T12:55:00"/>
        <d v="2026-02-10T15:57:00"/>
        <d v="2026-03-19T05:37:00"/>
        <d v="2026-01-08T16:54:00"/>
        <d v="2026-07-02T06:26:00"/>
        <d v="2026-01-29T13:46:00"/>
        <d v="2026-01-21T20:01:00"/>
        <d v="2026-02-24T19:31:00"/>
        <d v="2026-06-09T06:30:00"/>
        <d v="2026-05-21T06:38:00"/>
        <d v="2026-05-14T18:42:00"/>
        <d v="2026-06-27T16:44:00"/>
        <d v="2026-08-26T23:01:00"/>
        <d v="2026-02-08T04:34:00"/>
        <d v="2026-08-30T01:36:00"/>
        <d v="2026-04-08T21:56:00"/>
        <d v="2026-02-27T07:01:00"/>
        <d v="2026-03-10T04:15:00"/>
        <d v="2026-06-28T15:04:00"/>
        <d v="2026-03-02T14:21:00"/>
        <d v="2026-01-08T00:12:00"/>
        <d v="2026-08-14T22:05:00"/>
        <d v="2026-03-10T21:40:00"/>
        <d v="2026-03-31T07:03:00"/>
        <d v="2026-04-13T10:13:00"/>
        <d v="2026-01-03T02:28:00"/>
        <d v="2026-04-21T20:29:00"/>
        <d v="2026-05-10T10:30:00"/>
        <d v="2026-07-15T17:18:00"/>
        <d v="2026-02-16T12:30:00"/>
        <d v="2026-03-13T20:18:00"/>
        <d v="2026-02-14T03:14:00"/>
        <d v="2026-03-24T08:17:00"/>
        <d v="2026-04-23T13:12:00"/>
        <d v="2026-01-26T07:05:00"/>
        <d v="2026-01-17T16:47:00"/>
        <d v="2026-07-14T02:46:00"/>
        <d v="2026-03-07T14:06:00"/>
        <d v="2026-04-21T09:46:00"/>
        <d v="2026-06-25T14:14:00"/>
        <d v="2026-03-10T01:53:00"/>
        <d v="2026-05-06T19:19:00"/>
        <d v="2026-04-05T08:36:00"/>
        <d v="2026-06-25T01:44:00"/>
        <d v="2026-05-03T21:05:00"/>
        <d v="2026-02-19T02:36:00"/>
        <d v="2026-07-22T15:42:00"/>
        <d v="2026-01-09T09:07:00"/>
        <d v="2026-01-19T18:06:00"/>
        <d v="2026-03-15T11:01:00"/>
        <d v="2026-03-09T01:18:00"/>
        <d v="2026-07-03T10:35:00"/>
        <d v="2026-05-17T20:54:00"/>
        <d v="2026-05-07T16:43:00"/>
        <d v="2026-01-19T19:09:00"/>
        <d v="2026-04-20T05:37:00"/>
        <d v="2026-05-23T13:57:00"/>
        <d v="2026-02-27T17:26:00"/>
        <d v="2026-08-16T11:22:00"/>
        <d v="2026-01-28T02:53:00"/>
        <d v="2026-03-31T07:48:00"/>
        <d v="2026-04-17T00:01:00"/>
        <d v="2026-05-23T16:48:00"/>
        <d v="2026-04-23T18:20:00"/>
        <d v="2026-01-27T05:42:00"/>
        <d v="2026-03-04T13:14:00"/>
        <d v="2026-02-12T16:14:00"/>
        <d v="2026-05-25T10:06:00"/>
        <d v="2026-05-24T01:33:00"/>
        <d v="2026-01-18T14:10:00"/>
        <d v="2026-06-03T03:01:00"/>
        <d v="2026-07-04T19:19:00"/>
        <d v="2026-06-02T06:58:00"/>
        <d v="2026-08-31T15:51:00"/>
        <d v="2026-08-07T11:11:00"/>
        <d v="2026-07-27T14:48:00"/>
        <d v="2026-08-21T09:50:00"/>
        <d v="2026-03-13T18:51:00"/>
        <d v="2026-06-16T13:37:00"/>
        <d v="2026-01-12T08:37:00"/>
        <d v="2026-02-14T06:16:00"/>
        <d v="2026-06-22T17:29:00"/>
        <d v="2026-05-08T00:25:00"/>
        <d v="2026-08-03T21:26:00"/>
        <d v="2026-01-11T04:42:00"/>
        <d v="2026-01-22T23:37:00"/>
        <d v="2026-02-07T17:08:00"/>
        <d v="2026-01-30T16:04:00"/>
        <d v="2026-02-21T18:01:00"/>
        <d v="2026-01-15T07:16:00"/>
        <d v="2026-03-19T12:03:00"/>
        <d v="2026-08-09T01:18:00"/>
        <d v="2026-08-08T21:19:00"/>
        <d v="2026-05-28T05:05:00"/>
        <d v="2026-02-08T22:06:00"/>
        <d v="2026-05-11T02:48:00"/>
        <d v="2026-05-23T22:35:00"/>
        <d v="2026-08-10T22:59:00"/>
        <d v="2026-07-12T01:23:00"/>
        <d v="2026-06-20T09:01:00"/>
        <d v="2026-06-19T05:01:00"/>
        <d v="2026-06-15T02:56:00"/>
        <d v="2026-08-11T15:25:00"/>
        <d v="2026-03-06T19:57:00"/>
        <d v="2026-05-14T01:48:00"/>
        <d v="2026-05-31T16:19:00"/>
        <d v="2026-02-07T03:27:00"/>
        <d v="2026-01-27T00:47:00"/>
        <d v="2026-08-05T18:20:00"/>
        <d v="2026-04-29T17:17:00"/>
        <d v="2026-08-19T16:49:00"/>
        <d v="2026-07-03T09:41:00"/>
        <d v="2026-05-12T10:07:00"/>
        <d v="2026-02-24T07:58:00"/>
        <d v="2026-08-26T11:23:00"/>
        <d v="2026-02-07T13:42:00"/>
        <d v="2026-08-26T03:54:00"/>
        <d v="2026-04-15T02:32:00"/>
        <d v="2026-07-16T14:00:00"/>
        <d v="2026-02-02T23:03:00"/>
        <d v="2026-02-05T02:29:00"/>
        <d v="2026-08-07T22:52:00"/>
        <d v="2026-07-24T21:27:00"/>
        <d v="2026-02-16T04:48:00"/>
        <d v="2026-06-03T08:07:00"/>
        <d v="2026-04-28T05:23:00"/>
        <d v="2026-04-30T06:33:00"/>
        <d v="2026-08-23T20:14:00"/>
        <d v="2026-01-30T20:59:00"/>
        <d v="2026-07-22T14:44:00"/>
        <d v="2026-02-13T16:59:00"/>
        <d v="2026-07-28T22:07:00"/>
        <d v="2026-05-15T16:04:00"/>
        <d v="2026-01-30T21:40:00"/>
        <d v="2026-01-15T06:26:00"/>
        <d v="2026-04-04T00:38:00"/>
        <d v="2026-04-08T16:12:00"/>
        <d v="2026-08-18T15:18:00"/>
        <d v="2026-08-16T07:43:00"/>
        <d v="2026-03-08T11:19:00"/>
        <d v="2026-01-15T21:04:00"/>
        <d v="2026-03-10T01:19:00"/>
        <d v="2026-04-02T20:09:00"/>
        <d v="2026-01-06T21:25:00"/>
        <d v="2026-08-05T19:35:00"/>
        <d v="2026-05-07T14:56:00"/>
        <d v="2026-03-18T22:49:00"/>
        <d v="2026-07-09T17:10:00"/>
        <d v="2026-07-12T10:47:00"/>
        <d v="2026-08-17T07:08:00"/>
        <d v="2026-08-22T02:22:00"/>
        <d v="2026-06-01T00:45:00"/>
        <d v="2026-08-05T14:42:00"/>
        <d v="2026-02-07T21:12:00"/>
        <d v="2026-02-17T08:57:00"/>
        <d v="2026-01-17T18:09:00"/>
        <d v="2026-05-31T14:08:00"/>
        <d v="2026-07-22T04:49:00"/>
        <d v="2026-05-13T15:50:00"/>
        <d v="2026-01-25T11:28:00"/>
        <d v="2026-07-27T03:12:00"/>
        <d v="2026-01-30T14:44:00"/>
        <d v="2026-05-11T23:50:00"/>
        <d v="2026-05-12T07:18:00"/>
        <d v="2026-04-11T23:48:00"/>
        <d v="2026-01-08T20:13:00"/>
        <d v="2026-06-14T02:24:00"/>
        <d v="2026-06-07T03:21:00"/>
        <d v="2026-04-02T03:43:00"/>
        <d v="2026-08-23T08:14:00"/>
        <d v="2026-03-30T06:49:00"/>
        <d v="2026-06-05T08:16:00"/>
        <d v="2026-05-24T21:44:00"/>
        <d v="2026-05-05T15:26:00"/>
        <d v="2026-05-18T17:16:00"/>
        <d v="2026-03-09T13:08:00"/>
        <d v="2026-07-23T04:55:00"/>
        <d v="2026-01-02T14:34:00"/>
        <d v="2026-07-20T08:33:00"/>
        <d v="2026-08-13T03:21:00"/>
        <d v="2026-03-31T02:55:00"/>
        <d v="2026-01-31T13:24:00"/>
        <d v="2026-05-29T09:26:00"/>
        <d v="2026-07-17T11:02:00"/>
        <d v="2026-04-26T16:15:00"/>
        <d v="2026-08-26T08:20:00"/>
        <d v="2026-01-29T20:41:00"/>
        <d v="2026-02-10T10:31:00"/>
        <d v="2026-05-01T00:11:00"/>
        <d v="2026-05-16T04:45:00"/>
        <d v="2026-01-31T07:31:00"/>
        <d v="2026-03-10T08:31:00"/>
        <d v="2026-05-02T12:28:00"/>
        <d v="2026-05-29T03:59:00"/>
        <d v="2026-07-28T06:40:00"/>
        <d v="2026-01-30T15:38:00"/>
        <d v="2026-02-08T15:56:00"/>
        <d v="2026-04-16T11:16:00"/>
        <d v="2026-07-21T14:00:00"/>
        <d v="2026-04-26T03:39:00"/>
        <d v="2026-06-03T20:45:00"/>
        <d v="2026-04-29T10:25:00"/>
        <d v="2026-08-05T22:44:00"/>
        <d v="2026-06-24T16:17:00"/>
        <d v="2026-02-22T04:33:00"/>
        <d v="2026-03-11T03:19:00"/>
        <d v="2026-04-17T22:48:00"/>
        <d v="2026-03-06T04:14:00"/>
        <d v="2026-04-29T14:14:00"/>
        <d v="2026-07-13T18:58:00"/>
        <d v="2026-07-13T09:26:00"/>
        <d v="2026-05-03T21:16:00"/>
        <d v="2026-05-04T10:28:00"/>
        <d v="2026-07-05T05:02:00"/>
        <d v="2026-03-27T16:07:00"/>
        <d v="2026-05-21T12:12:00"/>
        <d v="2026-03-19T03:22:00"/>
        <d v="2026-04-03T17:10:00"/>
        <d v="2026-02-13T04:22:00"/>
        <d v="2026-02-03T06:38:00"/>
        <d v="2026-06-13T14:44:00"/>
        <d v="2026-01-05T16:05:00"/>
        <d v="2026-04-25T05:58:00"/>
        <d v="2026-04-27T10:25:00"/>
        <d v="2026-07-15T17:33:00"/>
        <d v="2026-02-08T09:59:00"/>
        <d v="2026-06-02T07:51:00"/>
        <d v="2026-04-27T12:23:00"/>
        <d v="2026-04-25T19:05:00"/>
        <d v="2026-06-14T17:34:00"/>
        <d v="2026-04-14T04:05:00"/>
        <d v="2026-01-25T06:27:00"/>
        <d v="2026-01-18T06:36:00"/>
        <d v="2026-05-21T14:37:00"/>
        <d v="2026-02-24T02:11:00"/>
        <d v="2026-06-26T09:17:00"/>
        <d v="2026-02-17T18:05:00"/>
        <d v="2026-08-30T14:35:00"/>
        <d v="2026-08-18T22:43:00"/>
        <d v="2026-06-08T02:26:00"/>
        <d v="2026-03-16T01:34:00"/>
        <d v="2026-03-03T07:07:00"/>
        <d v="2026-03-15T01:35:00"/>
        <d v="2026-02-11T12:46:00"/>
        <d v="2026-04-24T15:16:00"/>
        <d v="2026-05-09T09:50:00"/>
        <d v="2026-04-03T12:00:00"/>
        <d v="2026-04-10T19:34:00"/>
        <d v="2026-04-02T07:42:00"/>
        <d v="2026-02-11T01:43:00"/>
        <d v="2026-06-12T20:54:00"/>
        <d v="2026-04-17T15:34:00"/>
        <d v="2026-02-03T08:54:00"/>
        <d v="2026-06-16T04:09:00"/>
        <d v="2026-02-06T01:50:00"/>
        <d v="2026-06-15T16:06:00"/>
        <d v="2026-05-27T16:34:00"/>
        <d v="2026-02-12T14:37:00"/>
        <d v="2026-08-19T14:25:00"/>
        <d v="2026-05-16T09:14:00"/>
        <d v="2026-07-04T22:03:00"/>
        <d v="2026-04-19T18:02:00"/>
        <d v="2026-06-18T09:49:00"/>
        <d v="2026-06-16T09:59:00"/>
        <d v="2026-07-10T02:01:00"/>
        <d v="2026-06-08T02:14:00"/>
        <d v="2026-03-06T04:29:00"/>
        <d v="2026-03-10T01:45:00"/>
        <d v="2026-01-15T05:23:00"/>
        <d v="2026-02-08T10:06:00"/>
        <d v="2026-07-03T16:43:00"/>
        <d v="2026-08-04T05:33:00"/>
        <d v="2026-08-19T03:11:00"/>
        <d v="2026-01-15T22:21:00"/>
        <d v="2026-01-23T00:11:00"/>
        <d v="2026-06-04T20:07:00"/>
        <d v="2026-01-18T08:26:00"/>
        <d v="2026-02-16T14:52:00"/>
        <d v="2026-06-17T01:56:00"/>
        <d v="2026-07-19T05:25:00"/>
        <d v="2026-08-07T22:25:00"/>
        <d v="2026-03-12T01:24:00"/>
        <d v="2026-02-11T04:14:00"/>
        <d v="2026-02-25T18:49:00"/>
        <d v="2026-03-19T00:24:00"/>
        <d v="2026-01-09T10:35:00"/>
        <d v="2026-03-20T02:02:00"/>
        <d v="2026-07-15T04:09:00"/>
        <d v="2026-08-12T09:24:00"/>
        <d v="2026-06-22T05:54:00"/>
        <d v="2026-07-16T07:06:00"/>
        <d v="2026-03-07T00:56:00"/>
        <d v="2026-01-11T10:32:00"/>
        <d v="2026-02-15T05:54:00"/>
        <d v="2026-04-14T08:16:00"/>
        <d v="2026-04-25T00:47:00"/>
        <d v="2026-04-16T15:41:00"/>
        <d v="2026-04-03T08:30:00"/>
        <d v="2026-06-13T08:22:00"/>
        <d v="2026-06-29T19:27:00"/>
        <d v="2026-07-23T10:52:00"/>
        <d v="2026-02-14T14:31:00"/>
        <d v="2026-01-19T12:09:00"/>
        <d v="2026-03-11T08:04:00"/>
        <d v="2026-03-21T10:18:00"/>
        <d v="2026-06-27T08:15:00"/>
        <d v="2026-05-29T07:32:00"/>
        <d v="2026-06-23T09:59:00"/>
        <d v="2026-06-19T14:58:00"/>
        <d v="2026-07-02T08:48:00"/>
        <d v="2026-04-04T22:59:00"/>
        <d v="2026-05-31T19:02:00"/>
        <d v="2026-01-13T16:31:00"/>
        <d v="2026-03-30T03:56:00"/>
        <d v="2026-04-30T04:50:00"/>
        <d v="2026-07-01T11:24:00"/>
        <d v="2026-02-06T02:34:00"/>
        <d v="2026-05-24T21:14:00"/>
        <d v="2026-06-11T15:57:00"/>
        <d v="2026-07-23T11:16:00"/>
        <d v="2026-05-03T01:26:00"/>
        <d v="2026-06-05T02:39:00"/>
        <d v="2026-02-26T18:57:00"/>
        <d v="2026-07-07T05:09:00"/>
        <d v="2026-07-10T18:54:00"/>
        <d v="2026-07-19T03:39:00"/>
        <d v="2026-06-27T04:26:00"/>
        <d v="2026-05-12T00:36:00"/>
        <d v="2026-05-12T14:44:00"/>
        <d v="2026-07-21T13:03:00"/>
        <d v="2026-03-01T18:52:00"/>
        <d v="2026-04-13T08:28:00"/>
        <d v="2026-07-11T23:13:00"/>
        <d v="2026-01-24T01:09:00"/>
        <d v="2026-01-13T15:16:00"/>
        <d v="2026-01-19T01:18:00"/>
        <d v="2026-05-13T18:39:00"/>
        <d v="2026-03-09T10:20:00"/>
        <d v="2026-08-14T14:32:00"/>
        <d v="2026-03-16T04:58:00"/>
        <d v="2026-04-18T04:56:00"/>
        <d v="2026-01-07T00:14:00"/>
        <d v="2026-08-29T04:40:00"/>
        <d v="2026-06-01T18:57:00"/>
        <d v="2026-05-31T11:07:00"/>
        <d v="2026-04-14T07:16:00"/>
        <d v="2026-06-12T14:37:00"/>
        <d v="2026-02-20T16:41:00"/>
        <d v="2026-01-05T13:31:00"/>
        <d v="2026-06-25T04:08:00"/>
        <d v="2026-02-02T07:18:00"/>
        <d v="2026-04-06T19:58:00"/>
        <d v="2026-02-18T12:53:00"/>
        <d v="2026-02-02T17:08:00"/>
        <d v="2026-05-08T16:47:00"/>
        <d v="2026-02-25T18:42:00"/>
        <d v="2026-08-09T15:34:00"/>
        <d v="2026-04-29T18:32:00"/>
        <d v="2026-04-06T05:55:00"/>
        <d v="2026-07-01T18:09:00"/>
        <d v="2026-01-23T03:18:00"/>
        <d v="2026-08-13T01:24:00"/>
        <d v="2026-03-16T13:44:00"/>
        <d v="2026-02-24T04:28:00"/>
        <d v="2026-01-09T11:44:00"/>
        <d v="2026-06-30T11:47:00"/>
        <d v="2026-08-21T07:48:00"/>
        <d v="2026-05-06T08:33:00"/>
        <d v="2026-08-08T18:03:00"/>
        <d v="2026-02-01T11:23:00"/>
        <d v="2026-01-18T08:52:00"/>
        <d v="2026-04-29T04:28:00"/>
        <d v="2026-07-31T04:26:00"/>
        <d v="2026-05-12T18:22:00"/>
        <d v="2026-01-20T04:33:00"/>
        <d v="2026-06-01T14:53:00"/>
        <d v="2026-01-25T07:22:00"/>
        <d v="2026-04-10T11:40:00"/>
        <d v="2026-06-02T17:14:00"/>
        <d v="2026-04-16T07:21:00"/>
        <d v="2026-05-30T20:32:00"/>
        <d v="2026-05-26T04:01:00"/>
        <d v="2026-07-18T15:55:00"/>
        <d v="2026-08-18T12:26:00"/>
        <d v="2026-05-30T03:56:00"/>
        <d v="2026-06-29T16:32:00"/>
        <d v="2026-03-08T01:32:00"/>
        <d v="2026-02-10T22:45:00"/>
        <d v="2026-02-05T04:58:00"/>
        <d v="2026-02-01T15:27:00"/>
        <d v="2026-07-08T15:04:00"/>
        <d v="2026-08-17T07:48:00"/>
        <d v="2026-03-03T17:30:00"/>
        <d v="2026-07-28T03:08:00"/>
        <d v="2026-08-08T20:02:00"/>
        <d v="2026-07-25T02:37:00"/>
        <d v="2026-02-09T18:21:00"/>
        <d v="2026-05-03T01:04:00"/>
        <d v="2026-06-04T19:48:00"/>
        <d v="2026-03-16T16:13:00"/>
        <d v="2026-06-04T03:33:00"/>
        <d v="2026-07-11T06:17:00"/>
        <d v="2026-04-11T19:53:00"/>
        <d v="2026-07-22T01:55:00"/>
        <d v="2026-02-01T20:07:00"/>
        <d v="2026-07-21T14:42:00"/>
        <d v="2026-03-12T12:20:00"/>
        <d v="2026-04-19T12:48:00"/>
        <d v="2026-08-19T15:57:00"/>
        <d v="2026-05-19T01:25:00"/>
        <d v="2026-01-07T21:28:00"/>
        <d v="2026-04-06T00:38:00"/>
        <d v="2026-01-30T14:47:00"/>
        <d v="2026-08-24T01:39:00"/>
        <d v="2026-02-27T00:30:00"/>
        <d v="2026-03-13T15:31:00"/>
        <d v="2026-02-23T08:03:00"/>
        <d v="2026-06-21T14:55:00"/>
        <d v="2026-07-03T10:58:00"/>
        <d v="2026-07-12T12:06:00"/>
        <d v="2026-02-17T17:03:00"/>
        <d v="2026-03-23T22:19:00"/>
        <d v="2026-05-13T07:57:00"/>
        <d v="2026-03-17T06:12:00"/>
        <d v="2026-03-11T09:33:00"/>
        <d v="2026-03-31T08:28:00"/>
        <d v="2026-02-07T23:50:00"/>
        <d v="2026-08-25T07:09:00"/>
        <d v="2026-07-02T02:46:00"/>
        <d v="2026-02-25T10:44:00"/>
        <d v="2026-05-02T18:11:00"/>
        <d v="2026-07-27T21:59:00"/>
        <d v="2026-01-22T20:08:00"/>
        <d v="2026-07-15T16:16:00"/>
        <d v="2026-05-13T12:00:00"/>
        <d v="2026-04-06T06:13:00"/>
        <d v="2026-03-21T03:40:00"/>
        <d v="2026-07-16T04:13:00"/>
        <d v="2026-08-04T06:11:00"/>
        <d v="2026-07-23T08:46:00"/>
        <d v="2026-07-31T22:52:00"/>
        <d v="2026-06-19T22:38:00"/>
        <d v="2026-01-18T15:56:00"/>
        <d v="2026-07-10T03:27:00"/>
        <d v="2026-07-23T01:27:00"/>
        <d v="2026-06-20T09:19:00"/>
        <d v="2026-05-17T06:25:00"/>
        <d v="2026-05-19T22:59:00"/>
        <d v="2026-05-20T06:20:00"/>
        <d v="2026-02-27T06:51:00"/>
        <d v="2026-05-15T19:56:00"/>
        <d v="2026-02-22T22:33:00"/>
        <d v="2026-04-14T04:08:00"/>
        <d v="2026-04-10T09:59:00"/>
        <d v="2026-04-16T22:07:00"/>
        <d v="2026-01-11T10:13:00"/>
        <d v="2026-06-30T09:32:00"/>
        <d v="2026-05-19T09:24:00"/>
        <d v="2026-01-03T12:31:00"/>
        <d v="2026-02-07T03:24:00"/>
        <d v="2026-08-02T10:24:00"/>
        <d v="2026-02-14T07:52:00"/>
        <d v="2026-02-07T22:52:00"/>
        <d v="2026-07-05T02:49:00"/>
        <d v="2026-05-05T17:11:00"/>
        <d v="2026-08-17T20:54:00"/>
        <d v="2026-08-21T21:36:00"/>
        <d v="2026-02-15T05:15:00"/>
        <d v="2026-06-26T04:38:00"/>
        <d v="2026-05-11T05:50:00"/>
        <d v="2026-03-18T19:05:00"/>
        <d v="2026-07-05T09:05:00"/>
        <d v="2026-05-25T12:33:00"/>
        <d v="2026-07-28T17:44:00"/>
        <d v="2026-02-20T03:51:00"/>
        <d v="2026-08-31T06:50:00"/>
        <d v="2026-08-27T03:33:00"/>
        <d v="2026-01-31T13:12:00"/>
        <d v="2026-07-12T07:34:00"/>
        <d v="2026-04-20T10:47:00"/>
        <d v="2026-08-30T23:26:00"/>
        <d v="2026-01-24T13:29:00"/>
        <d v="2026-07-16T14:35:00"/>
        <d v="2026-04-05T18:47:00"/>
        <d v="2026-01-23T22:57:00"/>
        <d v="2026-02-28T04:39:00"/>
        <d v="2026-01-17T05:21:00"/>
        <d v="2026-05-30T23:23:00"/>
        <d v="2026-07-17T05:18:00"/>
        <d v="2026-03-03T12:07:00"/>
        <d v="2026-03-24T02:02:00"/>
        <d v="2026-01-09T08:56:00"/>
        <d v="2026-01-29T22:08:00"/>
        <d v="2026-02-07T20:19:00"/>
        <d v="2026-08-20T15:31:00"/>
        <d v="2026-04-18T14:38:00"/>
        <d v="2026-04-04T12:01:00"/>
        <d v="2026-05-05T15:01:00"/>
        <d v="2026-01-18T20:12:00"/>
        <d v="2026-03-29T22:50:00"/>
        <d v="2026-04-22T11:48:00"/>
        <d v="2026-01-17T18:16:00"/>
        <d v="2026-02-20T00:22:00"/>
        <d v="2026-08-05T20:39:00"/>
        <d v="2026-04-27T07:09:00"/>
        <d v="2026-03-19T18:35:00"/>
        <d v="2026-06-15T13:42:00"/>
        <d v="2026-01-30T15:35:00"/>
        <d v="2026-02-03T21:28:00"/>
        <d v="2026-03-20T01:27:00"/>
        <d v="2026-06-08T16:18:00"/>
        <d v="2026-01-13T19:43:00"/>
        <d v="2026-01-15T07:15:00"/>
        <d v="2026-02-21T19:35:00"/>
        <d v="2026-06-20T15:14:00"/>
        <d v="2026-03-26T16:23:00"/>
        <d v="2026-06-12T21:52:00"/>
        <d v="2026-04-27T19:03:00"/>
        <d v="2026-02-15T08:34:00"/>
        <d v="2026-08-04T01:39:00"/>
        <d v="2026-03-21T07:13:00"/>
        <d v="2026-04-27T05:02:00"/>
        <d v="2026-07-18T16:40:00"/>
        <d v="2026-02-12T23:25:00"/>
        <d v="2026-04-04T05:11:00"/>
        <d v="2026-05-14T05:33:00"/>
        <d v="2026-08-25T16:41:00"/>
        <d v="2026-06-08T03:35:00"/>
        <d v="2026-04-15T01:55:00"/>
        <d v="2026-01-24T20:02:00"/>
        <d v="2026-04-19T00:28:00"/>
        <d v="2026-04-27T19:28:00"/>
        <d v="2026-08-29T22:46:00"/>
        <d v="2026-06-14T17:58:00"/>
        <d v="2026-03-04T18:53:00"/>
        <d v="2026-08-30T15:21:00"/>
        <d v="2026-08-08T16:58:00"/>
        <d v="2026-07-01T07:23:00"/>
        <d v="2026-03-25T01:25:00"/>
        <d v="2026-02-07T05:42:00"/>
        <d v="2026-06-06T18:12:00"/>
        <d v="2026-07-26T14:13:00"/>
        <d v="2026-05-30T15:39:00"/>
        <d v="2026-04-22T05:10:00"/>
        <d v="2026-05-06T14:06:00"/>
        <d v="2026-05-09T20:04:00"/>
        <d v="2026-01-15T12:38:00"/>
      </sharedItems>
    </cacheField>
    <cacheField name="Closed At" numFmtId="22">
      <sharedItems containsNonDate="0" containsDate="1" containsString="0" containsBlank="1" minDate="2026-01-01T15:32:32" maxDate="2026-09-01T14:41:46"/>
    </cacheField>
    <cacheField name="Status" numFmtId="0">
      <sharedItems count="3">
        <s v="Resolved"/>
        <s v="Open"/>
        <s v="Pending"/>
      </sharedItems>
    </cacheField>
    <cacheField name="Priority" numFmtId="0">
      <sharedItems count="5">
        <s v="Critical"/>
        <s v="Low"/>
        <s v="High"/>
        <s v="Medium"/>
        <s v="Unknown"/>
      </sharedItems>
    </cacheField>
    <cacheField name="Channel" numFmtId="0">
      <sharedItems/>
    </cacheField>
    <cacheField name="Region" numFmtId="0">
      <sharedItems count="5">
        <s v="Southeast"/>
        <s v="Northeast"/>
        <s v="South"/>
        <s v="Midwest"/>
        <s v="North"/>
      </sharedItems>
    </cacheField>
    <cacheField name="Customer Segment" numFmtId="0">
      <sharedItems count="3">
        <s v="Enterprise"/>
        <s v="SMB"/>
        <s v="Mid-Market"/>
      </sharedItems>
    </cacheField>
    <cacheField name="Product" numFmtId="0">
      <sharedItems count="4">
        <s v="CloudDesk"/>
        <s v="FlowCRM"/>
        <s v="PayLink"/>
        <s v="InsightBI"/>
      </sharedItems>
    </cacheField>
    <cacheField name="Category" numFmtId="0">
      <sharedItems count="6">
        <s v="Account Access"/>
        <s v="Technical Issue"/>
        <s v="Billing"/>
        <s v="Integration"/>
        <s v="Feature Request"/>
        <s v="Bug"/>
      </sharedItems>
    </cacheField>
    <cacheField name="Agent" numFmtId="0">
      <sharedItems count="11">
        <s v="Diego Rocha"/>
        <s v="Hugo Santos"/>
        <s v="Gabriela Lima"/>
        <s v="Bruno Silva"/>
        <s v="Unassigned"/>
        <s v="Carla Mendes"/>
        <s v="Felipe Alves"/>
        <s v="Isabela Nunes"/>
        <s v="Amelia Costa"/>
        <s v="João Ribeiro"/>
        <s v="Elena Martins"/>
      </sharedItems>
    </cacheField>
    <cacheField name="First Response Min" numFmtId="0">
      <sharedItems containsSemiMixedTypes="0" containsString="0" containsNumber="1" containsInteger="1" minValue="3" maxValue="1016"/>
    </cacheField>
    <cacheField name="CSAT (1-5)" numFmtId="0">
      <sharedItems containsString="0" containsBlank="1" containsNumber="1" containsInteger="1" minValue="2" maxValue="5"/>
    </cacheField>
    <cacheField name="Reopen Count" numFmtId="0">
      <sharedItems containsSemiMixedTypes="0" containsString="0" containsNumber="1" containsInteger="1" minValue="0" maxValue="3"/>
    </cacheField>
    <cacheField name="Message Count" numFmtId="0">
      <sharedItems containsSemiMixedTypes="0" containsString="0" containsNumber="1" containsInteger="1" minValue="2" maxValue="23"/>
    </cacheField>
    <cacheField name="Escalated" numFmtId="0">
      <sharedItems/>
    </cacheField>
    <cacheField name="First Response SLA (min)" numFmtId="0">
      <sharedItems containsString="0" containsBlank="1" containsNumber="1" containsInteger="1" minValue="15" maxValue="240"/>
    </cacheField>
    <cacheField name="Resolution SLA (hours)" numFmtId="0">
      <sharedItems containsString="0" containsBlank="1" containsNumber="1" containsInteger="1" minValue="4" maxValue="48"/>
    </cacheField>
    <cacheField name="First Response SLA Met" numFmtId="0">
      <sharedItems containsBlank="1"/>
    </cacheField>
    <cacheField name="Resolution SLA Met" numFmtId="0">
      <sharedItems containsBlank="1" count="4">
        <s v="Yes"/>
        <s v="No"/>
        <s v="Pending"/>
        <m/>
      </sharedItems>
    </cacheField>
    <cacheField name="Year" numFmtId="0">
      <sharedItems containsSemiMixedTypes="0" containsString="0" containsNumber="1" containsInteger="1" minValue="2026" maxValue="2026"/>
    </cacheField>
    <cacheField name="Month Of Number" numFmtId="0">
      <sharedItems containsSemiMixedTypes="0" containsString="0" containsNumber="1" containsInteger="1" minValue="1" maxValue="8"/>
    </cacheField>
    <cacheField name="Month" numFmtId="0">
      <sharedItems/>
    </cacheField>
    <cacheField name="Year-Month" numFmtId="14">
      <sharedItems containsSemiMixedTypes="0" containsNonDate="0" containsDate="1" containsString="0" minDate="2026-01-01T00:00:00" maxDate="2026-08-02T00:00:00" count="8">
        <d v="2026-04-01T00:00:00"/>
        <d v="2026-01-01T00:00:00"/>
        <d v="2026-05-01T00:00:00"/>
        <d v="2026-08-01T00:00:00"/>
        <d v="2026-02-01T00:00:00"/>
        <d v="2026-06-01T00:00:00"/>
        <d v="2026-07-01T00:00:00"/>
        <d v="2026-03-01T00:00:00"/>
      </sharedItems>
      <fieldGroup par="37"/>
    </cacheField>
    <cacheField name="CSAT Group" numFmtId="0">
      <sharedItems/>
    </cacheField>
    <cacheField name="Reopened" numFmtId="0">
      <sharedItems/>
    </cacheField>
    <cacheField name="CSAT Valid" numFmtId="0">
      <sharedItems/>
    </cacheField>
    <cacheField name="Ticket Outcome" numFmtId="0">
      <sharedItems/>
    </cacheField>
    <cacheField name="Ticket Flag" numFmtId="0">
      <sharedItems containsSemiMixedTypes="0" containsString="0" containsNumber="1" containsInteger="1" minValue="1" maxValue="1"/>
    </cacheField>
    <cacheField name="Backlog" numFmtId="0">
      <sharedItems containsSemiMixedTypes="0" containsString="0" containsNumber="1" containsInteger="1" minValue="0" maxValue="1"/>
    </cacheField>
    <cacheField name="Resolved Flag" numFmtId="0">
      <sharedItems containsSemiMixedTypes="0" containsString="0" containsNumber="1" containsInteger="1" minValue="0" maxValue="1"/>
    </cacheField>
    <cacheField name="Reopened Flag" numFmtId="0">
      <sharedItems containsSemiMixedTypes="0" containsString="0" containsNumber="1" containsInteger="1" minValue="0" maxValue="1"/>
    </cacheField>
    <cacheField name="Escalated Flag" numFmtId="0">
      <sharedItems containsSemiMixedTypes="0" containsString="0" containsNumber="1" containsInteger="1" minValue="0" maxValue="1"/>
    </cacheField>
    <cacheField name="First Response SLA Flag" numFmtId="0">
      <sharedItems containsString="0" containsBlank="1" containsNumber="1" containsInteger="1" minValue="0" maxValue="1"/>
    </cacheField>
    <cacheField name="Resolution SLA Flag" numFmtId="0">
      <sharedItems containsString="0" containsBlank="1" containsNumber="1" containsInteger="1" minValue="0" maxValue="1"/>
    </cacheField>
    <cacheField name="Dias (Year-Month)" numFmtId="0" databaseField="0">
      <fieldGroup base="24">
        <rangePr groupBy="days" startDate="2026-01-01T00:00:00" endDate="2026-08-02T00:00:00"/>
        <groupItems count="368">
          <s v="&lt;01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2/08/2026"/>
        </groupItems>
      </fieldGroup>
    </cacheField>
    <cacheField name="Meses (Year-Month)" numFmtId="0" databaseField="0">
      <fieldGroup base="24">
        <rangePr groupBy="months" startDate="2026-01-01T00:00:00" endDate="2026-08-02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8/2026"/>
        </groupItems>
      </fieldGroup>
    </cacheField>
  </cacheFields>
  <extLst>
    <ext xmlns:x14="http://schemas.microsoft.com/office/spreadsheetml/2009/9/main" uri="{725AE2AE-9491-48be-B2B4-4EB974FC3084}">
      <x14:pivotCacheDefinition pivotCacheId="10934266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0">
  <r>
    <s v="TKT-00846"/>
    <n v="2.1800000000000002"/>
    <x v="0"/>
    <d v="2026-04-12T18:46:31"/>
    <x v="0"/>
    <x v="0"/>
    <s v="Chat"/>
    <x v="0"/>
    <x v="0"/>
    <x v="0"/>
    <x v="0"/>
    <x v="0"/>
    <n v="18"/>
    <n v="4"/>
    <n v="0"/>
    <n v="2"/>
    <s v="No"/>
    <n v="15"/>
    <n v="4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0172"/>
    <n v="15.7"/>
    <x v="1"/>
    <d v="2026-01-04T04:58:12"/>
    <x v="0"/>
    <x v="1"/>
    <s v="Chat"/>
    <x v="1"/>
    <x v="1"/>
    <x v="1"/>
    <x v="1"/>
    <x v="1"/>
    <n v="384"/>
    <n v="2"/>
    <n v="2"/>
    <n v="7"/>
    <s v="No"/>
    <n v="240"/>
    <n v="48"/>
    <s v="No"/>
    <x v="0"/>
    <n v="2026"/>
    <n v="1"/>
    <s v="janeiro"/>
    <x v="1"/>
    <s v="Dissatisfied"/>
    <s v="Yes"/>
    <s v="Yes"/>
    <s v="Resolved"/>
    <n v="1"/>
    <n v="0"/>
    <n v="1"/>
    <n v="1"/>
    <n v="0"/>
    <n v="0"/>
    <n v="1"/>
  </r>
  <r>
    <s v="TKT-00354"/>
    <n v="42.95"/>
    <x v="2"/>
    <d v="2026-04-26T11:12:45"/>
    <x v="0"/>
    <x v="1"/>
    <s v="Email"/>
    <x v="0"/>
    <x v="2"/>
    <x v="2"/>
    <x v="1"/>
    <x v="2"/>
    <n v="93"/>
    <n v="4"/>
    <n v="0"/>
    <n v="4"/>
    <s v="No"/>
    <n v="240"/>
    <n v="48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202"/>
    <n v="6.78"/>
    <x v="3"/>
    <d v="2026-05-08T21:45:37"/>
    <x v="0"/>
    <x v="2"/>
    <s v="Web Form"/>
    <x v="0"/>
    <x v="2"/>
    <x v="3"/>
    <x v="1"/>
    <x v="2"/>
    <n v="42"/>
    <n v="4"/>
    <n v="0"/>
    <n v="5"/>
    <s v="No"/>
    <n v="30"/>
    <n v="8"/>
    <s v="No"/>
    <x v="0"/>
    <n v="2026"/>
    <n v="5"/>
    <s v="maio"/>
    <x v="2"/>
    <s v="Satisfied"/>
    <s v="No"/>
    <s v="Yes"/>
    <s v="Resolved"/>
    <n v="1"/>
    <n v="0"/>
    <n v="1"/>
    <n v="0"/>
    <n v="0"/>
    <n v="0"/>
    <n v="1"/>
  </r>
  <r>
    <s v="TKT-00973"/>
    <n v="10.31"/>
    <x v="4"/>
    <d v="2026-08-07T13:12:31"/>
    <x v="0"/>
    <x v="3"/>
    <s v="Email"/>
    <x v="1"/>
    <x v="2"/>
    <x v="0"/>
    <x v="2"/>
    <x v="1"/>
    <n v="100"/>
    <n v="5"/>
    <n v="0"/>
    <n v="4"/>
    <s v="No"/>
    <n v="120"/>
    <n v="24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700"/>
    <n v="103.53"/>
    <x v="5"/>
    <d v="2026-04-14T04:51:41"/>
    <x v="0"/>
    <x v="1"/>
    <s v="Email"/>
    <x v="2"/>
    <x v="2"/>
    <x v="3"/>
    <x v="1"/>
    <x v="3"/>
    <n v="517"/>
    <n v="3"/>
    <n v="0"/>
    <n v="6"/>
    <s v="No"/>
    <n v="240"/>
    <n v="48"/>
    <s v="No"/>
    <x v="1"/>
    <n v="2026"/>
    <n v="4"/>
    <s v="abril"/>
    <x v="0"/>
    <s v="Neutral"/>
    <s v="No"/>
    <s v="Yes"/>
    <s v="Resolved"/>
    <n v="1"/>
    <n v="0"/>
    <n v="1"/>
    <n v="0"/>
    <n v="0"/>
    <n v="0"/>
    <n v="0"/>
  </r>
  <r>
    <s v="TKT-00400"/>
    <m/>
    <x v="6"/>
    <m/>
    <x v="1"/>
    <x v="1"/>
    <s v="Web Form"/>
    <x v="0"/>
    <x v="1"/>
    <x v="1"/>
    <x v="3"/>
    <x v="2"/>
    <n v="202"/>
    <m/>
    <n v="0"/>
    <n v="5"/>
    <s v="No"/>
    <n v="240"/>
    <n v="48"/>
    <s v="Yes"/>
    <x v="2"/>
    <n v="2026"/>
    <n v="2"/>
    <s v="fevereiro"/>
    <x v="4"/>
    <s v="No Response"/>
    <s v="No"/>
    <s v="No"/>
    <s v="Open"/>
    <n v="1"/>
    <n v="1"/>
    <n v="0"/>
    <n v="0"/>
    <n v="0"/>
    <n v="1"/>
    <m/>
  </r>
  <r>
    <s v="TKT-00283"/>
    <n v="31.24"/>
    <x v="7"/>
    <d v="2026-08-04T03:53:06"/>
    <x v="0"/>
    <x v="3"/>
    <s v="Web Form"/>
    <x v="2"/>
    <x v="1"/>
    <x v="2"/>
    <x v="3"/>
    <x v="3"/>
    <n v="167"/>
    <n v="3"/>
    <n v="0"/>
    <n v="2"/>
    <s v="No"/>
    <n v="120"/>
    <n v="24"/>
    <s v="No"/>
    <x v="1"/>
    <n v="2026"/>
    <n v="8"/>
    <s v="agosto"/>
    <x v="3"/>
    <s v="Neutral"/>
    <s v="No"/>
    <s v="Yes"/>
    <s v="Resolved"/>
    <n v="1"/>
    <n v="0"/>
    <n v="1"/>
    <n v="0"/>
    <n v="0"/>
    <n v="0"/>
    <n v="0"/>
  </r>
  <r>
    <s v="TKT-01092"/>
    <n v="22.05"/>
    <x v="8"/>
    <d v="2026-01-23T10:23:57"/>
    <x v="0"/>
    <x v="1"/>
    <s v="Chat"/>
    <x v="0"/>
    <x v="0"/>
    <x v="0"/>
    <x v="2"/>
    <x v="4"/>
    <n v="99"/>
    <n v="3"/>
    <n v="2"/>
    <n v="12"/>
    <s v="No"/>
    <n v="240"/>
    <n v="48"/>
    <s v="Yes"/>
    <x v="0"/>
    <n v="2026"/>
    <n v="1"/>
    <s v="janeiro"/>
    <x v="1"/>
    <s v="Neutral"/>
    <s v="Yes"/>
    <s v="Yes"/>
    <s v="Resolved"/>
    <n v="1"/>
    <n v="0"/>
    <n v="1"/>
    <n v="1"/>
    <n v="0"/>
    <n v="1"/>
    <n v="1"/>
  </r>
  <r>
    <s v="TKT-00494"/>
    <n v="39.11"/>
    <x v="9"/>
    <d v="2026-06-16T04:00:41"/>
    <x v="0"/>
    <x v="3"/>
    <s v="Chat"/>
    <x v="0"/>
    <x v="0"/>
    <x v="0"/>
    <x v="1"/>
    <x v="5"/>
    <n v="259"/>
    <n v="3"/>
    <n v="0"/>
    <n v="8"/>
    <s v="Yes"/>
    <n v="120"/>
    <n v="24"/>
    <s v="No"/>
    <x v="1"/>
    <n v="2026"/>
    <n v="6"/>
    <s v="junho"/>
    <x v="5"/>
    <s v="Neutral"/>
    <s v="No"/>
    <s v="Yes"/>
    <s v="Resolved"/>
    <n v="1"/>
    <n v="0"/>
    <n v="1"/>
    <n v="0"/>
    <n v="1"/>
    <n v="0"/>
    <n v="0"/>
  </r>
  <r>
    <s v="TKT-00112"/>
    <n v="93.18"/>
    <x v="10"/>
    <d v="2026-08-12T08:35:40"/>
    <x v="0"/>
    <x v="1"/>
    <s v="Phone"/>
    <x v="3"/>
    <x v="0"/>
    <x v="1"/>
    <x v="4"/>
    <x v="6"/>
    <n v="56"/>
    <n v="4"/>
    <n v="0"/>
    <n v="6"/>
    <s v="No"/>
    <n v="240"/>
    <n v="48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713"/>
    <n v="4.54"/>
    <x v="11"/>
    <d v="2026-05-30T03:32:06"/>
    <x v="0"/>
    <x v="0"/>
    <s v="Email"/>
    <x v="0"/>
    <x v="2"/>
    <x v="3"/>
    <x v="2"/>
    <x v="2"/>
    <n v="38"/>
    <n v="4"/>
    <n v="0"/>
    <n v="3"/>
    <s v="No"/>
    <n v="15"/>
    <n v="4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301"/>
    <n v="4.21"/>
    <x v="12"/>
    <d v="2026-01-29T10:38:30"/>
    <x v="0"/>
    <x v="0"/>
    <s v="Email"/>
    <x v="0"/>
    <x v="1"/>
    <x v="1"/>
    <x v="1"/>
    <x v="7"/>
    <n v="15"/>
    <n v="5"/>
    <n v="0"/>
    <n v="6"/>
    <s v="No"/>
    <n v="15"/>
    <n v="4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305"/>
    <n v="37.840000000000003"/>
    <x v="13"/>
    <d v="2026-07-25T09:36:14"/>
    <x v="0"/>
    <x v="3"/>
    <s v="Web Form"/>
    <x v="0"/>
    <x v="1"/>
    <x v="1"/>
    <x v="1"/>
    <x v="5"/>
    <n v="136"/>
    <n v="4"/>
    <n v="0"/>
    <n v="7"/>
    <s v="No"/>
    <n v="120"/>
    <n v="24"/>
    <s v="No"/>
    <x v="1"/>
    <n v="2026"/>
    <n v="7"/>
    <s v="julho"/>
    <x v="6"/>
    <s v="Satisfied"/>
    <s v="No"/>
    <s v="Yes"/>
    <s v="Resolved"/>
    <n v="1"/>
    <n v="0"/>
    <n v="1"/>
    <n v="0"/>
    <n v="0"/>
    <n v="0"/>
    <n v="0"/>
  </r>
  <r>
    <s v="TKT-00327"/>
    <m/>
    <x v="14"/>
    <m/>
    <x v="2"/>
    <x v="2"/>
    <s v="Email"/>
    <x v="4"/>
    <x v="1"/>
    <x v="2"/>
    <x v="5"/>
    <x v="5"/>
    <n v="24"/>
    <m/>
    <n v="0"/>
    <n v="2"/>
    <s v="No"/>
    <n v="30"/>
    <n v="8"/>
    <s v="Yes"/>
    <x v="2"/>
    <n v="2026"/>
    <n v="2"/>
    <s v="fevereiro"/>
    <x v="4"/>
    <s v="No Response"/>
    <s v="No"/>
    <s v="No"/>
    <s v="Pending"/>
    <n v="1"/>
    <n v="1"/>
    <n v="0"/>
    <n v="0"/>
    <n v="0"/>
    <n v="1"/>
    <m/>
  </r>
  <r>
    <s v="TKT-00519"/>
    <n v="43.28"/>
    <x v="15"/>
    <d v="2026-02-13T00:59:35"/>
    <x v="0"/>
    <x v="1"/>
    <s v="Email"/>
    <x v="0"/>
    <x v="1"/>
    <x v="0"/>
    <x v="1"/>
    <x v="0"/>
    <n v="107"/>
    <n v="4"/>
    <n v="0"/>
    <n v="2"/>
    <s v="No"/>
    <n v="240"/>
    <n v="48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783"/>
    <n v="13.67"/>
    <x v="16"/>
    <d v="2026-08-13T09:16:56"/>
    <x v="0"/>
    <x v="3"/>
    <s v="Web Form"/>
    <x v="2"/>
    <x v="1"/>
    <x v="0"/>
    <x v="2"/>
    <x v="7"/>
    <n v="45"/>
    <n v="4"/>
    <n v="0"/>
    <n v="4"/>
    <s v="No"/>
    <n v="120"/>
    <n v="24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947"/>
    <n v="43.93"/>
    <x v="17"/>
    <d v="2026-04-16T16:34:00"/>
    <x v="0"/>
    <x v="3"/>
    <s v="Chat"/>
    <x v="0"/>
    <x v="2"/>
    <x v="2"/>
    <x v="1"/>
    <x v="6"/>
    <n v="69"/>
    <n v="4"/>
    <n v="0"/>
    <n v="4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544"/>
    <n v="14.24"/>
    <x v="18"/>
    <d v="2026-04-02T16:29:22"/>
    <x v="0"/>
    <x v="3"/>
    <s v="Email"/>
    <x v="0"/>
    <x v="1"/>
    <x v="0"/>
    <x v="3"/>
    <x v="7"/>
    <n v="161"/>
    <n v="4"/>
    <n v="0"/>
    <n v="6"/>
    <s v="No"/>
    <n v="120"/>
    <n v="24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1177"/>
    <n v="38.53"/>
    <x v="19"/>
    <d v="2026-07-14T19:45:49"/>
    <x v="0"/>
    <x v="1"/>
    <s v="Chat"/>
    <x v="1"/>
    <x v="1"/>
    <x v="0"/>
    <x v="1"/>
    <x v="8"/>
    <n v="126"/>
    <n v="4"/>
    <n v="0"/>
    <n v="6"/>
    <s v="No"/>
    <n v="240"/>
    <n v="48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888"/>
    <n v="3.97"/>
    <x v="20"/>
    <d v="2026-05-25T07:40:25"/>
    <x v="0"/>
    <x v="0"/>
    <s v="Chat"/>
    <x v="0"/>
    <x v="1"/>
    <x v="0"/>
    <x v="5"/>
    <x v="8"/>
    <n v="42"/>
    <n v="5"/>
    <n v="0"/>
    <n v="3"/>
    <s v="No"/>
    <n v="15"/>
    <n v="4"/>
    <s v="No"/>
    <x v="0"/>
    <n v="2026"/>
    <n v="5"/>
    <s v="maio"/>
    <x v="2"/>
    <s v="Satisfied"/>
    <s v="No"/>
    <s v="Yes"/>
    <s v="Resolved"/>
    <n v="1"/>
    <n v="0"/>
    <n v="1"/>
    <n v="0"/>
    <n v="0"/>
    <n v="0"/>
    <n v="1"/>
  </r>
  <r>
    <s v="TKT-01077"/>
    <n v="68.790000000000006"/>
    <x v="21"/>
    <d v="2026-04-12T21:03:13"/>
    <x v="0"/>
    <x v="1"/>
    <s v="Chat"/>
    <x v="2"/>
    <x v="2"/>
    <x v="3"/>
    <x v="3"/>
    <x v="2"/>
    <n v="118"/>
    <n v="3"/>
    <n v="0"/>
    <n v="3"/>
    <s v="No"/>
    <n v="240"/>
    <n v="48"/>
    <s v="Yes"/>
    <x v="1"/>
    <n v="2026"/>
    <n v="4"/>
    <s v="abril"/>
    <x v="0"/>
    <s v="Neutral"/>
    <s v="No"/>
    <s v="Yes"/>
    <s v="Resolved"/>
    <n v="1"/>
    <n v="0"/>
    <n v="1"/>
    <n v="0"/>
    <n v="0"/>
    <n v="1"/>
    <n v="0"/>
  </r>
  <r>
    <s v="TKT-00893"/>
    <n v="53.77"/>
    <x v="22"/>
    <d v="2026-04-28T03:19:02"/>
    <x v="0"/>
    <x v="1"/>
    <s v="Chat"/>
    <x v="0"/>
    <x v="1"/>
    <x v="0"/>
    <x v="1"/>
    <x v="6"/>
    <n v="92"/>
    <n v="3"/>
    <n v="0"/>
    <n v="4"/>
    <s v="No"/>
    <n v="240"/>
    <n v="48"/>
    <s v="Yes"/>
    <x v="1"/>
    <n v="2026"/>
    <n v="4"/>
    <s v="abril"/>
    <x v="0"/>
    <s v="Neutral"/>
    <s v="No"/>
    <s v="Yes"/>
    <s v="Resolved"/>
    <n v="1"/>
    <n v="0"/>
    <n v="1"/>
    <n v="0"/>
    <n v="0"/>
    <n v="1"/>
    <n v="0"/>
  </r>
  <r>
    <s v="TKT-00832"/>
    <n v="6.1"/>
    <x v="23"/>
    <d v="2026-04-28T07:10:17"/>
    <x v="0"/>
    <x v="2"/>
    <s v="Chat"/>
    <x v="0"/>
    <x v="2"/>
    <x v="3"/>
    <x v="5"/>
    <x v="7"/>
    <n v="38"/>
    <n v="5"/>
    <n v="0"/>
    <n v="4"/>
    <s v="No"/>
    <n v="30"/>
    <n v="8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1098"/>
    <n v="33.61"/>
    <x v="24"/>
    <d v="2026-03-23T23:23:37"/>
    <x v="0"/>
    <x v="3"/>
    <s v="Email"/>
    <x v="3"/>
    <x v="1"/>
    <x v="1"/>
    <x v="3"/>
    <x v="0"/>
    <n v="53"/>
    <n v="4"/>
    <n v="0"/>
    <n v="2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970"/>
    <n v="45.03"/>
    <x v="25"/>
    <d v="2026-04-05T17:57:02"/>
    <x v="0"/>
    <x v="3"/>
    <s v="Web Form"/>
    <x v="2"/>
    <x v="1"/>
    <x v="0"/>
    <x v="1"/>
    <x v="9"/>
    <n v="92"/>
    <n v="4"/>
    <n v="0"/>
    <n v="6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337"/>
    <n v="28.27"/>
    <x v="26"/>
    <d v="2026-08-17T16:24:28"/>
    <x v="0"/>
    <x v="3"/>
    <s v="Chat"/>
    <x v="0"/>
    <x v="0"/>
    <x v="1"/>
    <x v="1"/>
    <x v="6"/>
    <n v="139"/>
    <n v="4"/>
    <n v="0"/>
    <n v="4"/>
    <s v="No"/>
    <n v="120"/>
    <n v="24"/>
    <s v="No"/>
    <x v="1"/>
    <n v="2026"/>
    <n v="8"/>
    <s v="agosto"/>
    <x v="3"/>
    <s v="Satisfied"/>
    <s v="No"/>
    <s v="Yes"/>
    <s v="Resolved"/>
    <n v="1"/>
    <n v="0"/>
    <n v="1"/>
    <n v="0"/>
    <n v="0"/>
    <n v="0"/>
    <n v="0"/>
  </r>
  <r>
    <s v="TKT-00599"/>
    <n v="3.38"/>
    <x v="27"/>
    <d v="2026-08-23T01:56:43"/>
    <x v="0"/>
    <x v="0"/>
    <s v="Phone"/>
    <x v="3"/>
    <x v="1"/>
    <x v="1"/>
    <x v="0"/>
    <x v="6"/>
    <n v="16"/>
    <n v="4"/>
    <n v="1"/>
    <n v="10"/>
    <s v="No"/>
    <n v="15"/>
    <n v="4"/>
    <s v="No"/>
    <x v="0"/>
    <n v="2026"/>
    <n v="8"/>
    <s v="agosto"/>
    <x v="3"/>
    <s v="Satisfied"/>
    <s v="Yes"/>
    <s v="Yes"/>
    <s v="Resolved"/>
    <n v="1"/>
    <n v="0"/>
    <n v="1"/>
    <n v="1"/>
    <n v="0"/>
    <n v="0"/>
    <n v="1"/>
  </r>
  <r>
    <s v="TKT-01179"/>
    <n v="23.37"/>
    <x v="28"/>
    <d v="2026-05-07T00:10:09"/>
    <x v="0"/>
    <x v="3"/>
    <s v="Email"/>
    <x v="0"/>
    <x v="1"/>
    <x v="0"/>
    <x v="4"/>
    <x v="1"/>
    <n v="182"/>
    <n v="3"/>
    <n v="0"/>
    <n v="6"/>
    <s v="No"/>
    <n v="120"/>
    <n v="24"/>
    <s v="No"/>
    <x v="0"/>
    <n v="2026"/>
    <n v="5"/>
    <s v="maio"/>
    <x v="2"/>
    <s v="Neutral"/>
    <s v="No"/>
    <s v="Yes"/>
    <s v="Resolved"/>
    <n v="1"/>
    <n v="0"/>
    <n v="1"/>
    <n v="0"/>
    <n v="0"/>
    <n v="0"/>
    <n v="1"/>
  </r>
  <r>
    <s v="TKT-00044"/>
    <n v="62.68"/>
    <x v="29"/>
    <d v="2026-03-15T07:56:56"/>
    <x v="0"/>
    <x v="1"/>
    <s v="Email"/>
    <x v="2"/>
    <x v="0"/>
    <x v="1"/>
    <x v="1"/>
    <x v="9"/>
    <n v="96"/>
    <n v="4"/>
    <n v="0"/>
    <n v="6"/>
    <s v="No"/>
    <n v="240"/>
    <n v="48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1028"/>
    <n v="4.3499999999999996"/>
    <x v="30"/>
    <d v="2026-04-25T12:53:54"/>
    <x v="0"/>
    <x v="0"/>
    <s v="Email"/>
    <x v="0"/>
    <x v="1"/>
    <x v="2"/>
    <x v="3"/>
    <x v="6"/>
    <n v="25"/>
    <n v="5"/>
    <n v="0"/>
    <n v="3"/>
    <s v="No"/>
    <n v="15"/>
    <n v="4"/>
    <s v="No"/>
    <x v="1"/>
    <n v="2026"/>
    <n v="4"/>
    <s v="abril"/>
    <x v="0"/>
    <s v="Satisfied"/>
    <s v="No"/>
    <s v="Yes"/>
    <s v="Resolved"/>
    <n v="1"/>
    <n v="0"/>
    <n v="1"/>
    <n v="0"/>
    <n v="0"/>
    <n v="0"/>
    <n v="0"/>
  </r>
  <r>
    <s v="TKT-00416"/>
    <n v="33.04"/>
    <x v="31"/>
    <d v="2026-02-05T16:54:33"/>
    <x v="0"/>
    <x v="1"/>
    <s v="Chat"/>
    <x v="2"/>
    <x v="1"/>
    <x v="3"/>
    <x v="3"/>
    <x v="10"/>
    <n v="415"/>
    <n v="3"/>
    <n v="0"/>
    <n v="7"/>
    <s v="Yes"/>
    <n v="240"/>
    <n v="48"/>
    <s v="No"/>
    <x v="0"/>
    <n v="2026"/>
    <n v="2"/>
    <s v="fevereiro"/>
    <x v="4"/>
    <s v="Neutral"/>
    <s v="No"/>
    <s v="Yes"/>
    <s v="Resolved"/>
    <n v="1"/>
    <n v="0"/>
    <n v="1"/>
    <n v="0"/>
    <n v="1"/>
    <n v="0"/>
    <n v="1"/>
  </r>
  <r>
    <s v="TKT-00169"/>
    <n v="55.89"/>
    <x v="32"/>
    <d v="2026-05-27T16:37:39"/>
    <x v="0"/>
    <x v="1"/>
    <s v="Chat"/>
    <x v="2"/>
    <x v="0"/>
    <x v="3"/>
    <x v="1"/>
    <x v="6"/>
    <n v="262"/>
    <n v="3"/>
    <n v="0"/>
    <n v="6"/>
    <s v="No"/>
    <n v="240"/>
    <n v="48"/>
    <s v="No"/>
    <x v="1"/>
    <n v="2026"/>
    <n v="5"/>
    <s v="maio"/>
    <x v="2"/>
    <s v="Neutral"/>
    <s v="No"/>
    <s v="Yes"/>
    <s v="Resolved"/>
    <n v="1"/>
    <n v="0"/>
    <n v="1"/>
    <n v="0"/>
    <n v="0"/>
    <n v="0"/>
    <n v="0"/>
  </r>
  <r>
    <s v="TKT-00523"/>
    <n v="35.1"/>
    <x v="33"/>
    <d v="2026-02-07T15:29:15"/>
    <x v="0"/>
    <x v="3"/>
    <s v="Email"/>
    <x v="4"/>
    <x v="0"/>
    <x v="1"/>
    <x v="4"/>
    <x v="8"/>
    <n v="61"/>
    <n v="3"/>
    <n v="1"/>
    <n v="5"/>
    <s v="No"/>
    <n v="120"/>
    <n v="24"/>
    <s v="Yes"/>
    <x v="1"/>
    <n v="2026"/>
    <n v="2"/>
    <s v="fevereiro"/>
    <x v="4"/>
    <s v="Neutral"/>
    <s v="Yes"/>
    <s v="Yes"/>
    <s v="Resolved"/>
    <n v="1"/>
    <n v="0"/>
    <n v="1"/>
    <n v="1"/>
    <n v="0"/>
    <n v="1"/>
    <n v="0"/>
  </r>
  <r>
    <s v="TKT-00654"/>
    <n v="22.17"/>
    <x v="34"/>
    <d v="2026-03-30T20:49:16"/>
    <x v="0"/>
    <x v="4"/>
    <s v="Chat"/>
    <x v="0"/>
    <x v="2"/>
    <x v="3"/>
    <x v="2"/>
    <x v="8"/>
    <n v="256"/>
    <n v="4"/>
    <n v="0"/>
    <n v="3"/>
    <s v="No"/>
    <m/>
    <m/>
    <m/>
    <x v="3"/>
    <n v="2026"/>
    <n v="3"/>
    <s v="março"/>
    <x v="7"/>
    <s v="Satisfied"/>
    <s v="No"/>
    <s v="Yes"/>
    <s v="Resolved"/>
    <n v="1"/>
    <n v="0"/>
    <n v="1"/>
    <n v="0"/>
    <n v="0"/>
    <m/>
    <m/>
  </r>
  <r>
    <s v="TKT-00785"/>
    <n v="29.1"/>
    <x v="35"/>
    <d v="2026-06-02T13:05:50"/>
    <x v="0"/>
    <x v="1"/>
    <s v="Email"/>
    <x v="1"/>
    <x v="2"/>
    <x v="1"/>
    <x v="2"/>
    <x v="10"/>
    <n v="387"/>
    <n v="3"/>
    <n v="0"/>
    <n v="3"/>
    <s v="No"/>
    <n v="240"/>
    <n v="48"/>
    <s v="No"/>
    <x v="0"/>
    <n v="2026"/>
    <n v="6"/>
    <s v="junho"/>
    <x v="5"/>
    <s v="Neutral"/>
    <s v="No"/>
    <s v="Yes"/>
    <s v="Resolved"/>
    <n v="1"/>
    <n v="0"/>
    <n v="1"/>
    <n v="0"/>
    <n v="0"/>
    <n v="0"/>
    <n v="1"/>
  </r>
  <r>
    <s v="TKT-00149"/>
    <n v="44.74"/>
    <x v="36"/>
    <d v="2026-04-03T06:49:40"/>
    <x v="0"/>
    <x v="1"/>
    <s v="Phone"/>
    <x v="1"/>
    <x v="2"/>
    <x v="1"/>
    <x v="2"/>
    <x v="9"/>
    <n v="98"/>
    <n v="3"/>
    <n v="0"/>
    <n v="2"/>
    <s v="No"/>
    <n v="240"/>
    <n v="48"/>
    <s v="Yes"/>
    <x v="0"/>
    <n v="2026"/>
    <n v="4"/>
    <s v="abril"/>
    <x v="0"/>
    <s v="Neutral"/>
    <s v="No"/>
    <s v="Yes"/>
    <s v="Resolved"/>
    <n v="1"/>
    <n v="0"/>
    <n v="1"/>
    <n v="0"/>
    <n v="0"/>
    <n v="1"/>
    <n v="1"/>
  </r>
  <r>
    <s v="TKT-01099"/>
    <n v="21.35"/>
    <x v="37"/>
    <d v="2026-02-08T07:20:59"/>
    <x v="0"/>
    <x v="1"/>
    <s v="Chat"/>
    <x v="0"/>
    <x v="1"/>
    <x v="0"/>
    <x v="1"/>
    <x v="8"/>
    <n v="157"/>
    <n v="4"/>
    <n v="0"/>
    <n v="4"/>
    <s v="No"/>
    <n v="240"/>
    <n v="48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862"/>
    <n v="38.44"/>
    <x v="38"/>
    <d v="2026-07-26T01:03:28"/>
    <x v="0"/>
    <x v="1"/>
    <s v="Web Form"/>
    <x v="4"/>
    <x v="1"/>
    <x v="1"/>
    <x v="3"/>
    <x v="9"/>
    <n v="166"/>
    <n v="2"/>
    <n v="3"/>
    <n v="10"/>
    <s v="No"/>
    <n v="240"/>
    <n v="48"/>
    <s v="Yes"/>
    <x v="0"/>
    <n v="2026"/>
    <n v="7"/>
    <s v="julho"/>
    <x v="6"/>
    <s v="Dissatisfied"/>
    <s v="Yes"/>
    <s v="Yes"/>
    <s v="Resolved"/>
    <n v="1"/>
    <n v="0"/>
    <n v="1"/>
    <n v="1"/>
    <n v="0"/>
    <n v="1"/>
    <n v="1"/>
  </r>
  <r>
    <s v="TKT-01136"/>
    <n v="92.89"/>
    <x v="39"/>
    <d v="2026-01-07T22:31:15"/>
    <x v="0"/>
    <x v="1"/>
    <s v="Chat"/>
    <x v="2"/>
    <x v="2"/>
    <x v="1"/>
    <x v="3"/>
    <x v="6"/>
    <n v="224"/>
    <n v="3"/>
    <n v="0"/>
    <n v="9"/>
    <s v="Yes"/>
    <n v="240"/>
    <n v="48"/>
    <s v="Yes"/>
    <x v="1"/>
    <n v="2026"/>
    <n v="1"/>
    <s v="janeiro"/>
    <x v="1"/>
    <s v="Neutral"/>
    <s v="No"/>
    <s v="Yes"/>
    <s v="Resolved"/>
    <n v="1"/>
    <n v="0"/>
    <n v="1"/>
    <n v="0"/>
    <n v="1"/>
    <n v="1"/>
    <n v="0"/>
  </r>
  <r>
    <s v="TKT-00890"/>
    <n v="37.380000000000003"/>
    <x v="40"/>
    <d v="2026-03-05T03:50:49"/>
    <x v="0"/>
    <x v="1"/>
    <s v="Chat"/>
    <x v="2"/>
    <x v="1"/>
    <x v="2"/>
    <x v="1"/>
    <x v="8"/>
    <n v="198"/>
    <n v="3"/>
    <n v="0"/>
    <n v="6"/>
    <s v="No"/>
    <n v="240"/>
    <n v="48"/>
    <s v="Yes"/>
    <x v="0"/>
    <n v="2026"/>
    <n v="3"/>
    <s v="março"/>
    <x v="7"/>
    <s v="Neutral"/>
    <s v="No"/>
    <s v="Yes"/>
    <s v="Resolved"/>
    <n v="1"/>
    <n v="0"/>
    <n v="1"/>
    <n v="0"/>
    <n v="0"/>
    <n v="1"/>
    <n v="1"/>
  </r>
  <r>
    <s v="TKT-00748"/>
    <n v="20.61"/>
    <x v="41"/>
    <d v="2026-04-26T20:01:24"/>
    <x v="0"/>
    <x v="3"/>
    <s v="Chat"/>
    <x v="0"/>
    <x v="1"/>
    <x v="0"/>
    <x v="2"/>
    <x v="4"/>
    <n v="107"/>
    <n v="4"/>
    <n v="0"/>
    <n v="2"/>
    <s v="No"/>
    <n v="120"/>
    <n v="24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610"/>
    <n v="43.54"/>
    <x v="42"/>
    <d v="2026-07-06T17:54:29"/>
    <x v="0"/>
    <x v="3"/>
    <s v="Phone"/>
    <x v="0"/>
    <x v="1"/>
    <x v="1"/>
    <x v="1"/>
    <x v="7"/>
    <n v="76"/>
    <n v="2"/>
    <n v="2"/>
    <n v="23"/>
    <s v="Yes"/>
    <n v="120"/>
    <n v="24"/>
    <s v="Yes"/>
    <x v="1"/>
    <n v="2026"/>
    <n v="7"/>
    <s v="julho"/>
    <x v="6"/>
    <s v="Dissatisfied"/>
    <s v="Yes"/>
    <s v="Yes"/>
    <s v="Resolved"/>
    <n v="1"/>
    <n v="0"/>
    <n v="1"/>
    <n v="1"/>
    <n v="1"/>
    <n v="1"/>
    <n v="0"/>
  </r>
  <r>
    <s v="TKT-00381"/>
    <n v="14.79"/>
    <x v="43"/>
    <d v="2026-08-06T12:04:26"/>
    <x v="0"/>
    <x v="2"/>
    <s v="Web Form"/>
    <x v="3"/>
    <x v="0"/>
    <x v="3"/>
    <x v="3"/>
    <x v="1"/>
    <n v="36"/>
    <n v="4"/>
    <n v="0"/>
    <n v="7"/>
    <s v="Yes"/>
    <n v="30"/>
    <n v="8"/>
    <s v="No"/>
    <x v="1"/>
    <n v="2026"/>
    <n v="8"/>
    <s v="agosto"/>
    <x v="3"/>
    <s v="Satisfied"/>
    <s v="No"/>
    <s v="Yes"/>
    <s v="Resolved"/>
    <n v="1"/>
    <n v="0"/>
    <n v="1"/>
    <n v="0"/>
    <n v="1"/>
    <n v="0"/>
    <n v="0"/>
  </r>
  <r>
    <s v="TKT-01168"/>
    <n v="7.22"/>
    <x v="44"/>
    <d v="2026-06-06T01:48:23"/>
    <x v="0"/>
    <x v="3"/>
    <s v="Chat"/>
    <x v="3"/>
    <x v="1"/>
    <x v="0"/>
    <x v="1"/>
    <x v="5"/>
    <n v="117"/>
    <n v="4"/>
    <n v="0"/>
    <n v="5"/>
    <s v="No"/>
    <n v="120"/>
    <n v="24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328"/>
    <n v="4.0999999999999996"/>
    <x v="45"/>
    <d v="2026-05-28T03:30:18"/>
    <x v="0"/>
    <x v="0"/>
    <s v="Chat"/>
    <x v="0"/>
    <x v="1"/>
    <x v="2"/>
    <x v="0"/>
    <x v="5"/>
    <n v="18"/>
    <n v="4"/>
    <n v="0"/>
    <n v="6"/>
    <s v="No"/>
    <n v="15"/>
    <n v="4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049"/>
    <n v="24.21"/>
    <x v="46"/>
    <d v="2026-05-31T12:55:26"/>
    <x v="0"/>
    <x v="1"/>
    <s v="Web Form"/>
    <x v="1"/>
    <x v="1"/>
    <x v="1"/>
    <x v="4"/>
    <x v="9"/>
    <n v="669"/>
    <n v="3"/>
    <n v="0"/>
    <n v="7"/>
    <s v="No"/>
    <n v="240"/>
    <n v="48"/>
    <s v="No"/>
    <x v="0"/>
    <n v="2026"/>
    <n v="5"/>
    <s v="maio"/>
    <x v="2"/>
    <s v="Neutral"/>
    <s v="No"/>
    <s v="Yes"/>
    <s v="Resolved"/>
    <n v="1"/>
    <n v="0"/>
    <n v="1"/>
    <n v="0"/>
    <n v="0"/>
    <n v="0"/>
    <n v="1"/>
  </r>
  <r>
    <s v="TKT-00934"/>
    <n v="42.37"/>
    <x v="47"/>
    <d v="2026-06-03T01:11:17"/>
    <x v="0"/>
    <x v="1"/>
    <s v="Phone"/>
    <x v="2"/>
    <x v="1"/>
    <x v="1"/>
    <x v="3"/>
    <x v="0"/>
    <n v="170"/>
    <n v="4"/>
    <n v="0"/>
    <n v="3"/>
    <s v="No"/>
    <n v="240"/>
    <n v="48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516"/>
    <n v="32.340000000000003"/>
    <x v="48"/>
    <d v="2026-08-09T04:36:31"/>
    <x v="0"/>
    <x v="3"/>
    <s v="Chat"/>
    <x v="3"/>
    <x v="0"/>
    <x v="0"/>
    <x v="4"/>
    <x v="6"/>
    <n v="140"/>
    <n v="3"/>
    <n v="2"/>
    <n v="12"/>
    <s v="No"/>
    <n v="120"/>
    <n v="24"/>
    <s v="No"/>
    <x v="1"/>
    <n v="2026"/>
    <n v="8"/>
    <s v="agosto"/>
    <x v="3"/>
    <s v="Neutral"/>
    <s v="Yes"/>
    <s v="Yes"/>
    <s v="Resolved"/>
    <n v="1"/>
    <n v="0"/>
    <n v="1"/>
    <n v="1"/>
    <n v="0"/>
    <n v="0"/>
    <n v="0"/>
  </r>
  <r>
    <s v="TKT-01064"/>
    <n v="21.69"/>
    <x v="49"/>
    <d v="2026-07-03T11:13:14"/>
    <x v="0"/>
    <x v="3"/>
    <s v="Phone"/>
    <x v="0"/>
    <x v="2"/>
    <x v="2"/>
    <x v="1"/>
    <x v="0"/>
    <n v="97"/>
    <n v="4"/>
    <n v="0"/>
    <n v="4"/>
    <s v="No"/>
    <n v="120"/>
    <n v="24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778"/>
    <n v="19.760000000000002"/>
    <x v="50"/>
    <d v="2026-01-29T03:53:41"/>
    <x v="0"/>
    <x v="1"/>
    <s v="Email"/>
    <x v="1"/>
    <x v="0"/>
    <x v="1"/>
    <x v="2"/>
    <x v="0"/>
    <n v="337"/>
    <n v="3"/>
    <n v="0"/>
    <n v="6"/>
    <s v="No"/>
    <n v="240"/>
    <n v="48"/>
    <s v="No"/>
    <x v="0"/>
    <n v="2026"/>
    <n v="1"/>
    <s v="janeiro"/>
    <x v="1"/>
    <s v="Neutral"/>
    <s v="No"/>
    <s v="Yes"/>
    <s v="Resolved"/>
    <n v="1"/>
    <n v="0"/>
    <n v="1"/>
    <n v="0"/>
    <n v="0"/>
    <n v="0"/>
    <n v="1"/>
  </r>
  <r>
    <s v="TKT-00567"/>
    <n v="30.86"/>
    <x v="51"/>
    <d v="2026-06-06T17:36:37"/>
    <x v="0"/>
    <x v="3"/>
    <s v="Email"/>
    <x v="2"/>
    <x v="1"/>
    <x v="0"/>
    <x v="1"/>
    <x v="9"/>
    <n v="62"/>
    <n v="4"/>
    <n v="0"/>
    <n v="5"/>
    <s v="No"/>
    <n v="120"/>
    <n v="24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0239"/>
    <n v="41.94"/>
    <x v="52"/>
    <d v="2026-02-02T01:08:16"/>
    <x v="0"/>
    <x v="3"/>
    <s v="Web Form"/>
    <x v="4"/>
    <x v="1"/>
    <x v="3"/>
    <x v="1"/>
    <x v="5"/>
    <n v="180"/>
    <n v="4"/>
    <n v="0"/>
    <n v="3"/>
    <s v="No"/>
    <n v="120"/>
    <n v="24"/>
    <s v="No"/>
    <x v="1"/>
    <n v="2026"/>
    <n v="1"/>
    <s v="janeiro"/>
    <x v="1"/>
    <s v="Satisfied"/>
    <s v="No"/>
    <s v="Yes"/>
    <s v="Resolved"/>
    <n v="1"/>
    <n v="0"/>
    <n v="1"/>
    <n v="0"/>
    <n v="0"/>
    <n v="0"/>
    <n v="0"/>
  </r>
  <r>
    <s v="TKT-01002"/>
    <n v="19.260000000000002"/>
    <x v="53"/>
    <d v="2026-05-22T06:34:49"/>
    <x v="0"/>
    <x v="2"/>
    <s v="Email"/>
    <x v="0"/>
    <x v="1"/>
    <x v="3"/>
    <x v="1"/>
    <x v="8"/>
    <n v="50"/>
    <n v="4"/>
    <n v="1"/>
    <n v="7"/>
    <s v="No"/>
    <n v="30"/>
    <n v="8"/>
    <s v="No"/>
    <x v="1"/>
    <n v="2026"/>
    <n v="5"/>
    <s v="maio"/>
    <x v="2"/>
    <s v="Satisfied"/>
    <s v="Yes"/>
    <s v="Yes"/>
    <s v="Resolved"/>
    <n v="1"/>
    <n v="0"/>
    <n v="1"/>
    <n v="1"/>
    <n v="0"/>
    <n v="0"/>
    <n v="0"/>
  </r>
  <r>
    <s v="TKT-00263"/>
    <n v="52.94"/>
    <x v="54"/>
    <d v="2026-07-30T15:43:08"/>
    <x v="0"/>
    <x v="1"/>
    <s v="Phone"/>
    <x v="4"/>
    <x v="1"/>
    <x v="3"/>
    <x v="1"/>
    <x v="10"/>
    <n v="332"/>
    <n v="3"/>
    <n v="1"/>
    <n v="7"/>
    <s v="No"/>
    <n v="240"/>
    <n v="48"/>
    <s v="No"/>
    <x v="1"/>
    <n v="2026"/>
    <n v="7"/>
    <s v="julho"/>
    <x v="6"/>
    <s v="Neutral"/>
    <s v="Yes"/>
    <s v="Yes"/>
    <s v="Resolved"/>
    <n v="1"/>
    <n v="0"/>
    <n v="1"/>
    <n v="1"/>
    <n v="0"/>
    <n v="0"/>
    <n v="0"/>
  </r>
  <r>
    <s v="TKT-00355"/>
    <n v="41.93"/>
    <x v="55"/>
    <d v="2026-05-22T12:43:56"/>
    <x v="0"/>
    <x v="3"/>
    <s v="Chat"/>
    <x v="0"/>
    <x v="1"/>
    <x v="2"/>
    <x v="4"/>
    <x v="9"/>
    <n v="31"/>
    <n v="3"/>
    <n v="1"/>
    <n v="15"/>
    <s v="Yes"/>
    <n v="120"/>
    <n v="24"/>
    <s v="Yes"/>
    <x v="1"/>
    <n v="2026"/>
    <n v="5"/>
    <s v="maio"/>
    <x v="2"/>
    <s v="Neutral"/>
    <s v="Yes"/>
    <s v="Yes"/>
    <s v="Resolved"/>
    <n v="1"/>
    <n v="0"/>
    <n v="1"/>
    <n v="1"/>
    <n v="1"/>
    <n v="1"/>
    <n v="0"/>
  </r>
  <r>
    <s v="TKT-00421"/>
    <n v="20.100000000000001"/>
    <x v="56"/>
    <d v="2026-06-26T13:47:43"/>
    <x v="0"/>
    <x v="3"/>
    <s v="Web Form"/>
    <x v="1"/>
    <x v="2"/>
    <x v="0"/>
    <x v="2"/>
    <x v="2"/>
    <n v="76"/>
    <n v="4"/>
    <n v="1"/>
    <n v="9"/>
    <s v="No"/>
    <n v="120"/>
    <n v="24"/>
    <s v="Yes"/>
    <x v="0"/>
    <n v="2026"/>
    <n v="6"/>
    <s v="junho"/>
    <x v="5"/>
    <s v="Satisfied"/>
    <s v="Yes"/>
    <s v="Yes"/>
    <s v="Resolved"/>
    <n v="1"/>
    <n v="0"/>
    <n v="1"/>
    <n v="1"/>
    <n v="0"/>
    <n v="1"/>
    <n v="1"/>
  </r>
  <r>
    <s v="TKT-00197"/>
    <n v="5.36"/>
    <x v="57"/>
    <d v="2026-07-27T00:48:40"/>
    <x v="0"/>
    <x v="0"/>
    <s v="Chat"/>
    <x v="0"/>
    <x v="0"/>
    <x v="3"/>
    <x v="1"/>
    <x v="0"/>
    <n v="8"/>
    <n v="5"/>
    <n v="0"/>
    <n v="2"/>
    <s v="No"/>
    <n v="15"/>
    <n v="4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0403"/>
    <n v="11.45"/>
    <x v="58"/>
    <d v="2026-07-05T14:31:13"/>
    <x v="0"/>
    <x v="3"/>
    <s v="Phone"/>
    <x v="0"/>
    <x v="1"/>
    <x v="2"/>
    <x v="0"/>
    <x v="2"/>
    <n v="144"/>
    <n v="4"/>
    <n v="0"/>
    <n v="4"/>
    <s v="No"/>
    <n v="120"/>
    <n v="24"/>
    <s v="No"/>
    <x v="0"/>
    <n v="2026"/>
    <n v="7"/>
    <s v="julho"/>
    <x v="6"/>
    <s v="Satisfied"/>
    <s v="No"/>
    <s v="Yes"/>
    <s v="Resolved"/>
    <n v="1"/>
    <n v="0"/>
    <n v="1"/>
    <n v="0"/>
    <n v="0"/>
    <n v="0"/>
    <n v="1"/>
  </r>
  <r>
    <s v="TKT-00534"/>
    <n v="46.49"/>
    <x v="59"/>
    <d v="2026-03-18T12:17:34"/>
    <x v="0"/>
    <x v="3"/>
    <s v="Email"/>
    <x v="0"/>
    <x v="2"/>
    <x v="1"/>
    <x v="1"/>
    <x v="6"/>
    <n v="71"/>
    <n v="4"/>
    <n v="0"/>
    <n v="3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342"/>
    <n v="17.96"/>
    <x v="60"/>
    <d v="2026-04-13T17:06:36"/>
    <x v="0"/>
    <x v="3"/>
    <s v="Chat"/>
    <x v="2"/>
    <x v="2"/>
    <x v="2"/>
    <x v="2"/>
    <x v="1"/>
    <n v="142"/>
    <n v="4"/>
    <n v="0"/>
    <n v="7"/>
    <s v="No"/>
    <n v="120"/>
    <n v="24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0041"/>
    <n v="47.93"/>
    <x v="61"/>
    <d v="2026-01-25T10:59:54"/>
    <x v="0"/>
    <x v="1"/>
    <s v="Web Form"/>
    <x v="3"/>
    <x v="1"/>
    <x v="0"/>
    <x v="5"/>
    <x v="2"/>
    <n v="330"/>
    <n v="3"/>
    <n v="0"/>
    <n v="10"/>
    <s v="Yes"/>
    <n v="240"/>
    <n v="48"/>
    <s v="No"/>
    <x v="0"/>
    <n v="2026"/>
    <n v="1"/>
    <s v="janeiro"/>
    <x v="1"/>
    <s v="Neutral"/>
    <s v="No"/>
    <s v="Yes"/>
    <s v="Resolved"/>
    <n v="1"/>
    <n v="0"/>
    <n v="1"/>
    <n v="0"/>
    <n v="1"/>
    <n v="0"/>
    <n v="1"/>
  </r>
  <r>
    <s v="TKT-00130"/>
    <n v="37.76"/>
    <x v="62"/>
    <d v="2026-03-30T18:52:19"/>
    <x v="0"/>
    <x v="3"/>
    <s v="Email"/>
    <x v="0"/>
    <x v="2"/>
    <x v="1"/>
    <x v="5"/>
    <x v="6"/>
    <n v="217"/>
    <n v="4"/>
    <n v="0"/>
    <n v="6"/>
    <s v="No"/>
    <n v="120"/>
    <n v="24"/>
    <s v="No"/>
    <x v="1"/>
    <n v="2026"/>
    <n v="3"/>
    <s v="março"/>
    <x v="7"/>
    <s v="Satisfied"/>
    <s v="No"/>
    <s v="Yes"/>
    <s v="Resolved"/>
    <n v="1"/>
    <n v="0"/>
    <n v="1"/>
    <n v="0"/>
    <n v="0"/>
    <n v="0"/>
    <n v="0"/>
  </r>
  <r>
    <s v="TKT-00215"/>
    <n v="12.33"/>
    <x v="63"/>
    <d v="2026-04-23T19:14:35"/>
    <x v="0"/>
    <x v="3"/>
    <s v="Web Form"/>
    <x v="0"/>
    <x v="2"/>
    <x v="1"/>
    <x v="0"/>
    <x v="1"/>
    <n v="115"/>
    <n v="4"/>
    <n v="0"/>
    <n v="4"/>
    <s v="No"/>
    <n v="120"/>
    <n v="24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513"/>
    <n v="5.61"/>
    <x v="64"/>
    <d v="2026-08-05T15:47:34"/>
    <x v="0"/>
    <x v="0"/>
    <s v="Web Form"/>
    <x v="0"/>
    <x v="1"/>
    <x v="2"/>
    <x v="1"/>
    <x v="1"/>
    <n v="15"/>
    <n v="4"/>
    <n v="0"/>
    <n v="3"/>
    <s v="No"/>
    <n v="15"/>
    <n v="4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766"/>
    <n v="11.56"/>
    <x v="65"/>
    <d v="2026-02-22T16:59:50"/>
    <x v="0"/>
    <x v="3"/>
    <s v="Email"/>
    <x v="1"/>
    <x v="0"/>
    <x v="1"/>
    <x v="2"/>
    <x v="10"/>
    <n v="158"/>
    <n v="4"/>
    <n v="0"/>
    <n v="3"/>
    <s v="No"/>
    <n v="120"/>
    <n v="24"/>
    <s v="No"/>
    <x v="0"/>
    <n v="2026"/>
    <n v="2"/>
    <s v="fevereiro"/>
    <x v="4"/>
    <s v="Satisfied"/>
    <s v="No"/>
    <s v="Yes"/>
    <s v="Resolved"/>
    <n v="1"/>
    <n v="0"/>
    <n v="1"/>
    <n v="0"/>
    <n v="0"/>
    <n v="0"/>
    <n v="1"/>
  </r>
  <r>
    <s v="TKT-01112"/>
    <n v="53.43"/>
    <x v="66"/>
    <d v="2026-07-11T06:22:33"/>
    <x v="0"/>
    <x v="3"/>
    <s v="Email"/>
    <x v="0"/>
    <x v="1"/>
    <x v="2"/>
    <x v="4"/>
    <x v="5"/>
    <n v="106"/>
    <n v="3"/>
    <n v="1"/>
    <n v="8"/>
    <s v="No"/>
    <n v="120"/>
    <n v="24"/>
    <s v="Yes"/>
    <x v="1"/>
    <n v="2026"/>
    <n v="7"/>
    <s v="julho"/>
    <x v="6"/>
    <s v="Neutral"/>
    <s v="Yes"/>
    <s v="Yes"/>
    <s v="Resolved"/>
    <n v="1"/>
    <n v="0"/>
    <n v="1"/>
    <n v="1"/>
    <n v="0"/>
    <n v="1"/>
    <n v="0"/>
  </r>
  <r>
    <s v="TKT-00465"/>
    <n v="36.270000000000003"/>
    <x v="67"/>
    <d v="2026-05-12T06:37:13"/>
    <x v="0"/>
    <x v="3"/>
    <s v="Chat"/>
    <x v="1"/>
    <x v="0"/>
    <x v="2"/>
    <x v="5"/>
    <x v="8"/>
    <n v="86"/>
    <n v="4"/>
    <n v="0"/>
    <n v="7"/>
    <s v="No"/>
    <n v="120"/>
    <n v="24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533"/>
    <n v="12.84"/>
    <x v="68"/>
    <d v="2026-05-11T00:11:18"/>
    <x v="0"/>
    <x v="2"/>
    <s v="Email"/>
    <x v="0"/>
    <x v="1"/>
    <x v="1"/>
    <x v="4"/>
    <x v="10"/>
    <n v="46"/>
    <n v="4"/>
    <n v="0"/>
    <n v="6"/>
    <s v="No"/>
    <n v="30"/>
    <n v="8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808"/>
    <n v="53.77"/>
    <x v="69"/>
    <d v="2026-04-27T09:04:22"/>
    <x v="0"/>
    <x v="1"/>
    <s v="Chat"/>
    <x v="4"/>
    <x v="0"/>
    <x v="1"/>
    <x v="1"/>
    <x v="7"/>
    <n v="415"/>
    <n v="3"/>
    <n v="0"/>
    <n v="4"/>
    <s v="No"/>
    <n v="240"/>
    <n v="48"/>
    <s v="No"/>
    <x v="1"/>
    <n v="2026"/>
    <n v="4"/>
    <s v="abril"/>
    <x v="0"/>
    <s v="Neutral"/>
    <s v="No"/>
    <s v="Yes"/>
    <s v="Resolved"/>
    <n v="1"/>
    <n v="0"/>
    <n v="1"/>
    <n v="0"/>
    <n v="0"/>
    <n v="0"/>
    <n v="0"/>
  </r>
  <r>
    <s v="TKT-00389"/>
    <n v="25.24"/>
    <x v="70"/>
    <d v="2026-06-28T19:30:28"/>
    <x v="0"/>
    <x v="2"/>
    <s v="Web Form"/>
    <x v="4"/>
    <x v="2"/>
    <x v="3"/>
    <x v="1"/>
    <x v="7"/>
    <n v="26"/>
    <n v="4"/>
    <n v="0"/>
    <n v="3"/>
    <s v="No"/>
    <n v="30"/>
    <n v="8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0268"/>
    <n v="13.3"/>
    <x v="71"/>
    <d v="2026-07-02T10:39:53"/>
    <x v="0"/>
    <x v="1"/>
    <s v="Web Form"/>
    <x v="2"/>
    <x v="1"/>
    <x v="1"/>
    <x v="0"/>
    <x v="1"/>
    <n v="446"/>
    <n v="3"/>
    <n v="1"/>
    <n v="7"/>
    <s v="No"/>
    <n v="240"/>
    <n v="48"/>
    <s v="No"/>
    <x v="0"/>
    <n v="2026"/>
    <n v="7"/>
    <s v="julho"/>
    <x v="6"/>
    <s v="Neutral"/>
    <s v="Yes"/>
    <s v="Yes"/>
    <s v="Resolved"/>
    <n v="1"/>
    <n v="0"/>
    <n v="1"/>
    <n v="1"/>
    <n v="0"/>
    <n v="0"/>
    <n v="1"/>
  </r>
  <r>
    <s v="TKT-00016"/>
    <n v="15.99"/>
    <x v="72"/>
    <d v="2026-07-09T04:49:35"/>
    <x v="0"/>
    <x v="2"/>
    <s v="Phone"/>
    <x v="2"/>
    <x v="2"/>
    <x v="0"/>
    <x v="2"/>
    <x v="0"/>
    <n v="85"/>
    <n v="4"/>
    <n v="0"/>
    <n v="3"/>
    <s v="No"/>
    <n v="30"/>
    <n v="8"/>
    <s v="No"/>
    <x v="1"/>
    <n v="2026"/>
    <n v="7"/>
    <s v="julho"/>
    <x v="6"/>
    <s v="Satisfied"/>
    <s v="No"/>
    <s v="Yes"/>
    <s v="Resolved"/>
    <n v="1"/>
    <n v="0"/>
    <n v="1"/>
    <n v="0"/>
    <n v="0"/>
    <n v="0"/>
    <n v="0"/>
  </r>
  <r>
    <s v="TKT-00552"/>
    <n v="36.549999999999997"/>
    <x v="73"/>
    <d v="2026-02-20T19:30:00"/>
    <x v="0"/>
    <x v="3"/>
    <s v="Chat"/>
    <x v="0"/>
    <x v="1"/>
    <x v="0"/>
    <x v="4"/>
    <x v="8"/>
    <n v="127"/>
    <n v="4"/>
    <n v="0"/>
    <n v="5"/>
    <s v="No"/>
    <n v="120"/>
    <n v="24"/>
    <s v="No"/>
    <x v="1"/>
    <n v="2026"/>
    <n v="2"/>
    <s v="fevereiro"/>
    <x v="4"/>
    <s v="Satisfied"/>
    <s v="No"/>
    <s v="Yes"/>
    <s v="Resolved"/>
    <n v="1"/>
    <n v="0"/>
    <n v="1"/>
    <n v="0"/>
    <n v="0"/>
    <n v="0"/>
    <n v="0"/>
  </r>
  <r>
    <s v="TKT-00352"/>
    <n v="19.14"/>
    <x v="74"/>
    <d v="2026-05-03T08:15:32"/>
    <x v="0"/>
    <x v="3"/>
    <s v="Phone"/>
    <x v="1"/>
    <x v="0"/>
    <x v="1"/>
    <x v="2"/>
    <x v="1"/>
    <n v="157"/>
    <n v="3"/>
    <n v="1"/>
    <n v="4"/>
    <s v="No"/>
    <n v="120"/>
    <n v="24"/>
    <s v="No"/>
    <x v="0"/>
    <n v="2026"/>
    <n v="5"/>
    <s v="maio"/>
    <x v="2"/>
    <s v="Neutral"/>
    <s v="Yes"/>
    <s v="Yes"/>
    <s v="Resolved"/>
    <n v="1"/>
    <n v="0"/>
    <n v="1"/>
    <n v="1"/>
    <n v="0"/>
    <n v="0"/>
    <n v="1"/>
  </r>
  <r>
    <s v="TKT-00020"/>
    <n v="27.48"/>
    <x v="75"/>
    <d v="2026-02-22T18:31:58"/>
    <x v="0"/>
    <x v="3"/>
    <s v="Email"/>
    <x v="2"/>
    <x v="1"/>
    <x v="3"/>
    <x v="3"/>
    <x v="2"/>
    <n v="30"/>
    <n v="4"/>
    <n v="0"/>
    <n v="4"/>
    <s v="No"/>
    <n v="120"/>
    <n v="24"/>
    <s v="Yes"/>
    <x v="1"/>
    <n v="2026"/>
    <n v="2"/>
    <s v="fevereiro"/>
    <x v="4"/>
    <s v="Satisfied"/>
    <s v="No"/>
    <s v="Yes"/>
    <s v="Resolved"/>
    <n v="1"/>
    <n v="0"/>
    <n v="1"/>
    <n v="0"/>
    <n v="0"/>
    <n v="1"/>
    <n v="0"/>
  </r>
  <r>
    <s v="TKT-00665"/>
    <n v="45"/>
    <x v="76"/>
    <d v="2026-02-05T18:54:52"/>
    <x v="0"/>
    <x v="1"/>
    <s v="Chat"/>
    <x v="4"/>
    <x v="2"/>
    <x v="2"/>
    <x v="4"/>
    <x v="3"/>
    <n v="150"/>
    <n v="3"/>
    <n v="0"/>
    <n v="2"/>
    <s v="No"/>
    <n v="240"/>
    <n v="48"/>
    <s v="Yes"/>
    <x v="0"/>
    <n v="2026"/>
    <n v="2"/>
    <s v="fevereiro"/>
    <x v="4"/>
    <s v="Neutral"/>
    <s v="No"/>
    <s v="Yes"/>
    <s v="Resolved"/>
    <n v="1"/>
    <n v="0"/>
    <n v="1"/>
    <n v="0"/>
    <n v="0"/>
    <n v="1"/>
    <n v="1"/>
  </r>
  <r>
    <s v="TKT-00522"/>
    <n v="7.25"/>
    <x v="77"/>
    <d v="2026-01-27T10:05:05"/>
    <x v="0"/>
    <x v="2"/>
    <s v="Chat"/>
    <x v="2"/>
    <x v="1"/>
    <x v="1"/>
    <x v="2"/>
    <x v="2"/>
    <n v="71"/>
    <n v="4"/>
    <n v="0"/>
    <n v="5"/>
    <s v="No"/>
    <n v="30"/>
    <n v="8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0886"/>
    <n v="13.22"/>
    <x v="78"/>
    <d v="2026-03-27T18:56:10"/>
    <x v="0"/>
    <x v="3"/>
    <s v="Email"/>
    <x v="4"/>
    <x v="0"/>
    <x v="3"/>
    <x v="2"/>
    <x v="3"/>
    <n v="60"/>
    <n v="4"/>
    <n v="0"/>
    <n v="8"/>
    <s v="Yes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1"/>
    <n v="1"/>
    <n v="1"/>
  </r>
  <r>
    <s v="TKT-00244"/>
    <n v="11.53"/>
    <x v="79"/>
    <d v="2026-06-19T13:32:31"/>
    <x v="0"/>
    <x v="3"/>
    <s v="Email"/>
    <x v="0"/>
    <x v="2"/>
    <x v="3"/>
    <x v="2"/>
    <x v="1"/>
    <n v="141"/>
    <n v="4"/>
    <n v="0"/>
    <n v="4"/>
    <s v="No"/>
    <n v="120"/>
    <n v="24"/>
    <s v="No"/>
    <x v="0"/>
    <n v="2026"/>
    <n v="6"/>
    <s v="junho"/>
    <x v="5"/>
    <s v="Satisfied"/>
    <s v="No"/>
    <s v="Yes"/>
    <s v="Resolved"/>
    <n v="1"/>
    <n v="0"/>
    <n v="1"/>
    <n v="0"/>
    <n v="0"/>
    <n v="0"/>
    <n v="1"/>
  </r>
  <r>
    <s v="TKT-00073"/>
    <n v="60.55"/>
    <x v="80"/>
    <d v="2026-03-30T07:04:14"/>
    <x v="0"/>
    <x v="3"/>
    <s v="Phone"/>
    <x v="0"/>
    <x v="0"/>
    <x v="3"/>
    <x v="1"/>
    <x v="2"/>
    <n v="65"/>
    <n v="4"/>
    <n v="0"/>
    <n v="11"/>
    <s v="Yes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1"/>
    <n v="1"/>
    <n v="0"/>
  </r>
  <r>
    <s v="TKT-00536"/>
    <n v="5.71"/>
    <x v="81"/>
    <d v="2026-03-20T12:56:28"/>
    <x v="0"/>
    <x v="0"/>
    <s v="Chat"/>
    <x v="1"/>
    <x v="1"/>
    <x v="0"/>
    <x v="1"/>
    <x v="6"/>
    <n v="10"/>
    <n v="5"/>
    <n v="0"/>
    <n v="11"/>
    <s v="Yes"/>
    <n v="15"/>
    <n v="4"/>
    <s v="Yes"/>
    <x v="1"/>
    <n v="2026"/>
    <n v="3"/>
    <s v="março"/>
    <x v="7"/>
    <s v="Satisfied"/>
    <s v="No"/>
    <s v="Yes"/>
    <s v="Resolved"/>
    <n v="1"/>
    <n v="0"/>
    <n v="1"/>
    <n v="0"/>
    <n v="1"/>
    <n v="1"/>
    <n v="0"/>
  </r>
  <r>
    <s v="TKT-00788"/>
    <m/>
    <x v="82"/>
    <m/>
    <x v="1"/>
    <x v="3"/>
    <s v="Phone"/>
    <x v="2"/>
    <x v="1"/>
    <x v="1"/>
    <x v="5"/>
    <x v="9"/>
    <n v="169"/>
    <m/>
    <n v="0"/>
    <n v="2"/>
    <s v="No"/>
    <n v="120"/>
    <n v="24"/>
    <s v="No"/>
    <x v="2"/>
    <n v="2026"/>
    <n v="4"/>
    <s v="abril"/>
    <x v="0"/>
    <s v="No Response"/>
    <s v="No"/>
    <s v="No"/>
    <s v="Open"/>
    <n v="1"/>
    <n v="1"/>
    <n v="0"/>
    <n v="0"/>
    <n v="0"/>
    <n v="0"/>
    <m/>
  </r>
  <r>
    <s v="TKT-00553"/>
    <n v="13.35"/>
    <x v="83"/>
    <d v="2026-03-19T18:07:59"/>
    <x v="0"/>
    <x v="2"/>
    <s v="Email"/>
    <x v="0"/>
    <x v="0"/>
    <x v="3"/>
    <x v="1"/>
    <x v="6"/>
    <n v="16"/>
    <n v="5"/>
    <n v="0"/>
    <n v="4"/>
    <s v="No"/>
    <n v="30"/>
    <n v="8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453"/>
    <n v="16.43"/>
    <x v="84"/>
    <d v="2026-08-15T11:01:53"/>
    <x v="0"/>
    <x v="2"/>
    <s v="Phone"/>
    <x v="0"/>
    <x v="2"/>
    <x v="0"/>
    <x v="4"/>
    <x v="2"/>
    <n v="23"/>
    <n v="5"/>
    <n v="0"/>
    <n v="5"/>
    <s v="No"/>
    <n v="30"/>
    <n v="8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368"/>
    <n v="48.1"/>
    <x v="85"/>
    <d v="2026-04-01T21:59:49"/>
    <x v="0"/>
    <x v="3"/>
    <s v="Email"/>
    <x v="0"/>
    <x v="1"/>
    <x v="3"/>
    <x v="1"/>
    <x v="6"/>
    <n v="112"/>
    <n v="4"/>
    <n v="0"/>
    <n v="6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1165"/>
    <n v="9.33"/>
    <x v="86"/>
    <d v="2026-02-16T01:56:59"/>
    <x v="0"/>
    <x v="2"/>
    <s v="Web Form"/>
    <x v="0"/>
    <x v="1"/>
    <x v="1"/>
    <x v="2"/>
    <x v="10"/>
    <n v="44"/>
    <n v="4"/>
    <n v="0"/>
    <n v="6"/>
    <s v="No"/>
    <n v="30"/>
    <n v="8"/>
    <s v="No"/>
    <x v="1"/>
    <n v="2026"/>
    <n v="2"/>
    <s v="fevereiro"/>
    <x v="4"/>
    <s v="Satisfied"/>
    <s v="No"/>
    <s v="Yes"/>
    <s v="Resolved"/>
    <n v="1"/>
    <n v="0"/>
    <n v="1"/>
    <n v="0"/>
    <n v="0"/>
    <n v="0"/>
    <n v="0"/>
  </r>
  <r>
    <s v="TKT-00691"/>
    <n v="6.4"/>
    <x v="87"/>
    <d v="2026-05-09T20:49:51"/>
    <x v="0"/>
    <x v="0"/>
    <s v="Email"/>
    <x v="0"/>
    <x v="1"/>
    <x v="1"/>
    <x v="4"/>
    <x v="2"/>
    <n v="25"/>
    <n v="4"/>
    <n v="1"/>
    <n v="7"/>
    <s v="No"/>
    <n v="15"/>
    <n v="4"/>
    <s v="No"/>
    <x v="1"/>
    <n v="2026"/>
    <n v="5"/>
    <s v="maio"/>
    <x v="2"/>
    <s v="Satisfied"/>
    <s v="Yes"/>
    <s v="Yes"/>
    <s v="Resolved"/>
    <n v="1"/>
    <n v="0"/>
    <n v="1"/>
    <n v="1"/>
    <n v="0"/>
    <n v="0"/>
    <n v="0"/>
  </r>
  <r>
    <s v="TKT-01176"/>
    <n v="8.58"/>
    <x v="88"/>
    <d v="2026-07-14T18:58:43"/>
    <x v="0"/>
    <x v="3"/>
    <s v="Email"/>
    <x v="2"/>
    <x v="0"/>
    <x v="0"/>
    <x v="2"/>
    <x v="2"/>
    <n v="71"/>
    <n v="5"/>
    <n v="0"/>
    <n v="5"/>
    <s v="No"/>
    <n v="120"/>
    <n v="24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948"/>
    <n v="40.200000000000003"/>
    <x v="89"/>
    <d v="2026-08-06T13:06:48"/>
    <x v="0"/>
    <x v="1"/>
    <s v="Email"/>
    <x v="1"/>
    <x v="1"/>
    <x v="2"/>
    <x v="3"/>
    <x v="10"/>
    <n v="251"/>
    <n v="3"/>
    <n v="0"/>
    <n v="4"/>
    <s v="No"/>
    <n v="240"/>
    <n v="48"/>
    <s v="No"/>
    <x v="0"/>
    <n v="2026"/>
    <n v="8"/>
    <s v="agosto"/>
    <x v="3"/>
    <s v="Neutral"/>
    <s v="No"/>
    <s v="Yes"/>
    <s v="Resolved"/>
    <n v="1"/>
    <n v="0"/>
    <n v="1"/>
    <n v="0"/>
    <n v="0"/>
    <n v="0"/>
    <n v="1"/>
  </r>
  <r>
    <s v="TKT-01000"/>
    <n v="54.74"/>
    <x v="90"/>
    <d v="2026-02-15T20:11:12"/>
    <x v="0"/>
    <x v="1"/>
    <s v="Email"/>
    <x v="2"/>
    <x v="2"/>
    <x v="0"/>
    <x v="1"/>
    <x v="7"/>
    <n v="287"/>
    <n v="3"/>
    <n v="0"/>
    <n v="3"/>
    <s v="No"/>
    <n v="240"/>
    <n v="48"/>
    <s v="No"/>
    <x v="1"/>
    <n v="2026"/>
    <n v="2"/>
    <s v="fevereiro"/>
    <x v="4"/>
    <s v="Neutral"/>
    <s v="No"/>
    <s v="Yes"/>
    <s v="Resolved"/>
    <n v="1"/>
    <n v="0"/>
    <n v="1"/>
    <n v="0"/>
    <n v="0"/>
    <n v="0"/>
    <n v="0"/>
  </r>
  <r>
    <s v="TKT-01025"/>
    <n v="51.66"/>
    <x v="91"/>
    <d v="2026-03-21T00:46:26"/>
    <x v="0"/>
    <x v="1"/>
    <s v="Web Form"/>
    <x v="1"/>
    <x v="1"/>
    <x v="3"/>
    <x v="5"/>
    <x v="7"/>
    <n v="114"/>
    <n v="4"/>
    <n v="0"/>
    <n v="2"/>
    <s v="No"/>
    <n v="240"/>
    <n v="48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991"/>
    <n v="93.61"/>
    <x v="92"/>
    <d v="2026-05-29T23:12:54"/>
    <x v="0"/>
    <x v="3"/>
    <s v="Phone"/>
    <x v="3"/>
    <x v="1"/>
    <x v="0"/>
    <x v="3"/>
    <x v="3"/>
    <n v="218"/>
    <n v="3"/>
    <n v="1"/>
    <n v="5"/>
    <s v="No"/>
    <n v="120"/>
    <n v="24"/>
    <s v="No"/>
    <x v="1"/>
    <n v="2026"/>
    <n v="5"/>
    <s v="maio"/>
    <x v="2"/>
    <s v="Neutral"/>
    <s v="Yes"/>
    <s v="Yes"/>
    <s v="Resolved"/>
    <n v="1"/>
    <n v="0"/>
    <n v="1"/>
    <n v="1"/>
    <n v="0"/>
    <n v="0"/>
    <n v="0"/>
  </r>
  <r>
    <s v="TKT-01164"/>
    <n v="24.01"/>
    <x v="93"/>
    <d v="2026-03-24T14:08:28"/>
    <x v="0"/>
    <x v="3"/>
    <s v="Web Form"/>
    <x v="2"/>
    <x v="2"/>
    <x v="1"/>
    <x v="2"/>
    <x v="3"/>
    <n v="116"/>
    <n v="4"/>
    <n v="0"/>
    <n v="6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999"/>
    <n v="16.420000000000002"/>
    <x v="94"/>
    <d v="2026-04-22T23:27:24"/>
    <x v="0"/>
    <x v="2"/>
    <s v="Email"/>
    <x v="0"/>
    <x v="2"/>
    <x v="1"/>
    <x v="3"/>
    <x v="6"/>
    <n v="44"/>
    <n v="4"/>
    <n v="0"/>
    <n v="2"/>
    <s v="No"/>
    <n v="30"/>
    <n v="8"/>
    <s v="No"/>
    <x v="1"/>
    <n v="2026"/>
    <n v="4"/>
    <s v="abril"/>
    <x v="0"/>
    <s v="Satisfied"/>
    <s v="No"/>
    <s v="Yes"/>
    <s v="Resolved"/>
    <n v="1"/>
    <n v="0"/>
    <n v="1"/>
    <n v="0"/>
    <n v="0"/>
    <n v="0"/>
    <n v="0"/>
  </r>
  <r>
    <s v="TKT-00175"/>
    <n v="5.52"/>
    <x v="95"/>
    <d v="2026-03-18T20:40:08"/>
    <x v="0"/>
    <x v="0"/>
    <s v="Web Form"/>
    <x v="1"/>
    <x v="1"/>
    <x v="1"/>
    <x v="0"/>
    <x v="10"/>
    <n v="28"/>
    <n v="4"/>
    <n v="2"/>
    <n v="14"/>
    <s v="No"/>
    <n v="15"/>
    <n v="4"/>
    <s v="No"/>
    <x v="1"/>
    <n v="2026"/>
    <n v="3"/>
    <s v="março"/>
    <x v="7"/>
    <s v="Satisfied"/>
    <s v="Yes"/>
    <s v="Yes"/>
    <s v="Resolved"/>
    <n v="1"/>
    <n v="0"/>
    <n v="1"/>
    <n v="1"/>
    <n v="0"/>
    <n v="0"/>
    <n v="0"/>
  </r>
  <r>
    <s v="TKT-01048"/>
    <n v="25.74"/>
    <x v="96"/>
    <d v="2026-03-25T18:41:11"/>
    <x v="0"/>
    <x v="3"/>
    <s v="Phone"/>
    <x v="3"/>
    <x v="1"/>
    <x v="0"/>
    <x v="4"/>
    <x v="7"/>
    <n v="167"/>
    <n v="4"/>
    <n v="0"/>
    <n v="5"/>
    <s v="No"/>
    <n v="120"/>
    <n v="24"/>
    <s v="No"/>
    <x v="1"/>
    <n v="2026"/>
    <n v="3"/>
    <s v="março"/>
    <x v="7"/>
    <s v="Satisfied"/>
    <s v="No"/>
    <s v="Yes"/>
    <s v="Resolved"/>
    <n v="1"/>
    <n v="0"/>
    <n v="1"/>
    <n v="0"/>
    <n v="0"/>
    <n v="0"/>
    <n v="0"/>
  </r>
  <r>
    <s v="TKT-00856"/>
    <n v="46.78"/>
    <x v="97"/>
    <d v="2026-04-15T20:53:37"/>
    <x v="0"/>
    <x v="3"/>
    <s v="Chat"/>
    <x v="0"/>
    <x v="1"/>
    <x v="0"/>
    <x v="2"/>
    <x v="6"/>
    <n v="108"/>
    <n v="4"/>
    <n v="0"/>
    <n v="3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565"/>
    <n v="72.540000000000006"/>
    <x v="98"/>
    <d v="2026-04-25T05:20:35"/>
    <x v="0"/>
    <x v="3"/>
    <s v="Email"/>
    <x v="4"/>
    <x v="1"/>
    <x v="0"/>
    <x v="1"/>
    <x v="6"/>
    <n v="50"/>
    <n v="4"/>
    <n v="0"/>
    <n v="4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313"/>
    <n v="29.7"/>
    <x v="99"/>
    <d v="2026-08-07T21:07:53"/>
    <x v="0"/>
    <x v="2"/>
    <s v="Email"/>
    <x v="1"/>
    <x v="0"/>
    <x v="1"/>
    <x v="5"/>
    <x v="8"/>
    <n v="28"/>
    <n v="4"/>
    <n v="0"/>
    <n v="7"/>
    <s v="No"/>
    <n v="30"/>
    <n v="8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586"/>
    <n v="9.67"/>
    <x v="100"/>
    <d v="2026-06-19T16:13:06"/>
    <x v="0"/>
    <x v="0"/>
    <s v="Chat"/>
    <x v="0"/>
    <x v="2"/>
    <x v="0"/>
    <x v="1"/>
    <x v="10"/>
    <n v="16"/>
    <n v="5"/>
    <n v="0"/>
    <n v="4"/>
    <s v="No"/>
    <n v="15"/>
    <n v="4"/>
    <s v="No"/>
    <x v="1"/>
    <n v="2026"/>
    <n v="6"/>
    <s v="junho"/>
    <x v="5"/>
    <s v="Satisfied"/>
    <s v="No"/>
    <s v="Yes"/>
    <s v="Resolved"/>
    <n v="1"/>
    <n v="0"/>
    <n v="1"/>
    <n v="0"/>
    <n v="0"/>
    <n v="0"/>
    <n v="0"/>
  </r>
  <r>
    <s v="TKT-00641"/>
    <n v="16.399999999999999"/>
    <x v="101"/>
    <d v="2026-01-22T04:30:10"/>
    <x v="0"/>
    <x v="3"/>
    <s v="Chat"/>
    <x v="1"/>
    <x v="1"/>
    <x v="0"/>
    <x v="3"/>
    <x v="6"/>
    <n v="41"/>
    <n v="4"/>
    <n v="1"/>
    <n v="9"/>
    <s v="No"/>
    <n v="120"/>
    <n v="24"/>
    <s v="Yes"/>
    <x v="0"/>
    <n v="2026"/>
    <n v="1"/>
    <s v="janeiro"/>
    <x v="1"/>
    <s v="Satisfied"/>
    <s v="Yes"/>
    <s v="Yes"/>
    <s v="Resolved"/>
    <n v="1"/>
    <n v="0"/>
    <n v="1"/>
    <n v="1"/>
    <n v="0"/>
    <n v="1"/>
    <n v="1"/>
  </r>
  <r>
    <s v="TKT-00386"/>
    <n v="31.88"/>
    <x v="102"/>
    <d v="2026-01-08T19:24:48"/>
    <x v="0"/>
    <x v="1"/>
    <s v="Web Form"/>
    <x v="1"/>
    <x v="1"/>
    <x v="2"/>
    <x v="1"/>
    <x v="2"/>
    <n v="433"/>
    <n v="3"/>
    <n v="0"/>
    <n v="11"/>
    <s v="Yes"/>
    <n v="240"/>
    <n v="48"/>
    <s v="No"/>
    <x v="0"/>
    <n v="2026"/>
    <n v="1"/>
    <s v="janeiro"/>
    <x v="1"/>
    <s v="Neutral"/>
    <s v="No"/>
    <s v="Yes"/>
    <s v="Resolved"/>
    <n v="1"/>
    <n v="0"/>
    <n v="1"/>
    <n v="0"/>
    <n v="1"/>
    <n v="0"/>
    <n v="1"/>
  </r>
  <r>
    <s v="TKT-00940"/>
    <n v="20.329999999999998"/>
    <x v="103"/>
    <d v="2026-04-18T00:47:03"/>
    <x v="0"/>
    <x v="3"/>
    <s v="Chat"/>
    <x v="2"/>
    <x v="2"/>
    <x v="2"/>
    <x v="0"/>
    <x v="10"/>
    <n v="66"/>
    <n v="4"/>
    <n v="0"/>
    <n v="6"/>
    <s v="No"/>
    <n v="120"/>
    <n v="24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233"/>
    <n v="85.29"/>
    <x v="104"/>
    <d v="2026-06-06T18:15:32"/>
    <x v="0"/>
    <x v="1"/>
    <s v="Email"/>
    <x v="1"/>
    <x v="2"/>
    <x v="2"/>
    <x v="1"/>
    <x v="1"/>
    <n v="347"/>
    <n v="3"/>
    <n v="0"/>
    <n v="2"/>
    <s v="No"/>
    <n v="240"/>
    <n v="48"/>
    <s v="No"/>
    <x v="1"/>
    <n v="2026"/>
    <n v="6"/>
    <s v="junho"/>
    <x v="5"/>
    <s v="Neutral"/>
    <s v="No"/>
    <s v="Yes"/>
    <s v="Resolved"/>
    <n v="1"/>
    <n v="0"/>
    <n v="1"/>
    <n v="0"/>
    <n v="0"/>
    <n v="0"/>
    <n v="0"/>
  </r>
  <r>
    <s v="TKT-00429"/>
    <n v="4.16"/>
    <x v="105"/>
    <d v="2026-03-30T21:55:25"/>
    <x v="0"/>
    <x v="0"/>
    <s v="Chat"/>
    <x v="4"/>
    <x v="2"/>
    <x v="1"/>
    <x v="2"/>
    <x v="0"/>
    <n v="24"/>
    <n v="3"/>
    <n v="2"/>
    <n v="8"/>
    <s v="No"/>
    <n v="15"/>
    <n v="4"/>
    <s v="No"/>
    <x v="1"/>
    <n v="2026"/>
    <n v="3"/>
    <s v="março"/>
    <x v="7"/>
    <s v="Neutral"/>
    <s v="Yes"/>
    <s v="Yes"/>
    <s v="Resolved"/>
    <n v="1"/>
    <n v="0"/>
    <n v="1"/>
    <n v="1"/>
    <n v="0"/>
    <n v="0"/>
    <n v="0"/>
  </r>
  <r>
    <s v="TKT-00585"/>
    <n v="48.5"/>
    <x v="106"/>
    <d v="2026-07-23T04:18:49"/>
    <x v="0"/>
    <x v="3"/>
    <s v="Web Form"/>
    <x v="2"/>
    <x v="0"/>
    <x v="2"/>
    <x v="3"/>
    <x v="3"/>
    <n v="64"/>
    <n v="4"/>
    <n v="0"/>
    <n v="7"/>
    <s v="No"/>
    <n v="120"/>
    <n v="24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0694"/>
    <n v="56.01"/>
    <x v="107"/>
    <d v="2026-01-18T19:35:40"/>
    <x v="0"/>
    <x v="1"/>
    <s v="Email"/>
    <x v="2"/>
    <x v="2"/>
    <x v="3"/>
    <x v="1"/>
    <x v="7"/>
    <n v="134"/>
    <n v="3"/>
    <n v="0"/>
    <n v="6"/>
    <s v="No"/>
    <n v="240"/>
    <n v="48"/>
    <s v="Yes"/>
    <x v="1"/>
    <n v="2026"/>
    <n v="1"/>
    <s v="janeiro"/>
    <x v="1"/>
    <s v="Neutral"/>
    <s v="No"/>
    <s v="Yes"/>
    <s v="Resolved"/>
    <n v="1"/>
    <n v="0"/>
    <n v="1"/>
    <n v="0"/>
    <n v="0"/>
    <n v="1"/>
    <n v="0"/>
  </r>
  <r>
    <s v="TKT-00419"/>
    <n v="35.25"/>
    <x v="108"/>
    <d v="2026-04-12T04:22:08"/>
    <x v="0"/>
    <x v="3"/>
    <s v="Chat"/>
    <x v="0"/>
    <x v="2"/>
    <x v="2"/>
    <x v="1"/>
    <x v="9"/>
    <n v="56"/>
    <n v="3"/>
    <n v="2"/>
    <n v="11"/>
    <s v="No"/>
    <n v="120"/>
    <n v="24"/>
    <s v="Yes"/>
    <x v="1"/>
    <n v="2026"/>
    <n v="4"/>
    <s v="abril"/>
    <x v="0"/>
    <s v="Neutral"/>
    <s v="Yes"/>
    <s v="Yes"/>
    <s v="Resolved"/>
    <n v="1"/>
    <n v="0"/>
    <n v="1"/>
    <n v="1"/>
    <n v="0"/>
    <n v="1"/>
    <n v="0"/>
  </r>
  <r>
    <s v="TKT-00121"/>
    <n v="25.01"/>
    <x v="109"/>
    <d v="2026-03-14T03:01:31"/>
    <x v="0"/>
    <x v="1"/>
    <s v="Phone"/>
    <x v="1"/>
    <x v="0"/>
    <x v="3"/>
    <x v="5"/>
    <x v="0"/>
    <n v="218"/>
    <n v="4"/>
    <n v="0"/>
    <n v="3"/>
    <s v="No"/>
    <n v="240"/>
    <n v="48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927"/>
    <n v="5.99"/>
    <x v="110"/>
    <d v="2026-07-13T15:26:33"/>
    <x v="0"/>
    <x v="0"/>
    <s v="Chat"/>
    <x v="0"/>
    <x v="1"/>
    <x v="3"/>
    <x v="2"/>
    <x v="9"/>
    <n v="24"/>
    <n v="4"/>
    <n v="0"/>
    <n v="2"/>
    <s v="No"/>
    <n v="15"/>
    <n v="4"/>
    <s v="No"/>
    <x v="1"/>
    <n v="2026"/>
    <n v="7"/>
    <s v="julho"/>
    <x v="6"/>
    <s v="Satisfied"/>
    <s v="No"/>
    <s v="Yes"/>
    <s v="Resolved"/>
    <n v="1"/>
    <n v="0"/>
    <n v="1"/>
    <n v="0"/>
    <n v="0"/>
    <n v="0"/>
    <n v="0"/>
  </r>
  <r>
    <s v="TKT-00580"/>
    <n v="6.98"/>
    <x v="111"/>
    <d v="2026-06-01T16:50:34"/>
    <x v="0"/>
    <x v="3"/>
    <s v="Chat"/>
    <x v="0"/>
    <x v="0"/>
    <x v="0"/>
    <x v="2"/>
    <x v="1"/>
    <n v="183"/>
    <n v="4"/>
    <n v="1"/>
    <n v="6"/>
    <s v="No"/>
    <n v="120"/>
    <n v="24"/>
    <s v="No"/>
    <x v="0"/>
    <n v="2026"/>
    <n v="6"/>
    <s v="junho"/>
    <x v="5"/>
    <s v="Satisfied"/>
    <s v="Yes"/>
    <s v="Yes"/>
    <s v="Resolved"/>
    <n v="1"/>
    <n v="0"/>
    <n v="1"/>
    <n v="1"/>
    <n v="0"/>
    <n v="0"/>
    <n v="1"/>
  </r>
  <r>
    <s v="TKT-01081"/>
    <n v="55.85"/>
    <x v="112"/>
    <d v="2026-02-26T13:08:49"/>
    <x v="0"/>
    <x v="3"/>
    <s v="Phone"/>
    <x v="0"/>
    <x v="1"/>
    <x v="2"/>
    <x v="5"/>
    <x v="7"/>
    <n v="152"/>
    <n v="3"/>
    <n v="0"/>
    <n v="7"/>
    <s v="No"/>
    <n v="120"/>
    <n v="24"/>
    <s v="No"/>
    <x v="1"/>
    <n v="2026"/>
    <n v="2"/>
    <s v="fevereiro"/>
    <x v="4"/>
    <s v="Neutral"/>
    <s v="No"/>
    <s v="Yes"/>
    <s v="Resolved"/>
    <n v="1"/>
    <n v="0"/>
    <n v="1"/>
    <n v="0"/>
    <n v="0"/>
    <n v="0"/>
    <n v="0"/>
  </r>
  <r>
    <s v="TKT-00591"/>
    <n v="13.85"/>
    <x v="113"/>
    <d v="2026-02-11T01:59:00"/>
    <x v="0"/>
    <x v="3"/>
    <s v="Email"/>
    <x v="4"/>
    <x v="2"/>
    <x v="2"/>
    <x v="4"/>
    <x v="6"/>
    <n v="85"/>
    <n v="4"/>
    <n v="0"/>
    <n v="2"/>
    <s v="No"/>
    <n v="120"/>
    <n v="24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459"/>
    <n v="13.99"/>
    <x v="114"/>
    <d v="2026-04-19T05:52:31"/>
    <x v="0"/>
    <x v="1"/>
    <s v="Web Form"/>
    <x v="1"/>
    <x v="2"/>
    <x v="3"/>
    <x v="2"/>
    <x v="3"/>
    <n v="108"/>
    <n v="3"/>
    <n v="2"/>
    <n v="17"/>
    <s v="No"/>
    <n v="240"/>
    <n v="48"/>
    <s v="Yes"/>
    <x v="0"/>
    <n v="2026"/>
    <n v="4"/>
    <s v="abril"/>
    <x v="0"/>
    <s v="Neutral"/>
    <s v="Yes"/>
    <s v="Yes"/>
    <s v="Resolved"/>
    <n v="1"/>
    <n v="0"/>
    <n v="1"/>
    <n v="1"/>
    <n v="0"/>
    <n v="1"/>
    <n v="1"/>
  </r>
  <r>
    <s v="TKT-00637"/>
    <n v="44.08"/>
    <x v="115"/>
    <d v="2026-01-03T22:35:52"/>
    <x v="0"/>
    <x v="3"/>
    <s v="Web Form"/>
    <x v="0"/>
    <x v="1"/>
    <x v="2"/>
    <x v="0"/>
    <x v="9"/>
    <n v="82"/>
    <n v="4"/>
    <n v="0"/>
    <n v="4"/>
    <s v="No"/>
    <n v="120"/>
    <n v="24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411"/>
    <n v="5.32"/>
    <x v="116"/>
    <d v="2026-01-28T13:22:21"/>
    <x v="0"/>
    <x v="2"/>
    <s v="Chat"/>
    <x v="0"/>
    <x v="1"/>
    <x v="0"/>
    <x v="0"/>
    <x v="2"/>
    <n v="33"/>
    <n v="5"/>
    <n v="0"/>
    <n v="3"/>
    <s v="No"/>
    <n v="30"/>
    <n v="8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1163"/>
    <n v="33.61"/>
    <x v="117"/>
    <d v="2026-05-12T16:45:37"/>
    <x v="0"/>
    <x v="1"/>
    <s v="Email"/>
    <x v="4"/>
    <x v="2"/>
    <x v="1"/>
    <x v="2"/>
    <x v="9"/>
    <n v="81"/>
    <m/>
    <n v="0"/>
    <n v="6"/>
    <s v="No"/>
    <n v="240"/>
    <n v="48"/>
    <s v="Yes"/>
    <x v="0"/>
    <n v="2026"/>
    <n v="5"/>
    <s v="maio"/>
    <x v="2"/>
    <s v="No Response"/>
    <s v="No"/>
    <s v="No"/>
    <s v="Resolved"/>
    <n v="1"/>
    <n v="0"/>
    <n v="1"/>
    <n v="0"/>
    <n v="0"/>
    <n v="1"/>
    <n v="1"/>
  </r>
  <r>
    <s v="TKT-00473"/>
    <n v="6.96"/>
    <x v="118"/>
    <d v="2026-04-25T07:48:36"/>
    <x v="0"/>
    <x v="2"/>
    <s v="Email"/>
    <x v="1"/>
    <x v="1"/>
    <x v="0"/>
    <x v="4"/>
    <x v="10"/>
    <n v="13"/>
    <n v="4"/>
    <n v="0"/>
    <n v="4"/>
    <s v="No"/>
    <n v="30"/>
    <n v="8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803"/>
    <n v="42.21"/>
    <x v="119"/>
    <d v="2026-08-16T23:01:30"/>
    <x v="0"/>
    <x v="1"/>
    <s v="Web Form"/>
    <x v="0"/>
    <x v="1"/>
    <x v="3"/>
    <x v="4"/>
    <x v="8"/>
    <n v="171"/>
    <n v="4"/>
    <n v="0"/>
    <n v="3"/>
    <s v="No"/>
    <n v="240"/>
    <n v="48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1114"/>
    <n v="39.340000000000003"/>
    <x v="120"/>
    <d v="2026-07-27T19:59:08"/>
    <x v="0"/>
    <x v="3"/>
    <s v="Web Form"/>
    <x v="2"/>
    <x v="2"/>
    <x v="2"/>
    <x v="3"/>
    <x v="1"/>
    <n v="116"/>
    <n v="4"/>
    <n v="0"/>
    <n v="7"/>
    <s v="No"/>
    <n v="120"/>
    <n v="24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0173"/>
    <n v="15.81"/>
    <x v="121"/>
    <d v="2026-03-07T12:11:50"/>
    <x v="0"/>
    <x v="3"/>
    <s v="Chat"/>
    <x v="0"/>
    <x v="2"/>
    <x v="1"/>
    <x v="4"/>
    <x v="2"/>
    <n v="81"/>
    <n v="4"/>
    <n v="0"/>
    <n v="3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976"/>
    <n v="37.5"/>
    <x v="122"/>
    <d v="2026-01-17T14:49:58"/>
    <x v="0"/>
    <x v="3"/>
    <s v="Email"/>
    <x v="4"/>
    <x v="2"/>
    <x v="3"/>
    <x v="3"/>
    <x v="5"/>
    <n v="127"/>
    <n v="4"/>
    <n v="0"/>
    <n v="7"/>
    <s v="No"/>
    <n v="120"/>
    <n v="24"/>
    <s v="No"/>
    <x v="1"/>
    <n v="2026"/>
    <n v="1"/>
    <s v="janeiro"/>
    <x v="1"/>
    <s v="Satisfied"/>
    <s v="No"/>
    <s v="Yes"/>
    <s v="Resolved"/>
    <n v="1"/>
    <n v="0"/>
    <n v="1"/>
    <n v="0"/>
    <n v="0"/>
    <n v="0"/>
    <n v="0"/>
  </r>
  <r>
    <s v="TKT-00679"/>
    <n v="43.31"/>
    <x v="123"/>
    <d v="2026-03-02T21:17:19"/>
    <x v="0"/>
    <x v="1"/>
    <s v="Web Form"/>
    <x v="3"/>
    <x v="1"/>
    <x v="2"/>
    <x v="2"/>
    <x v="5"/>
    <n v="187"/>
    <n v="3"/>
    <n v="0"/>
    <n v="5"/>
    <s v="No"/>
    <n v="240"/>
    <n v="48"/>
    <s v="Yes"/>
    <x v="0"/>
    <n v="2026"/>
    <n v="3"/>
    <s v="março"/>
    <x v="7"/>
    <s v="Neutral"/>
    <s v="No"/>
    <s v="Yes"/>
    <s v="Resolved"/>
    <n v="1"/>
    <n v="0"/>
    <n v="1"/>
    <n v="0"/>
    <n v="0"/>
    <n v="1"/>
    <n v="1"/>
  </r>
  <r>
    <s v="TKT-00480"/>
    <n v="100.54"/>
    <x v="124"/>
    <d v="2026-06-04T16:11:30"/>
    <x v="0"/>
    <x v="1"/>
    <s v="Web Form"/>
    <x v="4"/>
    <x v="1"/>
    <x v="2"/>
    <x v="5"/>
    <x v="0"/>
    <n v="139"/>
    <n v="3"/>
    <n v="0"/>
    <n v="3"/>
    <s v="No"/>
    <n v="240"/>
    <n v="48"/>
    <s v="Yes"/>
    <x v="1"/>
    <n v="2026"/>
    <n v="5"/>
    <s v="maio"/>
    <x v="2"/>
    <s v="Neutral"/>
    <s v="No"/>
    <s v="Yes"/>
    <s v="Resolved"/>
    <n v="1"/>
    <n v="0"/>
    <n v="1"/>
    <n v="0"/>
    <n v="0"/>
    <n v="1"/>
    <n v="0"/>
  </r>
  <r>
    <s v="TKT-00086"/>
    <n v="27.52"/>
    <x v="125"/>
    <d v="2026-04-27T22:36:00"/>
    <x v="0"/>
    <x v="1"/>
    <s v="Chat"/>
    <x v="2"/>
    <x v="2"/>
    <x v="1"/>
    <x v="1"/>
    <x v="8"/>
    <n v="152"/>
    <n v="4"/>
    <n v="0"/>
    <n v="6"/>
    <s v="No"/>
    <n v="240"/>
    <n v="48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848"/>
    <n v="35.369999999999997"/>
    <x v="126"/>
    <d v="2026-08-18T22:10:18"/>
    <x v="0"/>
    <x v="1"/>
    <s v="Email"/>
    <x v="1"/>
    <x v="2"/>
    <x v="2"/>
    <x v="1"/>
    <x v="6"/>
    <n v="153"/>
    <n v="4"/>
    <n v="0"/>
    <n v="5"/>
    <s v="No"/>
    <n v="240"/>
    <n v="48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1072"/>
    <n v="25.83"/>
    <x v="127"/>
    <d v="2026-03-04T09:24:51"/>
    <x v="0"/>
    <x v="1"/>
    <s v="Web Form"/>
    <x v="0"/>
    <x v="0"/>
    <x v="1"/>
    <x v="1"/>
    <x v="7"/>
    <n v="241"/>
    <n v="4"/>
    <n v="0"/>
    <n v="3"/>
    <s v="No"/>
    <n v="240"/>
    <n v="48"/>
    <s v="No"/>
    <x v="0"/>
    <n v="2026"/>
    <n v="3"/>
    <s v="março"/>
    <x v="7"/>
    <s v="Satisfied"/>
    <s v="No"/>
    <s v="Yes"/>
    <s v="Resolved"/>
    <n v="1"/>
    <n v="0"/>
    <n v="1"/>
    <n v="0"/>
    <n v="0"/>
    <n v="0"/>
    <n v="1"/>
  </r>
  <r>
    <s v="TKT-00752"/>
    <n v="11.42"/>
    <x v="128"/>
    <d v="2026-03-10T03:04:54"/>
    <x v="0"/>
    <x v="1"/>
    <s v="Email"/>
    <x v="0"/>
    <x v="1"/>
    <x v="2"/>
    <x v="0"/>
    <x v="9"/>
    <n v="136"/>
    <n v="4"/>
    <n v="0"/>
    <n v="6"/>
    <s v="No"/>
    <n v="240"/>
    <n v="48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138"/>
    <n v="10.58"/>
    <x v="129"/>
    <d v="2026-06-14T15:22:49"/>
    <x v="0"/>
    <x v="3"/>
    <s v="Phone"/>
    <x v="0"/>
    <x v="2"/>
    <x v="0"/>
    <x v="2"/>
    <x v="7"/>
    <n v="58"/>
    <n v="4"/>
    <n v="0"/>
    <n v="4"/>
    <s v="No"/>
    <n v="120"/>
    <n v="24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1079"/>
    <n v="46.73"/>
    <x v="130"/>
    <d v="2026-06-18T06:58:56"/>
    <x v="0"/>
    <x v="3"/>
    <s v="Chat"/>
    <x v="2"/>
    <x v="0"/>
    <x v="1"/>
    <x v="2"/>
    <x v="7"/>
    <n v="60"/>
    <n v="4"/>
    <n v="0"/>
    <n v="3"/>
    <s v="No"/>
    <n v="120"/>
    <n v="24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0271"/>
    <n v="42.3"/>
    <x v="131"/>
    <d v="2026-06-08T22:31:54"/>
    <x v="0"/>
    <x v="1"/>
    <s v="Chat"/>
    <x v="3"/>
    <x v="0"/>
    <x v="3"/>
    <x v="4"/>
    <x v="8"/>
    <n v="801"/>
    <m/>
    <n v="0"/>
    <n v="7"/>
    <s v="No"/>
    <n v="240"/>
    <n v="48"/>
    <s v="No"/>
    <x v="0"/>
    <n v="2026"/>
    <n v="6"/>
    <s v="junho"/>
    <x v="5"/>
    <s v="No Response"/>
    <s v="No"/>
    <s v="No"/>
    <s v="Resolved"/>
    <n v="1"/>
    <n v="0"/>
    <n v="1"/>
    <n v="0"/>
    <n v="0"/>
    <n v="0"/>
    <n v="1"/>
  </r>
  <r>
    <s v="TKT-00634"/>
    <n v="35.54"/>
    <x v="132"/>
    <d v="2026-08-21T12:15:40"/>
    <x v="0"/>
    <x v="3"/>
    <s v="Chat"/>
    <x v="4"/>
    <x v="2"/>
    <x v="2"/>
    <x v="3"/>
    <x v="2"/>
    <n v="221"/>
    <n v="4"/>
    <n v="0"/>
    <n v="7"/>
    <s v="No"/>
    <n v="120"/>
    <n v="24"/>
    <s v="No"/>
    <x v="1"/>
    <n v="2026"/>
    <n v="8"/>
    <s v="agosto"/>
    <x v="3"/>
    <s v="Satisfied"/>
    <s v="No"/>
    <s v="Yes"/>
    <s v="Resolved"/>
    <n v="1"/>
    <n v="0"/>
    <n v="1"/>
    <n v="0"/>
    <n v="0"/>
    <n v="0"/>
    <n v="0"/>
  </r>
  <r>
    <s v="TKT-00097"/>
    <n v="9.43"/>
    <x v="133"/>
    <d v="2026-08-03T19:27:48"/>
    <x v="0"/>
    <x v="2"/>
    <s v="Chat"/>
    <x v="4"/>
    <x v="1"/>
    <x v="3"/>
    <x v="1"/>
    <x v="9"/>
    <n v="32"/>
    <n v="4"/>
    <n v="0"/>
    <n v="5"/>
    <s v="No"/>
    <n v="30"/>
    <n v="8"/>
    <s v="No"/>
    <x v="1"/>
    <n v="2026"/>
    <n v="8"/>
    <s v="agosto"/>
    <x v="3"/>
    <s v="Satisfied"/>
    <s v="No"/>
    <s v="Yes"/>
    <s v="Resolved"/>
    <n v="1"/>
    <n v="0"/>
    <n v="1"/>
    <n v="0"/>
    <n v="0"/>
    <n v="0"/>
    <n v="0"/>
  </r>
  <r>
    <s v="TKT-00256"/>
    <n v="14.74"/>
    <x v="134"/>
    <d v="2026-01-28T11:41:22"/>
    <x v="0"/>
    <x v="2"/>
    <s v="Chat"/>
    <x v="2"/>
    <x v="1"/>
    <x v="3"/>
    <x v="1"/>
    <x v="7"/>
    <n v="22"/>
    <n v="5"/>
    <n v="0"/>
    <n v="7"/>
    <s v="No"/>
    <n v="30"/>
    <n v="8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1051"/>
    <n v="32.159999999999997"/>
    <x v="135"/>
    <d v="2026-06-11T14:38:37"/>
    <x v="0"/>
    <x v="1"/>
    <s v="Web Form"/>
    <x v="1"/>
    <x v="0"/>
    <x v="2"/>
    <x v="5"/>
    <x v="2"/>
    <n v="108"/>
    <n v="4"/>
    <n v="0"/>
    <n v="4"/>
    <s v="No"/>
    <n v="240"/>
    <n v="48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749"/>
    <n v="18.809999999999999"/>
    <x v="136"/>
    <d v="2026-06-05T11:45:33"/>
    <x v="0"/>
    <x v="1"/>
    <s v="Chat"/>
    <x v="0"/>
    <x v="2"/>
    <x v="3"/>
    <x v="1"/>
    <x v="7"/>
    <n v="88"/>
    <n v="4"/>
    <n v="0"/>
    <n v="4"/>
    <s v="No"/>
    <n v="240"/>
    <n v="48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863"/>
    <n v="18.07"/>
    <x v="137"/>
    <d v="2026-05-28T12:43:56"/>
    <x v="0"/>
    <x v="2"/>
    <s v="Phone"/>
    <x v="0"/>
    <x v="2"/>
    <x v="1"/>
    <x v="1"/>
    <x v="2"/>
    <n v="136"/>
    <n v="4"/>
    <n v="0"/>
    <n v="7"/>
    <s v="No"/>
    <n v="30"/>
    <n v="8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497"/>
    <n v="11.59"/>
    <x v="138"/>
    <d v="2026-07-05T07:44:14"/>
    <x v="0"/>
    <x v="3"/>
    <s v="Web Form"/>
    <x v="0"/>
    <x v="1"/>
    <x v="1"/>
    <x v="0"/>
    <x v="1"/>
    <n v="171"/>
    <n v="4"/>
    <n v="0"/>
    <n v="4"/>
    <s v="No"/>
    <n v="120"/>
    <n v="24"/>
    <s v="No"/>
    <x v="0"/>
    <n v="2026"/>
    <n v="7"/>
    <s v="julho"/>
    <x v="6"/>
    <s v="Satisfied"/>
    <s v="No"/>
    <s v="Yes"/>
    <s v="Resolved"/>
    <n v="1"/>
    <n v="0"/>
    <n v="1"/>
    <n v="0"/>
    <n v="0"/>
    <n v="0"/>
    <n v="1"/>
  </r>
  <r>
    <s v="TKT-00103"/>
    <n v="81.569999999999993"/>
    <x v="139"/>
    <d v="2026-05-29T23:26:57"/>
    <x v="0"/>
    <x v="3"/>
    <s v="Web Form"/>
    <x v="2"/>
    <x v="1"/>
    <x v="0"/>
    <x v="5"/>
    <x v="7"/>
    <n v="44"/>
    <n v="4"/>
    <n v="0"/>
    <n v="4"/>
    <s v="No"/>
    <n v="120"/>
    <n v="24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784"/>
    <n v="7.74"/>
    <x v="140"/>
    <d v="2026-06-01T10:52:10"/>
    <x v="0"/>
    <x v="3"/>
    <s v="Chat"/>
    <x v="3"/>
    <x v="1"/>
    <x v="0"/>
    <x v="1"/>
    <x v="1"/>
    <n v="66"/>
    <n v="5"/>
    <n v="0"/>
    <n v="3"/>
    <s v="No"/>
    <n v="120"/>
    <n v="24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545"/>
    <n v="8.49"/>
    <x v="141"/>
    <d v="2026-01-26T11:34:28"/>
    <x v="0"/>
    <x v="3"/>
    <s v="Chat"/>
    <x v="0"/>
    <x v="1"/>
    <x v="1"/>
    <x v="4"/>
    <x v="5"/>
    <n v="66"/>
    <n v="5"/>
    <n v="0"/>
    <n v="4"/>
    <s v="No"/>
    <n v="120"/>
    <n v="2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722"/>
    <n v="7.07"/>
    <x v="142"/>
    <d v="2026-02-21T14:04:14"/>
    <x v="0"/>
    <x v="2"/>
    <s v="Email"/>
    <x v="0"/>
    <x v="1"/>
    <x v="2"/>
    <x v="0"/>
    <x v="8"/>
    <n v="23"/>
    <n v="4"/>
    <n v="0"/>
    <n v="7"/>
    <s v="No"/>
    <n v="30"/>
    <n v="8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1087"/>
    <n v="20.04"/>
    <x v="143"/>
    <d v="2026-06-26T04:50:15"/>
    <x v="0"/>
    <x v="3"/>
    <s v="Phone"/>
    <x v="3"/>
    <x v="1"/>
    <x v="1"/>
    <x v="0"/>
    <x v="7"/>
    <n v="131"/>
    <n v="3"/>
    <n v="2"/>
    <n v="10"/>
    <s v="No"/>
    <n v="120"/>
    <n v="24"/>
    <s v="No"/>
    <x v="0"/>
    <n v="2026"/>
    <n v="6"/>
    <s v="junho"/>
    <x v="5"/>
    <s v="Neutral"/>
    <s v="Yes"/>
    <s v="Yes"/>
    <s v="Resolved"/>
    <n v="1"/>
    <n v="0"/>
    <n v="1"/>
    <n v="1"/>
    <n v="0"/>
    <n v="0"/>
    <n v="1"/>
  </r>
  <r>
    <s v="TKT-00593"/>
    <n v="3.78"/>
    <x v="144"/>
    <d v="2026-07-07T06:29:02"/>
    <x v="0"/>
    <x v="0"/>
    <s v="Email"/>
    <x v="2"/>
    <x v="2"/>
    <x v="2"/>
    <x v="2"/>
    <x v="4"/>
    <n v="20"/>
    <n v="4"/>
    <n v="2"/>
    <n v="12"/>
    <s v="No"/>
    <n v="15"/>
    <n v="4"/>
    <s v="No"/>
    <x v="0"/>
    <n v="2026"/>
    <n v="7"/>
    <s v="julho"/>
    <x v="6"/>
    <s v="Satisfied"/>
    <s v="Yes"/>
    <s v="Yes"/>
    <s v="Resolved"/>
    <n v="1"/>
    <n v="0"/>
    <n v="1"/>
    <n v="1"/>
    <n v="0"/>
    <n v="0"/>
    <n v="1"/>
  </r>
  <r>
    <s v="TKT-00581"/>
    <n v="39.07"/>
    <x v="145"/>
    <d v="2026-03-23T20:00:20"/>
    <x v="0"/>
    <x v="3"/>
    <s v="Email"/>
    <x v="0"/>
    <x v="2"/>
    <x v="0"/>
    <x v="3"/>
    <x v="5"/>
    <n v="61"/>
    <n v="4"/>
    <n v="0"/>
    <n v="5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1058"/>
    <n v="70.849999999999994"/>
    <x v="146"/>
    <d v="2026-06-13T06:15:44"/>
    <x v="0"/>
    <x v="3"/>
    <s v="Web Form"/>
    <x v="4"/>
    <x v="1"/>
    <x v="2"/>
    <x v="1"/>
    <x v="6"/>
    <n v="79"/>
    <n v="4"/>
    <n v="0"/>
    <n v="7"/>
    <s v="No"/>
    <n v="120"/>
    <n v="24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0387"/>
    <n v="12.39"/>
    <x v="147"/>
    <d v="2026-07-29T10:37:08"/>
    <x v="0"/>
    <x v="2"/>
    <s v="Email"/>
    <x v="0"/>
    <x v="1"/>
    <x v="1"/>
    <x v="4"/>
    <x v="6"/>
    <n v="54"/>
    <n v="4"/>
    <n v="0"/>
    <n v="9"/>
    <s v="Yes"/>
    <n v="30"/>
    <n v="8"/>
    <s v="No"/>
    <x v="1"/>
    <n v="2026"/>
    <n v="7"/>
    <s v="julho"/>
    <x v="6"/>
    <s v="Satisfied"/>
    <s v="No"/>
    <s v="Yes"/>
    <s v="Resolved"/>
    <n v="1"/>
    <n v="0"/>
    <n v="1"/>
    <n v="0"/>
    <n v="1"/>
    <n v="0"/>
    <n v="0"/>
  </r>
  <r>
    <s v="TKT-00030"/>
    <n v="30.85"/>
    <x v="148"/>
    <d v="2026-01-17T18:10:00"/>
    <x v="0"/>
    <x v="2"/>
    <s v="Phone"/>
    <x v="1"/>
    <x v="2"/>
    <x v="0"/>
    <x v="5"/>
    <x v="1"/>
    <n v="19"/>
    <n v="4"/>
    <n v="0"/>
    <n v="5"/>
    <s v="Yes"/>
    <n v="30"/>
    <n v="8"/>
    <s v="Yes"/>
    <x v="1"/>
    <n v="2026"/>
    <n v="1"/>
    <s v="janeiro"/>
    <x v="1"/>
    <s v="Satisfied"/>
    <s v="No"/>
    <s v="Yes"/>
    <s v="Resolved"/>
    <n v="1"/>
    <n v="0"/>
    <n v="1"/>
    <n v="0"/>
    <n v="1"/>
    <n v="1"/>
    <n v="0"/>
  </r>
  <r>
    <s v="TKT-00898"/>
    <n v="11.35"/>
    <x v="149"/>
    <d v="2026-05-16T08:34:50"/>
    <x v="0"/>
    <x v="2"/>
    <s v="Email"/>
    <x v="3"/>
    <x v="1"/>
    <x v="3"/>
    <x v="3"/>
    <x v="6"/>
    <n v="64"/>
    <n v="4"/>
    <n v="0"/>
    <n v="3"/>
    <s v="No"/>
    <n v="30"/>
    <n v="8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916"/>
    <n v="14.55"/>
    <x v="150"/>
    <d v="2026-08-31T19:38:54"/>
    <x v="0"/>
    <x v="3"/>
    <s v="Chat"/>
    <x v="3"/>
    <x v="1"/>
    <x v="0"/>
    <x v="3"/>
    <x v="8"/>
    <n v="49"/>
    <n v="4"/>
    <n v="0"/>
    <n v="3"/>
    <s v="No"/>
    <n v="120"/>
    <n v="24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768"/>
    <n v="37.299999999999997"/>
    <x v="151"/>
    <d v="2026-06-25T22:54:51"/>
    <x v="0"/>
    <x v="1"/>
    <s v="Chat"/>
    <x v="1"/>
    <x v="2"/>
    <x v="3"/>
    <x v="0"/>
    <x v="5"/>
    <n v="293"/>
    <n v="4"/>
    <n v="0"/>
    <n v="3"/>
    <s v="No"/>
    <n v="240"/>
    <n v="48"/>
    <s v="No"/>
    <x v="0"/>
    <n v="2026"/>
    <n v="6"/>
    <s v="junho"/>
    <x v="5"/>
    <s v="Satisfied"/>
    <s v="No"/>
    <s v="Yes"/>
    <s v="Resolved"/>
    <n v="1"/>
    <n v="0"/>
    <n v="1"/>
    <n v="0"/>
    <n v="0"/>
    <n v="0"/>
    <n v="1"/>
  </r>
  <r>
    <s v="TKT-00474"/>
    <n v="14.97"/>
    <x v="152"/>
    <d v="2026-01-06T20:25:09"/>
    <x v="0"/>
    <x v="1"/>
    <s v="Web Form"/>
    <x v="4"/>
    <x v="1"/>
    <x v="2"/>
    <x v="2"/>
    <x v="6"/>
    <n v="156"/>
    <n v="4"/>
    <n v="0"/>
    <n v="6"/>
    <s v="No"/>
    <n v="240"/>
    <n v="48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1101"/>
    <n v="11.45"/>
    <x v="153"/>
    <d v="2026-07-16T19:05:52"/>
    <x v="0"/>
    <x v="3"/>
    <s v="Email"/>
    <x v="2"/>
    <x v="0"/>
    <x v="1"/>
    <x v="2"/>
    <x v="10"/>
    <n v="66"/>
    <n v="4"/>
    <n v="0"/>
    <n v="7"/>
    <s v="No"/>
    <n v="120"/>
    <n v="24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604"/>
    <n v="7.3"/>
    <x v="154"/>
    <d v="2026-08-25T19:32:06"/>
    <x v="0"/>
    <x v="0"/>
    <s v="Phone"/>
    <x v="2"/>
    <x v="1"/>
    <x v="3"/>
    <x v="5"/>
    <x v="7"/>
    <n v="7"/>
    <n v="4"/>
    <n v="0"/>
    <n v="7"/>
    <s v="No"/>
    <n v="15"/>
    <n v="4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1008"/>
    <n v="21.65"/>
    <x v="155"/>
    <d v="2026-05-21T21:52:04"/>
    <x v="0"/>
    <x v="3"/>
    <s v="Web Form"/>
    <x v="1"/>
    <x v="2"/>
    <x v="1"/>
    <x v="1"/>
    <x v="2"/>
    <n v="185"/>
    <n v="4"/>
    <n v="0"/>
    <n v="3"/>
    <s v="No"/>
    <n v="120"/>
    <n v="24"/>
    <s v="No"/>
    <x v="0"/>
    <n v="2026"/>
    <n v="5"/>
    <s v="maio"/>
    <x v="2"/>
    <s v="Satisfied"/>
    <s v="No"/>
    <s v="Yes"/>
    <s v="Resolved"/>
    <n v="1"/>
    <n v="0"/>
    <n v="1"/>
    <n v="0"/>
    <n v="0"/>
    <n v="0"/>
    <n v="1"/>
  </r>
  <r>
    <s v="TKT-00191"/>
    <n v="98.34"/>
    <x v="156"/>
    <d v="2026-06-27T03:13:17"/>
    <x v="0"/>
    <x v="1"/>
    <s v="Chat"/>
    <x v="1"/>
    <x v="1"/>
    <x v="2"/>
    <x v="5"/>
    <x v="7"/>
    <n v="163"/>
    <n v="3"/>
    <n v="0"/>
    <n v="4"/>
    <s v="No"/>
    <n v="240"/>
    <n v="48"/>
    <s v="Yes"/>
    <x v="1"/>
    <n v="2026"/>
    <n v="6"/>
    <s v="junho"/>
    <x v="5"/>
    <s v="Neutral"/>
    <s v="No"/>
    <s v="Yes"/>
    <s v="Resolved"/>
    <n v="1"/>
    <n v="0"/>
    <n v="1"/>
    <n v="0"/>
    <n v="0"/>
    <n v="1"/>
    <n v="0"/>
  </r>
  <r>
    <s v="TKT-00861"/>
    <m/>
    <x v="157"/>
    <m/>
    <x v="2"/>
    <x v="1"/>
    <s v="Web Form"/>
    <x v="0"/>
    <x v="2"/>
    <x v="1"/>
    <x v="4"/>
    <x v="10"/>
    <n v="261"/>
    <m/>
    <n v="0"/>
    <n v="2"/>
    <s v="No"/>
    <n v="240"/>
    <n v="48"/>
    <s v="No"/>
    <x v="2"/>
    <n v="2026"/>
    <n v="8"/>
    <s v="agosto"/>
    <x v="3"/>
    <s v="No Response"/>
    <s v="No"/>
    <s v="No"/>
    <s v="Pending"/>
    <n v="1"/>
    <n v="1"/>
    <n v="0"/>
    <n v="0"/>
    <n v="0"/>
    <n v="0"/>
    <m/>
  </r>
  <r>
    <s v="TKT-00698"/>
    <n v="36.01"/>
    <x v="158"/>
    <d v="2026-05-13T17:04:25"/>
    <x v="0"/>
    <x v="1"/>
    <s v="Email"/>
    <x v="0"/>
    <x v="1"/>
    <x v="1"/>
    <x v="0"/>
    <x v="9"/>
    <n v="235"/>
    <n v="3"/>
    <n v="0"/>
    <n v="5"/>
    <s v="No"/>
    <n v="240"/>
    <n v="48"/>
    <s v="Yes"/>
    <x v="0"/>
    <n v="2026"/>
    <n v="5"/>
    <s v="maio"/>
    <x v="2"/>
    <s v="Neutral"/>
    <s v="No"/>
    <s v="Yes"/>
    <s v="Resolved"/>
    <n v="1"/>
    <n v="0"/>
    <n v="1"/>
    <n v="0"/>
    <n v="0"/>
    <n v="1"/>
    <n v="1"/>
  </r>
  <r>
    <s v="TKT-00270"/>
    <n v="9.7200000000000006"/>
    <x v="159"/>
    <d v="2026-02-13T13:00:00"/>
    <x v="0"/>
    <x v="2"/>
    <s v="Chat"/>
    <x v="3"/>
    <x v="1"/>
    <x v="0"/>
    <x v="1"/>
    <x v="3"/>
    <n v="36"/>
    <n v="5"/>
    <n v="0"/>
    <n v="3"/>
    <s v="No"/>
    <n v="30"/>
    <n v="8"/>
    <s v="No"/>
    <x v="1"/>
    <n v="2026"/>
    <n v="2"/>
    <s v="fevereiro"/>
    <x v="4"/>
    <s v="Satisfied"/>
    <s v="No"/>
    <s v="Yes"/>
    <s v="Resolved"/>
    <n v="1"/>
    <n v="0"/>
    <n v="1"/>
    <n v="0"/>
    <n v="0"/>
    <n v="0"/>
    <n v="0"/>
  </r>
  <r>
    <s v="TKT-00297"/>
    <n v="21.21"/>
    <x v="160"/>
    <d v="2026-06-29T09:30:22"/>
    <x v="0"/>
    <x v="1"/>
    <s v="Chat"/>
    <x v="3"/>
    <x v="0"/>
    <x v="1"/>
    <x v="3"/>
    <x v="2"/>
    <n v="301"/>
    <n v="3"/>
    <n v="0"/>
    <n v="7"/>
    <s v="No"/>
    <n v="240"/>
    <n v="48"/>
    <s v="No"/>
    <x v="0"/>
    <n v="2026"/>
    <n v="6"/>
    <s v="junho"/>
    <x v="5"/>
    <s v="Neutral"/>
    <s v="No"/>
    <s v="Yes"/>
    <s v="Resolved"/>
    <n v="1"/>
    <n v="0"/>
    <n v="1"/>
    <n v="0"/>
    <n v="0"/>
    <n v="0"/>
    <n v="1"/>
  </r>
  <r>
    <s v="TKT-00326"/>
    <n v="32.43"/>
    <x v="161"/>
    <d v="2026-04-03T19:34:03"/>
    <x v="0"/>
    <x v="3"/>
    <s v="Web Form"/>
    <x v="4"/>
    <x v="0"/>
    <x v="2"/>
    <x v="1"/>
    <x v="10"/>
    <n v="121"/>
    <n v="3"/>
    <n v="1"/>
    <n v="8"/>
    <s v="No"/>
    <n v="120"/>
    <n v="24"/>
    <s v="No"/>
    <x v="1"/>
    <n v="2026"/>
    <n v="4"/>
    <s v="abril"/>
    <x v="0"/>
    <s v="Neutral"/>
    <s v="Yes"/>
    <s v="Yes"/>
    <s v="Resolved"/>
    <n v="1"/>
    <n v="0"/>
    <n v="1"/>
    <n v="1"/>
    <n v="0"/>
    <n v="0"/>
    <n v="0"/>
  </r>
  <r>
    <s v="TKT-00374"/>
    <n v="21.32"/>
    <x v="162"/>
    <d v="2026-02-08T07:49:17"/>
    <x v="0"/>
    <x v="3"/>
    <s v="Chat"/>
    <x v="1"/>
    <x v="1"/>
    <x v="0"/>
    <x v="1"/>
    <x v="9"/>
    <n v="117"/>
    <n v="4"/>
    <n v="0"/>
    <n v="7"/>
    <s v="No"/>
    <n v="120"/>
    <n v="24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741"/>
    <n v="26.02"/>
    <x v="163"/>
    <d v="2026-08-27T17:36:04"/>
    <x v="0"/>
    <x v="3"/>
    <s v="Email"/>
    <x v="3"/>
    <x v="2"/>
    <x v="0"/>
    <x v="1"/>
    <x v="9"/>
    <n v="164"/>
    <n v="4"/>
    <n v="0"/>
    <n v="7"/>
    <s v="No"/>
    <n v="120"/>
    <n v="24"/>
    <s v="No"/>
    <x v="1"/>
    <n v="2026"/>
    <n v="8"/>
    <s v="agosto"/>
    <x v="3"/>
    <s v="Satisfied"/>
    <s v="No"/>
    <s v="Yes"/>
    <s v="Resolved"/>
    <n v="1"/>
    <n v="0"/>
    <n v="1"/>
    <n v="0"/>
    <n v="0"/>
    <n v="0"/>
    <n v="0"/>
  </r>
  <r>
    <s v="TKT-00820"/>
    <n v="52.32"/>
    <x v="164"/>
    <d v="2026-01-26T18:44:01"/>
    <x v="0"/>
    <x v="1"/>
    <s v="Email"/>
    <x v="0"/>
    <x v="1"/>
    <x v="3"/>
    <x v="0"/>
    <x v="8"/>
    <n v="214"/>
    <n v="2"/>
    <n v="3"/>
    <n v="13"/>
    <s v="No"/>
    <n v="240"/>
    <n v="48"/>
    <s v="Yes"/>
    <x v="1"/>
    <n v="2026"/>
    <n v="1"/>
    <s v="janeiro"/>
    <x v="1"/>
    <s v="Dissatisfied"/>
    <s v="Yes"/>
    <s v="Yes"/>
    <s v="Resolved"/>
    <n v="1"/>
    <n v="0"/>
    <n v="1"/>
    <n v="1"/>
    <n v="0"/>
    <n v="1"/>
    <n v="0"/>
  </r>
  <r>
    <s v="TKT-00831"/>
    <n v="21.4"/>
    <x v="165"/>
    <d v="2026-08-29T10:58:11"/>
    <x v="0"/>
    <x v="3"/>
    <s v="Chat"/>
    <x v="2"/>
    <x v="2"/>
    <x v="0"/>
    <x v="0"/>
    <x v="6"/>
    <n v="183"/>
    <n v="3"/>
    <n v="1"/>
    <n v="12"/>
    <s v="No"/>
    <n v="120"/>
    <n v="24"/>
    <s v="No"/>
    <x v="0"/>
    <n v="2026"/>
    <n v="8"/>
    <s v="agosto"/>
    <x v="3"/>
    <s v="Neutral"/>
    <s v="Yes"/>
    <s v="Yes"/>
    <s v="Resolved"/>
    <n v="1"/>
    <n v="0"/>
    <n v="1"/>
    <n v="1"/>
    <n v="0"/>
    <n v="0"/>
    <n v="1"/>
  </r>
  <r>
    <s v="TKT-00645"/>
    <n v="29.96"/>
    <x v="166"/>
    <d v="2026-06-30T05:41:39"/>
    <x v="0"/>
    <x v="3"/>
    <s v="Email"/>
    <x v="1"/>
    <x v="1"/>
    <x v="0"/>
    <x v="1"/>
    <x v="3"/>
    <n v="234"/>
    <n v="3"/>
    <n v="1"/>
    <n v="8"/>
    <s v="No"/>
    <n v="120"/>
    <n v="24"/>
    <s v="No"/>
    <x v="1"/>
    <n v="2026"/>
    <n v="6"/>
    <s v="junho"/>
    <x v="5"/>
    <s v="Neutral"/>
    <s v="Yes"/>
    <s v="Yes"/>
    <s v="Resolved"/>
    <n v="1"/>
    <n v="0"/>
    <n v="1"/>
    <n v="1"/>
    <n v="0"/>
    <n v="0"/>
    <n v="0"/>
  </r>
  <r>
    <s v="TKT-00353"/>
    <n v="19.010000000000002"/>
    <x v="167"/>
    <d v="2026-06-05T20:05:27"/>
    <x v="0"/>
    <x v="2"/>
    <s v="Email"/>
    <x v="4"/>
    <x v="1"/>
    <x v="0"/>
    <x v="5"/>
    <x v="10"/>
    <n v="30"/>
    <n v="5"/>
    <n v="0"/>
    <n v="5"/>
    <s v="No"/>
    <n v="30"/>
    <n v="8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0194"/>
    <n v="20.39"/>
    <x v="168"/>
    <d v="2026-02-21T19:59:21"/>
    <x v="0"/>
    <x v="3"/>
    <s v="Phone"/>
    <x v="0"/>
    <x v="2"/>
    <x v="1"/>
    <x v="0"/>
    <x v="0"/>
    <n v="216"/>
    <n v="4"/>
    <n v="0"/>
    <n v="5"/>
    <s v="No"/>
    <n v="120"/>
    <n v="24"/>
    <s v="No"/>
    <x v="0"/>
    <n v="2026"/>
    <n v="2"/>
    <s v="fevereiro"/>
    <x v="4"/>
    <s v="Satisfied"/>
    <s v="No"/>
    <s v="Yes"/>
    <s v="Resolved"/>
    <n v="1"/>
    <n v="0"/>
    <n v="1"/>
    <n v="0"/>
    <n v="0"/>
    <n v="0"/>
    <n v="1"/>
  </r>
  <r>
    <s v="TKT-00471"/>
    <n v="46.71"/>
    <x v="169"/>
    <d v="2026-03-30T04:03:45"/>
    <x v="0"/>
    <x v="3"/>
    <s v="Email"/>
    <x v="4"/>
    <x v="1"/>
    <x v="3"/>
    <x v="4"/>
    <x v="2"/>
    <n v="542"/>
    <n v="3"/>
    <n v="0"/>
    <n v="8"/>
    <s v="Yes"/>
    <n v="120"/>
    <n v="24"/>
    <s v="No"/>
    <x v="1"/>
    <n v="2026"/>
    <n v="3"/>
    <s v="março"/>
    <x v="7"/>
    <s v="Neutral"/>
    <s v="No"/>
    <s v="Yes"/>
    <s v="Resolved"/>
    <n v="1"/>
    <n v="0"/>
    <n v="1"/>
    <n v="0"/>
    <n v="1"/>
    <n v="0"/>
    <n v="0"/>
  </r>
  <r>
    <s v="TKT-00151"/>
    <n v="31.99"/>
    <x v="170"/>
    <d v="2026-04-28T06:00:38"/>
    <x v="0"/>
    <x v="3"/>
    <s v="Email"/>
    <x v="0"/>
    <x v="0"/>
    <x v="2"/>
    <x v="3"/>
    <x v="0"/>
    <n v="61"/>
    <n v="4"/>
    <n v="0"/>
    <n v="6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959"/>
    <n v="34.340000000000003"/>
    <x v="171"/>
    <d v="2026-07-24T07:02:14"/>
    <x v="0"/>
    <x v="3"/>
    <s v="Chat"/>
    <x v="1"/>
    <x v="0"/>
    <x v="0"/>
    <x v="1"/>
    <x v="3"/>
    <n v="340"/>
    <n v="3"/>
    <n v="0"/>
    <n v="4"/>
    <s v="No"/>
    <n v="120"/>
    <n v="24"/>
    <s v="No"/>
    <x v="1"/>
    <n v="2026"/>
    <n v="7"/>
    <s v="julho"/>
    <x v="6"/>
    <s v="Neutral"/>
    <s v="No"/>
    <s v="Yes"/>
    <s v="Resolved"/>
    <n v="1"/>
    <n v="0"/>
    <n v="1"/>
    <n v="0"/>
    <n v="0"/>
    <n v="0"/>
    <n v="0"/>
  </r>
  <r>
    <s v="TKT-00614"/>
    <n v="21.16"/>
    <x v="172"/>
    <d v="2026-03-21T09:55:25"/>
    <x v="0"/>
    <x v="2"/>
    <s v="Web Form"/>
    <x v="1"/>
    <x v="2"/>
    <x v="2"/>
    <x v="1"/>
    <x v="0"/>
    <n v="13"/>
    <n v="5"/>
    <n v="0"/>
    <n v="4"/>
    <s v="No"/>
    <n v="30"/>
    <n v="8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135"/>
    <n v="10.41"/>
    <x v="173"/>
    <d v="2026-04-29T16:28:31"/>
    <x v="0"/>
    <x v="3"/>
    <s v="Chat"/>
    <x v="1"/>
    <x v="1"/>
    <x v="1"/>
    <x v="0"/>
    <x v="6"/>
    <n v="184"/>
    <n v="4"/>
    <n v="0"/>
    <n v="5"/>
    <s v="No"/>
    <n v="120"/>
    <n v="24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0341"/>
    <n v="28.72"/>
    <x v="174"/>
    <d v="2026-05-10T23:59:24"/>
    <x v="0"/>
    <x v="3"/>
    <s v="Web Form"/>
    <x v="4"/>
    <x v="1"/>
    <x v="1"/>
    <x v="1"/>
    <x v="5"/>
    <n v="164"/>
    <n v="4"/>
    <n v="0"/>
    <n v="7"/>
    <s v="No"/>
    <n v="120"/>
    <n v="24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601"/>
    <n v="47.94"/>
    <x v="175"/>
    <d v="2026-01-16T09:19:19"/>
    <x v="0"/>
    <x v="1"/>
    <s v="Email"/>
    <x v="3"/>
    <x v="1"/>
    <x v="0"/>
    <x v="1"/>
    <x v="3"/>
    <n v="50"/>
    <n v="4"/>
    <n v="0"/>
    <n v="4"/>
    <s v="No"/>
    <n v="240"/>
    <n v="48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695"/>
    <n v="19.350000000000001"/>
    <x v="176"/>
    <d v="2026-07-27T15:22:00"/>
    <x v="0"/>
    <x v="3"/>
    <s v="Web Form"/>
    <x v="0"/>
    <x v="2"/>
    <x v="2"/>
    <x v="1"/>
    <x v="6"/>
    <n v="67"/>
    <n v="4"/>
    <n v="0"/>
    <n v="7"/>
    <s v="No"/>
    <n v="120"/>
    <n v="24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575"/>
    <n v="26.43"/>
    <x v="177"/>
    <d v="2026-04-10T03:01:47"/>
    <x v="0"/>
    <x v="1"/>
    <s v="Web Form"/>
    <x v="0"/>
    <x v="1"/>
    <x v="1"/>
    <x v="1"/>
    <x v="6"/>
    <n v="111"/>
    <n v="3"/>
    <n v="2"/>
    <n v="10"/>
    <s v="No"/>
    <n v="240"/>
    <n v="48"/>
    <s v="Yes"/>
    <x v="0"/>
    <n v="2026"/>
    <n v="4"/>
    <s v="abril"/>
    <x v="0"/>
    <s v="Neutral"/>
    <s v="Yes"/>
    <s v="Yes"/>
    <s v="Resolved"/>
    <n v="1"/>
    <n v="0"/>
    <n v="1"/>
    <n v="1"/>
    <n v="0"/>
    <n v="1"/>
    <n v="1"/>
  </r>
  <r>
    <s v="TKT-00520"/>
    <n v="18.75"/>
    <x v="178"/>
    <d v="2026-01-27T22:50:59"/>
    <x v="0"/>
    <x v="2"/>
    <s v="Chat"/>
    <x v="2"/>
    <x v="1"/>
    <x v="2"/>
    <x v="4"/>
    <x v="7"/>
    <n v="21"/>
    <n v="4"/>
    <n v="0"/>
    <n v="10"/>
    <s v="Yes"/>
    <n v="30"/>
    <n v="8"/>
    <s v="Yes"/>
    <x v="1"/>
    <n v="2026"/>
    <n v="1"/>
    <s v="janeiro"/>
    <x v="1"/>
    <s v="Satisfied"/>
    <s v="No"/>
    <s v="Yes"/>
    <s v="Resolved"/>
    <n v="1"/>
    <n v="0"/>
    <n v="1"/>
    <n v="0"/>
    <n v="1"/>
    <n v="1"/>
    <n v="0"/>
  </r>
  <r>
    <s v="TKT-00725"/>
    <n v="17.28"/>
    <x v="179"/>
    <d v="2026-03-04T02:15:47"/>
    <x v="0"/>
    <x v="3"/>
    <s v="Chat"/>
    <x v="3"/>
    <x v="1"/>
    <x v="1"/>
    <x v="2"/>
    <x v="6"/>
    <n v="56"/>
    <n v="4"/>
    <n v="0"/>
    <n v="3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767"/>
    <n v="35.299999999999997"/>
    <x v="180"/>
    <d v="2026-03-29T18:32:12"/>
    <x v="0"/>
    <x v="1"/>
    <s v="Web Form"/>
    <x v="1"/>
    <x v="2"/>
    <x v="0"/>
    <x v="1"/>
    <x v="9"/>
    <n v="247"/>
    <n v="4"/>
    <n v="0"/>
    <n v="7"/>
    <s v="No"/>
    <n v="240"/>
    <n v="48"/>
    <s v="No"/>
    <x v="0"/>
    <n v="2026"/>
    <n v="3"/>
    <s v="março"/>
    <x v="7"/>
    <s v="Satisfied"/>
    <s v="No"/>
    <s v="Yes"/>
    <s v="Resolved"/>
    <n v="1"/>
    <n v="0"/>
    <n v="1"/>
    <n v="0"/>
    <n v="0"/>
    <n v="0"/>
    <n v="1"/>
  </r>
  <r>
    <s v="TKT-01129"/>
    <n v="5.35"/>
    <x v="181"/>
    <d v="2026-07-25T21:18:58"/>
    <x v="0"/>
    <x v="0"/>
    <s v="Web Form"/>
    <x v="1"/>
    <x v="2"/>
    <x v="1"/>
    <x v="4"/>
    <x v="7"/>
    <n v="32"/>
    <n v="4"/>
    <n v="0"/>
    <n v="6"/>
    <s v="No"/>
    <n v="15"/>
    <n v="4"/>
    <s v="No"/>
    <x v="1"/>
    <n v="2026"/>
    <n v="7"/>
    <s v="julho"/>
    <x v="6"/>
    <s v="Satisfied"/>
    <s v="No"/>
    <s v="Yes"/>
    <s v="Resolved"/>
    <n v="1"/>
    <n v="0"/>
    <n v="1"/>
    <n v="0"/>
    <n v="0"/>
    <n v="0"/>
    <n v="0"/>
  </r>
  <r>
    <s v="TKT-00528"/>
    <n v="25.37"/>
    <x v="182"/>
    <d v="2026-02-13T14:02:15"/>
    <x v="0"/>
    <x v="1"/>
    <s v="Email"/>
    <x v="3"/>
    <x v="1"/>
    <x v="2"/>
    <x v="2"/>
    <x v="10"/>
    <n v="416"/>
    <n v="3"/>
    <n v="0"/>
    <n v="4"/>
    <s v="No"/>
    <n v="240"/>
    <n v="48"/>
    <s v="No"/>
    <x v="0"/>
    <n v="2026"/>
    <n v="2"/>
    <s v="fevereiro"/>
    <x v="4"/>
    <s v="Neutral"/>
    <s v="No"/>
    <s v="Yes"/>
    <s v="Resolved"/>
    <n v="1"/>
    <n v="0"/>
    <n v="1"/>
    <n v="0"/>
    <n v="0"/>
    <n v="0"/>
    <n v="1"/>
  </r>
  <r>
    <s v="TKT-00603"/>
    <n v="7.72"/>
    <x v="183"/>
    <d v="2026-02-02T02:46:54"/>
    <x v="0"/>
    <x v="1"/>
    <s v="Email"/>
    <x v="0"/>
    <x v="1"/>
    <x v="2"/>
    <x v="0"/>
    <x v="9"/>
    <n v="158"/>
    <n v="3"/>
    <n v="1"/>
    <n v="8"/>
    <s v="No"/>
    <n v="240"/>
    <n v="48"/>
    <s v="Yes"/>
    <x v="0"/>
    <n v="2026"/>
    <n v="2"/>
    <s v="fevereiro"/>
    <x v="4"/>
    <s v="Neutral"/>
    <s v="Yes"/>
    <s v="Yes"/>
    <s v="Resolved"/>
    <n v="1"/>
    <n v="0"/>
    <n v="1"/>
    <n v="1"/>
    <n v="0"/>
    <n v="1"/>
    <n v="1"/>
  </r>
  <r>
    <s v="TKT-00571"/>
    <n v="32.94"/>
    <x v="184"/>
    <d v="2026-07-20T09:01:25"/>
    <x v="0"/>
    <x v="1"/>
    <s v="Web Form"/>
    <x v="0"/>
    <x v="2"/>
    <x v="1"/>
    <x v="1"/>
    <x v="4"/>
    <n v="179"/>
    <n v="3"/>
    <n v="0"/>
    <n v="3"/>
    <s v="No"/>
    <n v="240"/>
    <n v="48"/>
    <s v="Yes"/>
    <x v="0"/>
    <n v="2026"/>
    <n v="7"/>
    <s v="julho"/>
    <x v="6"/>
    <s v="Neutral"/>
    <s v="No"/>
    <s v="Yes"/>
    <s v="Resolved"/>
    <n v="1"/>
    <n v="0"/>
    <n v="1"/>
    <n v="0"/>
    <n v="0"/>
    <n v="1"/>
    <n v="1"/>
  </r>
  <r>
    <s v="TKT-00764"/>
    <n v="14.37"/>
    <x v="185"/>
    <d v="2026-04-16T12:46:07"/>
    <x v="0"/>
    <x v="3"/>
    <s v="Chat"/>
    <x v="1"/>
    <x v="1"/>
    <x v="3"/>
    <x v="4"/>
    <x v="9"/>
    <n v="98"/>
    <n v="4"/>
    <n v="0"/>
    <n v="3"/>
    <s v="No"/>
    <n v="120"/>
    <n v="24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274"/>
    <n v="10.17"/>
    <x v="186"/>
    <d v="2026-07-05T12:04:58"/>
    <x v="0"/>
    <x v="4"/>
    <s v="Chat"/>
    <x v="4"/>
    <x v="1"/>
    <x v="1"/>
    <x v="2"/>
    <x v="9"/>
    <n v="114"/>
    <n v="4"/>
    <n v="0"/>
    <n v="4"/>
    <s v="No"/>
    <m/>
    <m/>
    <m/>
    <x v="3"/>
    <n v="2026"/>
    <n v="7"/>
    <s v="julho"/>
    <x v="6"/>
    <s v="Satisfied"/>
    <s v="No"/>
    <s v="Yes"/>
    <s v="Resolved"/>
    <n v="1"/>
    <n v="0"/>
    <n v="1"/>
    <n v="0"/>
    <n v="0"/>
    <m/>
    <m/>
  </r>
  <r>
    <s v="TKT-00657"/>
    <n v="45.22"/>
    <x v="187"/>
    <d v="2026-08-06T12:45:03"/>
    <x v="0"/>
    <x v="3"/>
    <s v="Email"/>
    <x v="1"/>
    <x v="0"/>
    <x v="1"/>
    <x v="1"/>
    <x v="0"/>
    <n v="77"/>
    <n v="4"/>
    <n v="0"/>
    <n v="7"/>
    <s v="No"/>
    <n v="120"/>
    <n v="24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1150"/>
    <n v="33.15"/>
    <x v="188"/>
    <d v="2026-08-22T07:54:43"/>
    <x v="0"/>
    <x v="3"/>
    <s v="Web Form"/>
    <x v="0"/>
    <x v="1"/>
    <x v="1"/>
    <x v="4"/>
    <x v="6"/>
    <n v="64"/>
    <n v="4"/>
    <n v="0"/>
    <n v="6"/>
    <s v="No"/>
    <n v="120"/>
    <n v="24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692"/>
    <n v="12.68"/>
    <x v="189"/>
    <d v="2026-04-28T10:52:55"/>
    <x v="0"/>
    <x v="2"/>
    <s v="Chat"/>
    <x v="0"/>
    <x v="2"/>
    <x v="0"/>
    <x v="4"/>
    <x v="10"/>
    <n v="79"/>
    <n v="4"/>
    <n v="0"/>
    <n v="4"/>
    <s v="Yes"/>
    <n v="30"/>
    <n v="8"/>
    <s v="No"/>
    <x v="1"/>
    <n v="2026"/>
    <n v="4"/>
    <s v="abril"/>
    <x v="0"/>
    <s v="Satisfied"/>
    <s v="No"/>
    <s v="Yes"/>
    <s v="Resolved"/>
    <n v="1"/>
    <n v="0"/>
    <n v="1"/>
    <n v="0"/>
    <n v="1"/>
    <n v="0"/>
    <n v="0"/>
  </r>
  <r>
    <s v="TKT-00717"/>
    <n v="56.26"/>
    <x v="190"/>
    <d v="2026-04-01T17:09:47"/>
    <x v="0"/>
    <x v="1"/>
    <s v="Email"/>
    <x v="0"/>
    <x v="1"/>
    <x v="0"/>
    <x v="3"/>
    <x v="1"/>
    <n v="171"/>
    <n v="3"/>
    <n v="0"/>
    <n v="7"/>
    <s v="No"/>
    <n v="240"/>
    <n v="48"/>
    <s v="Yes"/>
    <x v="1"/>
    <n v="2026"/>
    <n v="3"/>
    <s v="março"/>
    <x v="7"/>
    <s v="Neutral"/>
    <s v="No"/>
    <s v="Yes"/>
    <s v="Resolved"/>
    <n v="1"/>
    <n v="0"/>
    <n v="1"/>
    <n v="0"/>
    <n v="0"/>
    <n v="1"/>
    <n v="0"/>
  </r>
  <r>
    <s v="TKT-00684"/>
    <n v="30.69"/>
    <x v="191"/>
    <d v="2026-03-08T21:52:16"/>
    <x v="0"/>
    <x v="3"/>
    <s v="Email"/>
    <x v="1"/>
    <x v="0"/>
    <x v="2"/>
    <x v="5"/>
    <x v="4"/>
    <n v="103"/>
    <n v="4"/>
    <n v="0"/>
    <n v="7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966"/>
    <n v="100.76"/>
    <x v="192"/>
    <d v="2026-08-29T14:18:21"/>
    <x v="0"/>
    <x v="1"/>
    <s v="Chat"/>
    <x v="0"/>
    <x v="1"/>
    <x v="2"/>
    <x v="5"/>
    <x v="5"/>
    <n v="428"/>
    <n v="3"/>
    <n v="0"/>
    <n v="5"/>
    <s v="No"/>
    <n v="240"/>
    <n v="48"/>
    <s v="No"/>
    <x v="1"/>
    <n v="2026"/>
    <n v="8"/>
    <s v="agosto"/>
    <x v="3"/>
    <s v="Neutral"/>
    <s v="No"/>
    <s v="Yes"/>
    <s v="Resolved"/>
    <n v="1"/>
    <n v="0"/>
    <n v="1"/>
    <n v="0"/>
    <n v="0"/>
    <n v="0"/>
    <n v="0"/>
  </r>
  <r>
    <s v="TKT-00034"/>
    <n v="45.27"/>
    <x v="193"/>
    <d v="2026-01-27T00:07:23"/>
    <x v="0"/>
    <x v="1"/>
    <s v="Email"/>
    <x v="2"/>
    <x v="1"/>
    <x v="1"/>
    <x v="1"/>
    <x v="8"/>
    <n v="417"/>
    <n v="2"/>
    <n v="1"/>
    <n v="6"/>
    <s v="No"/>
    <n v="240"/>
    <n v="48"/>
    <s v="No"/>
    <x v="0"/>
    <n v="2026"/>
    <n v="1"/>
    <s v="janeiro"/>
    <x v="1"/>
    <s v="Dissatisfied"/>
    <s v="Yes"/>
    <s v="Yes"/>
    <s v="Resolved"/>
    <n v="1"/>
    <n v="0"/>
    <n v="1"/>
    <n v="1"/>
    <n v="0"/>
    <n v="0"/>
    <n v="1"/>
  </r>
  <r>
    <s v="TKT-00770"/>
    <n v="25"/>
    <x v="194"/>
    <d v="2026-07-15T05:49:45"/>
    <x v="0"/>
    <x v="3"/>
    <s v="Chat"/>
    <x v="1"/>
    <x v="2"/>
    <x v="1"/>
    <x v="1"/>
    <x v="1"/>
    <n v="143"/>
    <n v="4"/>
    <n v="0"/>
    <n v="7"/>
    <s v="No"/>
    <n v="120"/>
    <n v="24"/>
    <s v="No"/>
    <x v="1"/>
    <n v="2026"/>
    <n v="7"/>
    <s v="julho"/>
    <x v="6"/>
    <s v="Satisfied"/>
    <s v="No"/>
    <s v="Yes"/>
    <s v="Resolved"/>
    <n v="1"/>
    <n v="0"/>
    <n v="1"/>
    <n v="0"/>
    <n v="0"/>
    <n v="0"/>
    <n v="0"/>
  </r>
  <r>
    <s v="TKT-00765"/>
    <n v="17.46"/>
    <x v="195"/>
    <d v="2026-02-24T17:16:34"/>
    <x v="0"/>
    <x v="3"/>
    <s v="Chat"/>
    <x v="3"/>
    <x v="0"/>
    <x v="0"/>
    <x v="1"/>
    <x v="5"/>
    <n v="130"/>
    <n v="4"/>
    <n v="0"/>
    <n v="4"/>
    <s v="No"/>
    <n v="120"/>
    <n v="24"/>
    <s v="No"/>
    <x v="0"/>
    <n v="2026"/>
    <n v="2"/>
    <s v="fevereiro"/>
    <x v="4"/>
    <s v="Satisfied"/>
    <s v="No"/>
    <s v="Yes"/>
    <s v="Resolved"/>
    <n v="1"/>
    <n v="0"/>
    <n v="1"/>
    <n v="0"/>
    <n v="0"/>
    <n v="0"/>
    <n v="1"/>
  </r>
  <r>
    <s v="TKT-00828"/>
    <n v="32.53"/>
    <x v="196"/>
    <d v="2026-02-05T06:53:05"/>
    <x v="0"/>
    <x v="3"/>
    <s v="Web Form"/>
    <x v="3"/>
    <x v="1"/>
    <x v="3"/>
    <x v="3"/>
    <x v="7"/>
    <n v="228"/>
    <m/>
    <n v="0"/>
    <n v="5"/>
    <s v="No"/>
    <n v="120"/>
    <n v="24"/>
    <s v="No"/>
    <x v="1"/>
    <n v="2026"/>
    <n v="2"/>
    <s v="fevereiro"/>
    <x v="4"/>
    <s v="No Response"/>
    <s v="No"/>
    <s v="No"/>
    <s v="Resolved"/>
    <n v="1"/>
    <n v="0"/>
    <n v="1"/>
    <n v="0"/>
    <n v="0"/>
    <n v="0"/>
    <n v="0"/>
  </r>
  <r>
    <s v="TKT-00371"/>
    <n v="18.98"/>
    <x v="197"/>
    <d v="2026-02-15T11:16:34"/>
    <x v="0"/>
    <x v="2"/>
    <s v="Chat"/>
    <x v="1"/>
    <x v="2"/>
    <x v="1"/>
    <x v="1"/>
    <x v="1"/>
    <n v="74"/>
    <n v="4"/>
    <n v="0"/>
    <n v="2"/>
    <s v="No"/>
    <n v="30"/>
    <n v="8"/>
    <s v="No"/>
    <x v="1"/>
    <n v="2026"/>
    <n v="2"/>
    <s v="fevereiro"/>
    <x v="4"/>
    <s v="Satisfied"/>
    <s v="No"/>
    <s v="Yes"/>
    <s v="Resolved"/>
    <n v="1"/>
    <n v="0"/>
    <n v="1"/>
    <n v="0"/>
    <n v="0"/>
    <n v="0"/>
    <n v="0"/>
  </r>
  <r>
    <s v="TKT-00124"/>
    <n v="3.45"/>
    <x v="198"/>
    <d v="2026-01-28T17:54:07"/>
    <x v="0"/>
    <x v="2"/>
    <s v="Chat"/>
    <x v="3"/>
    <x v="1"/>
    <x v="3"/>
    <x v="2"/>
    <x v="6"/>
    <n v="8"/>
    <n v="5"/>
    <n v="0"/>
    <n v="5"/>
    <s v="No"/>
    <n v="30"/>
    <n v="8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712"/>
    <n v="39.69"/>
    <x v="199"/>
    <d v="2026-05-21T17:20:34"/>
    <x v="0"/>
    <x v="3"/>
    <s v="Web Form"/>
    <x v="0"/>
    <x v="1"/>
    <x v="0"/>
    <x v="4"/>
    <x v="1"/>
    <n v="224"/>
    <n v="4"/>
    <n v="0"/>
    <n v="4"/>
    <s v="No"/>
    <n v="120"/>
    <n v="24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640"/>
    <n v="11.32"/>
    <x v="200"/>
    <d v="2026-01-18T03:34:08"/>
    <x v="0"/>
    <x v="3"/>
    <s v="Phone"/>
    <x v="3"/>
    <x v="1"/>
    <x v="3"/>
    <x v="2"/>
    <x v="1"/>
    <n v="106"/>
    <n v="4"/>
    <n v="0"/>
    <n v="5"/>
    <s v="No"/>
    <n v="120"/>
    <n v="2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688"/>
    <n v="12.27"/>
    <x v="201"/>
    <d v="2026-01-16T17:30:00"/>
    <x v="0"/>
    <x v="3"/>
    <s v="Chat"/>
    <x v="3"/>
    <x v="2"/>
    <x v="1"/>
    <x v="0"/>
    <x v="10"/>
    <n v="166"/>
    <n v="4"/>
    <n v="0"/>
    <n v="6"/>
    <s v="No"/>
    <n v="120"/>
    <n v="24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0299"/>
    <n v="15.57"/>
    <x v="202"/>
    <d v="2026-08-27T07:26:03"/>
    <x v="0"/>
    <x v="3"/>
    <s v="Chat"/>
    <x v="1"/>
    <x v="1"/>
    <x v="0"/>
    <x v="2"/>
    <x v="9"/>
    <n v="114"/>
    <n v="4"/>
    <n v="0"/>
    <n v="2"/>
    <s v="No"/>
    <n v="120"/>
    <n v="24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409"/>
    <n v="57.72"/>
    <x v="203"/>
    <d v="2026-08-06T15:37:18"/>
    <x v="0"/>
    <x v="3"/>
    <s v="Web Form"/>
    <x v="0"/>
    <x v="2"/>
    <x v="1"/>
    <x v="1"/>
    <x v="1"/>
    <n v="315"/>
    <n v="3"/>
    <n v="0"/>
    <n v="7"/>
    <s v="No"/>
    <n v="120"/>
    <n v="24"/>
    <s v="No"/>
    <x v="1"/>
    <n v="2026"/>
    <n v="8"/>
    <s v="agosto"/>
    <x v="3"/>
    <s v="Neutral"/>
    <s v="No"/>
    <s v="Yes"/>
    <s v="Resolved"/>
    <n v="1"/>
    <n v="0"/>
    <n v="1"/>
    <n v="0"/>
    <n v="0"/>
    <n v="0"/>
    <n v="0"/>
  </r>
  <r>
    <s v="TKT-01169"/>
    <n v="42.61"/>
    <x v="204"/>
    <d v="2026-07-27T23:52:38"/>
    <x v="0"/>
    <x v="3"/>
    <s v="Email"/>
    <x v="3"/>
    <x v="1"/>
    <x v="3"/>
    <x v="1"/>
    <x v="9"/>
    <n v="73"/>
    <n v="3"/>
    <n v="0"/>
    <n v="11"/>
    <s v="Yes"/>
    <n v="120"/>
    <n v="24"/>
    <s v="Yes"/>
    <x v="1"/>
    <n v="2026"/>
    <n v="7"/>
    <s v="julho"/>
    <x v="6"/>
    <s v="Neutral"/>
    <s v="No"/>
    <s v="Yes"/>
    <s v="Resolved"/>
    <n v="1"/>
    <n v="0"/>
    <n v="1"/>
    <n v="0"/>
    <n v="1"/>
    <n v="1"/>
    <n v="0"/>
  </r>
  <r>
    <s v="TKT-00595"/>
    <n v="4.58"/>
    <x v="205"/>
    <d v="2026-06-11T17:23:39"/>
    <x v="0"/>
    <x v="0"/>
    <s v="Email"/>
    <x v="0"/>
    <x v="0"/>
    <x v="1"/>
    <x v="5"/>
    <x v="6"/>
    <n v="25"/>
    <n v="4"/>
    <n v="1"/>
    <n v="8"/>
    <s v="No"/>
    <n v="15"/>
    <n v="4"/>
    <s v="No"/>
    <x v="1"/>
    <n v="2026"/>
    <n v="6"/>
    <s v="junho"/>
    <x v="5"/>
    <s v="Satisfied"/>
    <s v="Yes"/>
    <s v="Yes"/>
    <s v="Resolved"/>
    <n v="1"/>
    <n v="0"/>
    <n v="1"/>
    <n v="1"/>
    <n v="0"/>
    <n v="0"/>
    <n v="0"/>
  </r>
  <r>
    <s v="TKT-01096"/>
    <n v="24.88"/>
    <x v="206"/>
    <d v="2026-08-23T03:42:00"/>
    <x v="0"/>
    <x v="3"/>
    <s v="Email"/>
    <x v="2"/>
    <x v="1"/>
    <x v="3"/>
    <x v="5"/>
    <x v="1"/>
    <n v="173"/>
    <n v="4"/>
    <n v="0"/>
    <n v="5"/>
    <s v="No"/>
    <n v="120"/>
    <n v="24"/>
    <s v="No"/>
    <x v="1"/>
    <n v="2026"/>
    <n v="8"/>
    <s v="agosto"/>
    <x v="3"/>
    <s v="Satisfied"/>
    <s v="No"/>
    <s v="Yes"/>
    <s v="Resolved"/>
    <n v="1"/>
    <n v="0"/>
    <n v="1"/>
    <n v="0"/>
    <n v="0"/>
    <n v="0"/>
    <n v="0"/>
  </r>
  <r>
    <s v="TKT-00650"/>
    <n v="34.1"/>
    <x v="207"/>
    <d v="2026-07-30T18:33:11"/>
    <x v="0"/>
    <x v="3"/>
    <s v="Chat"/>
    <x v="1"/>
    <x v="0"/>
    <x v="1"/>
    <x v="3"/>
    <x v="8"/>
    <n v="72"/>
    <n v="4"/>
    <n v="1"/>
    <n v="7"/>
    <s v="No"/>
    <n v="120"/>
    <n v="24"/>
    <s v="Yes"/>
    <x v="1"/>
    <n v="2026"/>
    <n v="7"/>
    <s v="julho"/>
    <x v="6"/>
    <s v="Satisfied"/>
    <s v="Yes"/>
    <s v="Yes"/>
    <s v="Resolved"/>
    <n v="1"/>
    <n v="0"/>
    <n v="1"/>
    <n v="1"/>
    <n v="0"/>
    <n v="1"/>
    <n v="0"/>
  </r>
  <r>
    <s v="TKT-00481"/>
    <n v="39.69"/>
    <x v="208"/>
    <d v="2026-08-13T09:51:14"/>
    <x v="0"/>
    <x v="3"/>
    <s v="Phone"/>
    <x v="4"/>
    <x v="1"/>
    <x v="0"/>
    <x v="1"/>
    <x v="1"/>
    <n v="105"/>
    <n v="4"/>
    <n v="0"/>
    <n v="3"/>
    <s v="No"/>
    <n v="120"/>
    <n v="24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557"/>
    <n v="10.95"/>
    <x v="209"/>
    <d v="2026-04-26T15:17:49"/>
    <x v="0"/>
    <x v="3"/>
    <s v="Chat"/>
    <x v="0"/>
    <x v="1"/>
    <x v="3"/>
    <x v="0"/>
    <x v="9"/>
    <n v="110"/>
    <n v="4"/>
    <n v="0"/>
    <n v="4"/>
    <s v="No"/>
    <n v="120"/>
    <n v="24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1045"/>
    <n v="44.05"/>
    <x v="210"/>
    <d v="2026-04-09T06:39:06"/>
    <x v="0"/>
    <x v="1"/>
    <s v="Email"/>
    <x v="1"/>
    <x v="0"/>
    <x v="0"/>
    <x v="3"/>
    <x v="2"/>
    <n v="147"/>
    <n v="3"/>
    <n v="0"/>
    <n v="5"/>
    <s v="No"/>
    <n v="240"/>
    <n v="48"/>
    <s v="Yes"/>
    <x v="0"/>
    <n v="2026"/>
    <n v="4"/>
    <s v="abril"/>
    <x v="0"/>
    <s v="Neutral"/>
    <s v="No"/>
    <s v="Yes"/>
    <s v="Resolved"/>
    <n v="1"/>
    <n v="0"/>
    <n v="1"/>
    <n v="0"/>
    <n v="0"/>
    <n v="1"/>
    <n v="1"/>
  </r>
  <r>
    <s v="TKT-01015"/>
    <n v="20.54"/>
    <x v="211"/>
    <d v="2026-06-27T22:17:34"/>
    <x v="0"/>
    <x v="1"/>
    <s v="Chat"/>
    <x v="2"/>
    <x v="2"/>
    <x v="3"/>
    <x v="0"/>
    <x v="0"/>
    <n v="313"/>
    <n v="3"/>
    <n v="0"/>
    <n v="2"/>
    <s v="No"/>
    <n v="240"/>
    <n v="48"/>
    <s v="No"/>
    <x v="0"/>
    <n v="2026"/>
    <n v="6"/>
    <s v="junho"/>
    <x v="5"/>
    <s v="Neutral"/>
    <s v="No"/>
    <s v="Yes"/>
    <s v="Resolved"/>
    <n v="1"/>
    <n v="0"/>
    <n v="1"/>
    <n v="0"/>
    <n v="0"/>
    <n v="0"/>
    <n v="1"/>
  </r>
  <r>
    <s v="TKT-00269"/>
    <n v="53.14"/>
    <x v="212"/>
    <d v="2026-08-04T17:03:11"/>
    <x v="0"/>
    <x v="1"/>
    <s v="Web Form"/>
    <x v="0"/>
    <x v="2"/>
    <x v="1"/>
    <x v="1"/>
    <x v="8"/>
    <n v="229"/>
    <n v="3"/>
    <n v="0"/>
    <n v="3"/>
    <s v="No"/>
    <n v="240"/>
    <n v="48"/>
    <s v="Yes"/>
    <x v="1"/>
    <n v="2026"/>
    <n v="8"/>
    <s v="agosto"/>
    <x v="3"/>
    <s v="Neutral"/>
    <s v="No"/>
    <s v="Yes"/>
    <s v="Resolved"/>
    <n v="1"/>
    <n v="0"/>
    <n v="1"/>
    <n v="0"/>
    <n v="0"/>
    <n v="1"/>
    <n v="0"/>
  </r>
  <r>
    <s v="TKT-01146"/>
    <n v="24.27"/>
    <x v="213"/>
    <d v="2026-03-05T13:10:15"/>
    <x v="0"/>
    <x v="3"/>
    <s v="Chat"/>
    <x v="0"/>
    <x v="1"/>
    <x v="1"/>
    <x v="3"/>
    <x v="6"/>
    <n v="62"/>
    <n v="4"/>
    <n v="1"/>
    <n v="11"/>
    <s v="No"/>
    <n v="120"/>
    <n v="24"/>
    <s v="Yes"/>
    <x v="1"/>
    <n v="2026"/>
    <n v="3"/>
    <s v="março"/>
    <x v="7"/>
    <s v="Satisfied"/>
    <s v="Yes"/>
    <s v="Yes"/>
    <s v="Resolved"/>
    <n v="1"/>
    <n v="0"/>
    <n v="1"/>
    <n v="1"/>
    <n v="0"/>
    <n v="1"/>
    <n v="0"/>
  </r>
  <r>
    <s v="TKT-00902"/>
    <n v="21.65"/>
    <x v="214"/>
    <d v="2026-04-29T20:20:18"/>
    <x v="0"/>
    <x v="2"/>
    <s v="Email"/>
    <x v="3"/>
    <x v="2"/>
    <x v="0"/>
    <x v="4"/>
    <x v="2"/>
    <n v="17"/>
    <n v="4"/>
    <n v="0"/>
    <n v="5"/>
    <s v="No"/>
    <n v="30"/>
    <n v="8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791"/>
    <n v="26.77"/>
    <x v="215"/>
    <d v="2026-02-13T08:34:18"/>
    <x v="0"/>
    <x v="3"/>
    <s v="Phone"/>
    <x v="4"/>
    <x v="2"/>
    <x v="1"/>
    <x v="3"/>
    <x v="6"/>
    <n v="136"/>
    <n v="4"/>
    <n v="0"/>
    <n v="7"/>
    <s v="No"/>
    <n v="120"/>
    <n v="24"/>
    <s v="No"/>
    <x v="1"/>
    <n v="2026"/>
    <n v="2"/>
    <s v="fevereiro"/>
    <x v="4"/>
    <s v="Satisfied"/>
    <s v="No"/>
    <s v="Yes"/>
    <s v="Resolved"/>
    <n v="1"/>
    <n v="0"/>
    <n v="1"/>
    <n v="0"/>
    <n v="0"/>
    <n v="0"/>
    <n v="0"/>
  </r>
  <r>
    <s v="TKT-00114"/>
    <n v="28.52"/>
    <x v="216"/>
    <d v="2026-01-27T02:54:16"/>
    <x v="0"/>
    <x v="1"/>
    <s v="Email"/>
    <x v="4"/>
    <x v="1"/>
    <x v="0"/>
    <x v="0"/>
    <x v="2"/>
    <n v="191"/>
    <n v="3"/>
    <n v="0"/>
    <n v="11"/>
    <s v="Yes"/>
    <n v="240"/>
    <n v="48"/>
    <s v="Yes"/>
    <x v="0"/>
    <n v="2026"/>
    <n v="1"/>
    <s v="janeiro"/>
    <x v="1"/>
    <s v="Neutral"/>
    <s v="No"/>
    <s v="Yes"/>
    <s v="Resolved"/>
    <n v="1"/>
    <n v="0"/>
    <n v="1"/>
    <n v="0"/>
    <n v="1"/>
    <n v="1"/>
    <n v="1"/>
  </r>
  <r>
    <s v="TKT-00906"/>
    <n v="18.68"/>
    <x v="217"/>
    <d v="2026-07-23T11:19:31"/>
    <x v="0"/>
    <x v="3"/>
    <s v="Phone"/>
    <x v="1"/>
    <x v="0"/>
    <x v="1"/>
    <x v="0"/>
    <x v="8"/>
    <n v="110"/>
    <n v="4"/>
    <n v="0"/>
    <n v="2"/>
    <s v="No"/>
    <n v="120"/>
    <n v="24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822"/>
    <n v="8.99"/>
    <x v="218"/>
    <d v="2026-05-09T11:34:32"/>
    <x v="0"/>
    <x v="2"/>
    <s v="Chat"/>
    <x v="2"/>
    <x v="1"/>
    <x v="1"/>
    <x v="2"/>
    <x v="7"/>
    <n v="47"/>
    <n v="4"/>
    <n v="0"/>
    <n v="2"/>
    <s v="No"/>
    <n v="30"/>
    <n v="8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492"/>
    <n v="54.41"/>
    <x v="219"/>
    <d v="2026-05-05T11:42:45"/>
    <x v="0"/>
    <x v="3"/>
    <s v="Chat"/>
    <x v="0"/>
    <x v="1"/>
    <x v="0"/>
    <x v="3"/>
    <x v="9"/>
    <n v="116"/>
    <n v="3"/>
    <n v="0"/>
    <n v="5"/>
    <s v="No"/>
    <n v="120"/>
    <n v="24"/>
    <s v="Yes"/>
    <x v="1"/>
    <n v="2026"/>
    <n v="5"/>
    <s v="maio"/>
    <x v="2"/>
    <s v="Neutral"/>
    <s v="No"/>
    <s v="Yes"/>
    <s v="Resolved"/>
    <n v="1"/>
    <n v="0"/>
    <n v="1"/>
    <n v="0"/>
    <n v="0"/>
    <n v="1"/>
    <n v="0"/>
  </r>
  <r>
    <s v="TKT-00870"/>
    <n v="12.4"/>
    <x v="220"/>
    <d v="2026-02-07T14:23:47"/>
    <x v="0"/>
    <x v="3"/>
    <s v="Chat"/>
    <x v="2"/>
    <x v="2"/>
    <x v="2"/>
    <x v="0"/>
    <x v="3"/>
    <n v="77"/>
    <n v="4"/>
    <n v="0"/>
    <n v="7"/>
    <s v="No"/>
    <n v="120"/>
    <n v="24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800"/>
    <n v="54.97"/>
    <x v="221"/>
    <d v="2026-03-18T03:14:30"/>
    <x v="0"/>
    <x v="1"/>
    <s v="Phone"/>
    <x v="0"/>
    <x v="2"/>
    <x v="2"/>
    <x v="1"/>
    <x v="5"/>
    <n v="126"/>
    <n v="4"/>
    <n v="0"/>
    <n v="2"/>
    <s v="No"/>
    <n v="240"/>
    <n v="48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913"/>
    <n v="31.91"/>
    <x v="222"/>
    <d v="2026-08-19T13:07:24"/>
    <x v="0"/>
    <x v="3"/>
    <s v="Email"/>
    <x v="0"/>
    <x v="2"/>
    <x v="0"/>
    <x v="3"/>
    <x v="3"/>
    <n v="109"/>
    <n v="4"/>
    <n v="0"/>
    <n v="7"/>
    <s v="No"/>
    <n v="120"/>
    <n v="24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199"/>
    <n v="108.46"/>
    <x v="223"/>
    <d v="2026-08-17T15:16:24"/>
    <x v="0"/>
    <x v="1"/>
    <s v="Phone"/>
    <x v="0"/>
    <x v="2"/>
    <x v="1"/>
    <x v="4"/>
    <x v="1"/>
    <n v="106"/>
    <n v="4"/>
    <n v="0"/>
    <n v="3"/>
    <s v="No"/>
    <n v="240"/>
    <n v="48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814"/>
    <n v="8.81"/>
    <x v="224"/>
    <d v="2026-02-03T17:40:26"/>
    <x v="0"/>
    <x v="2"/>
    <s v="Email"/>
    <x v="0"/>
    <x v="1"/>
    <x v="3"/>
    <x v="1"/>
    <x v="3"/>
    <n v="16"/>
    <n v="5"/>
    <n v="0"/>
    <n v="6"/>
    <s v="No"/>
    <n v="30"/>
    <n v="8"/>
    <s v="Yes"/>
    <x v="1"/>
    <n v="2026"/>
    <n v="2"/>
    <s v="fevereiro"/>
    <x v="4"/>
    <s v="Satisfied"/>
    <s v="No"/>
    <s v="Yes"/>
    <s v="Resolved"/>
    <n v="1"/>
    <n v="0"/>
    <n v="1"/>
    <n v="0"/>
    <n v="0"/>
    <n v="1"/>
    <n v="0"/>
  </r>
  <r>
    <s v="TKT-00045"/>
    <n v="29.21"/>
    <x v="225"/>
    <d v="2026-08-19T17:56:22"/>
    <x v="0"/>
    <x v="3"/>
    <s v="Email"/>
    <x v="1"/>
    <x v="1"/>
    <x v="1"/>
    <x v="1"/>
    <x v="3"/>
    <n v="179"/>
    <n v="4"/>
    <n v="0"/>
    <n v="7"/>
    <s v="No"/>
    <n v="120"/>
    <n v="24"/>
    <s v="No"/>
    <x v="1"/>
    <n v="2026"/>
    <n v="8"/>
    <s v="agosto"/>
    <x v="3"/>
    <s v="Satisfied"/>
    <s v="No"/>
    <s v="Yes"/>
    <s v="Resolved"/>
    <n v="1"/>
    <n v="0"/>
    <n v="1"/>
    <n v="0"/>
    <n v="0"/>
    <n v="0"/>
    <n v="0"/>
  </r>
  <r>
    <s v="TKT-01125"/>
    <n v="18.600000000000001"/>
    <x v="226"/>
    <d v="2026-02-12T22:43:42"/>
    <x v="0"/>
    <x v="1"/>
    <s v="Web Form"/>
    <x v="0"/>
    <x v="2"/>
    <x v="3"/>
    <x v="2"/>
    <x v="1"/>
    <n v="359"/>
    <n v="3"/>
    <n v="0"/>
    <n v="3"/>
    <s v="No"/>
    <n v="240"/>
    <n v="48"/>
    <s v="No"/>
    <x v="0"/>
    <n v="2026"/>
    <n v="2"/>
    <s v="fevereiro"/>
    <x v="4"/>
    <s v="Neutral"/>
    <s v="No"/>
    <s v="Yes"/>
    <s v="Resolved"/>
    <n v="1"/>
    <n v="0"/>
    <n v="1"/>
    <n v="0"/>
    <n v="0"/>
    <n v="0"/>
    <n v="1"/>
  </r>
  <r>
    <s v="TKT-00805"/>
    <n v="17.59"/>
    <x v="227"/>
    <d v="2026-07-28T04:01:14"/>
    <x v="0"/>
    <x v="2"/>
    <s v="Chat"/>
    <x v="0"/>
    <x v="1"/>
    <x v="0"/>
    <x v="5"/>
    <x v="8"/>
    <n v="28"/>
    <n v="4"/>
    <n v="0"/>
    <n v="6"/>
    <s v="No"/>
    <n v="30"/>
    <n v="8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0242"/>
    <n v="95.51"/>
    <x v="228"/>
    <d v="2026-06-12T20:42:43"/>
    <x v="0"/>
    <x v="1"/>
    <s v="Email"/>
    <x v="0"/>
    <x v="1"/>
    <x v="2"/>
    <x v="5"/>
    <x v="2"/>
    <n v="516"/>
    <n v="3"/>
    <n v="0"/>
    <n v="2"/>
    <s v="No"/>
    <n v="240"/>
    <n v="48"/>
    <s v="No"/>
    <x v="1"/>
    <n v="2026"/>
    <n v="6"/>
    <s v="junho"/>
    <x v="5"/>
    <s v="Neutral"/>
    <s v="No"/>
    <s v="Yes"/>
    <s v="Resolved"/>
    <n v="1"/>
    <n v="0"/>
    <n v="1"/>
    <n v="0"/>
    <n v="0"/>
    <n v="0"/>
    <n v="0"/>
  </r>
  <r>
    <s v="TKT-00582"/>
    <n v="44.93"/>
    <x v="229"/>
    <d v="2026-02-02T18:32:59"/>
    <x v="0"/>
    <x v="3"/>
    <s v="Phone"/>
    <x v="1"/>
    <x v="1"/>
    <x v="2"/>
    <x v="3"/>
    <x v="1"/>
    <n v="115"/>
    <n v="4"/>
    <n v="0"/>
    <n v="7"/>
    <s v="No"/>
    <n v="120"/>
    <n v="24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335"/>
    <n v="6.92"/>
    <x v="230"/>
    <d v="2026-08-30T22:56:03"/>
    <x v="0"/>
    <x v="2"/>
    <s v="Phone"/>
    <x v="4"/>
    <x v="1"/>
    <x v="2"/>
    <x v="0"/>
    <x v="3"/>
    <n v="25"/>
    <n v="4"/>
    <n v="1"/>
    <n v="8"/>
    <s v="No"/>
    <n v="30"/>
    <n v="8"/>
    <s v="Yes"/>
    <x v="0"/>
    <n v="2026"/>
    <n v="8"/>
    <s v="agosto"/>
    <x v="3"/>
    <s v="Satisfied"/>
    <s v="Yes"/>
    <s v="Yes"/>
    <s v="Resolved"/>
    <n v="1"/>
    <n v="0"/>
    <n v="1"/>
    <n v="1"/>
    <n v="0"/>
    <n v="1"/>
    <n v="1"/>
  </r>
  <r>
    <s v="TKT-00460"/>
    <n v="20.18"/>
    <x v="231"/>
    <d v="2026-08-28T14:38:45"/>
    <x v="0"/>
    <x v="3"/>
    <s v="Email"/>
    <x v="4"/>
    <x v="2"/>
    <x v="1"/>
    <x v="4"/>
    <x v="3"/>
    <n v="219"/>
    <n v="4"/>
    <n v="0"/>
    <n v="2"/>
    <s v="No"/>
    <n v="120"/>
    <n v="24"/>
    <s v="No"/>
    <x v="0"/>
    <n v="2026"/>
    <n v="8"/>
    <s v="agosto"/>
    <x v="3"/>
    <s v="Satisfied"/>
    <s v="No"/>
    <s v="Yes"/>
    <s v="Resolved"/>
    <n v="1"/>
    <n v="0"/>
    <n v="1"/>
    <n v="0"/>
    <n v="0"/>
    <n v="0"/>
    <n v="1"/>
  </r>
  <r>
    <s v="TKT-01166"/>
    <n v="8.34"/>
    <x v="232"/>
    <d v="2026-01-25T14:09:33"/>
    <x v="0"/>
    <x v="2"/>
    <s v="Email"/>
    <x v="0"/>
    <x v="1"/>
    <x v="2"/>
    <x v="2"/>
    <x v="7"/>
    <n v="29"/>
    <n v="4"/>
    <n v="0"/>
    <n v="5"/>
    <s v="No"/>
    <n v="30"/>
    <n v="8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780"/>
    <m/>
    <x v="233"/>
    <m/>
    <x v="2"/>
    <x v="2"/>
    <s v="Web Form"/>
    <x v="0"/>
    <x v="2"/>
    <x v="2"/>
    <x v="3"/>
    <x v="3"/>
    <n v="40"/>
    <m/>
    <n v="0"/>
    <n v="2"/>
    <s v="No"/>
    <n v="30"/>
    <n v="8"/>
    <s v="No"/>
    <x v="2"/>
    <n v="2026"/>
    <n v="2"/>
    <s v="fevereiro"/>
    <x v="4"/>
    <s v="No Response"/>
    <s v="No"/>
    <s v="No"/>
    <s v="Pending"/>
    <n v="1"/>
    <n v="1"/>
    <n v="0"/>
    <n v="0"/>
    <n v="0"/>
    <n v="0"/>
    <m/>
  </r>
  <r>
    <s v="TKT-01070"/>
    <n v="26.65"/>
    <x v="234"/>
    <d v="2026-04-10T17:26:09"/>
    <x v="0"/>
    <x v="3"/>
    <s v="Web Form"/>
    <x v="0"/>
    <x v="0"/>
    <x v="2"/>
    <x v="4"/>
    <x v="5"/>
    <n v="173"/>
    <n v="4"/>
    <n v="0"/>
    <n v="6"/>
    <s v="No"/>
    <n v="120"/>
    <n v="24"/>
    <s v="No"/>
    <x v="1"/>
    <n v="2026"/>
    <n v="4"/>
    <s v="abril"/>
    <x v="0"/>
    <s v="Satisfied"/>
    <s v="No"/>
    <s v="Yes"/>
    <s v="Resolved"/>
    <n v="1"/>
    <n v="0"/>
    <n v="1"/>
    <n v="0"/>
    <n v="0"/>
    <n v="0"/>
    <n v="0"/>
  </r>
  <r>
    <s v="TKT-00196"/>
    <n v="15.51"/>
    <x v="235"/>
    <d v="2026-03-07T16:22:34"/>
    <x v="0"/>
    <x v="2"/>
    <s v="Chat"/>
    <x v="0"/>
    <x v="0"/>
    <x v="0"/>
    <x v="1"/>
    <x v="10"/>
    <n v="41"/>
    <n v="4"/>
    <n v="0"/>
    <n v="7"/>
    <s v="No"/>
    <n v="30"/>
    <n v="8"/>
    <s v="No"/>
    <x v="1"/>
    <n v="2026"/>
    <n v="3"/>
    <s v="março"/>
    <x v="7"/>
    <s v="Satisfied"/>
    <s v="No"/>
    <s v="Yes"/>
    <s v="Resolved"/>
    <n v="1"/>
    <n v="0"/>
    <n v="1"/>
    <n v="0"/>
    <n v="0"/>
    <n v="0"/>
    <n v="0"/>
  </r>
  <r>
    <s v="TKT-00104"/>
    <n v="11.95"/>
    <x v="236"/>
    <d v="2026-05-05T12:00:58"/>
    <x v="0"/>
    <x v="2"/>
    <s v="Phone"/>
    <x v="0"/>
    <x v="1"/>
    <x v="3"/>
    <x v="1"/>
    <x v="3"/>
    <n v="38"/>
    <n v="4"/>
    <n v="0"/>
    <n v="5"/>
    <s v="No"/>
    <n v="30"/>
    <n v="8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227"/>
    <n v="26.43"/>
    <x v="237"/>
    <d v="2026-04-26T12:31:32"/>
    <x v="0"/>
    <x v="3"/>
    <s v="Email"/>
    <x v="3"/>
    <x v="1"/>
    <x v="2"/>
    <x v="1"/>
    <x v="5"/>
    <n v="123"/>
    <n v="4"/>
    <n v="1"/>
    <n v="10"/>
    <s v="No"/>
    <n v="120"/>
    <n v="24"/>
    <s v="No"/>
    <x v="1"/>
    <n v="2026"/>
    <n v="4"/>
    <s v="abril"/>
    <x v="0"/>
    <s v="Satisfied"/>
    <s v="Yes"/>
    <s v="Yes"/>
    <s v="Resolved"/>
    <n v="1"/>
    <n v="0"/>
    <n v="1"/>
    <n v="1"/>
    <n v="0"/>
    <n v="0"/>
    <n v="0"/>
  </r>
  <r>
    <s v="TKT-00872"/>
    <n v="56.5"/>
    <x v="238"/>
    <d v="2026-07-30T15:47:54"/>
    <x v="0"/>
    <x v="1"/>
    <s v="Phone"/>
    <x v="4"/>
    <x v="2"/>
    <x v="3"/>
    <x v="3"/>
    <x v="9"/>
    <n v="167"/>
    <n v="3"/>
    <n v="0"/>
    <n v="3"/>
    <s v="No"/>
    <n v="240"/>
    <n v="48"/>
    <s v="Yes"/>
    <x v="1"/>
    <n v="2026"/>
    <n v="7"/>
    <s v="julho"/>
    <x v="6"/>
    <s v="Neutral"/>
    <s v="No"/>
    <s v="Yes"/>
    <s v="Resolved"/>
    <n v="1"/>
    <n v="0"/>
    <n v="1"/>
    <n v="0"/>
    <n v="0"/>
    <n v="1"/>
    <n v="0"/>
  </r>
  <r>
    <s v="TKT-00229"/>
    <n v="36.369999999999997"/>
    <x v="239"/>
    <d v="2026-05-23T23:32:59"/>
    <x v="0"/>
    <x v="1"/>
    <s v="Web Form"/>
    <x v="2"/>
    <x v="2"/>
    <x v="2"/>
    <x v="2"/>
    <x v="7"/>
    <n v="251"/>
    <n v="4"/>
    <n v="0"/>
    <n v="3"/>
    <s v="No"/>
    <n v="240"/>
    <n v="48"/>
    <s v="No"/>
    <x v="0"/>
    <n v="2026"/>
    <n v="5"/>
    <s v="maio"/>
    <x v="2"/>
    <s v="Satisfied"/>
    <s v="No"/>
    <s v="Yes"/>
    <s v="Resolved"/>
    <n v="1"/>
    <n v="0"/>
    <n v="1"/>
    <n v="0"/>
    <n v="0"/>
    <n v="0"/>
    <n v="1"/>
  </r>
  <r>
    <s v="TKT-00794"/>
    <n v="25"/>
    <x v="240"/>
    <d v="2026-03-05T17:00:05"/>
    <x v="0"/>
    <x v="3"/>
    <s v="Chat"/>
    <x v="1"/>
    <x v="1"/>
    <x v="3"/>
    <x v="1"/>
    <x v="7"/>
    <n v="61"/>
    <n v="4"/>
    <n v="0"/>
    <n v="2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247"/>
    <n v="17.54"/>
    <x v="241"/>
    <d v="2026-04-02T05:10:34"/>
    <x v="0"/>
    <x v="1"/>
    <s v="Chat"/>
    <x v="1"/>
    <x v="2"/>
    <x v="3"/>
    <x v="0"/>
    <x v="5"/>
    <n v="449"/>
    <n v="3"/>
    <n v="1"/>
    <n v="4"/>
    <s v="No"/>
    <n v="240"/>
    <n v="48"/>
    <s v="No"/>
    <x v="0"/>
    <n v="2026"/>
    <n v="4"/>
    <s v="abril"/>
    <x v="0"/>
    <s v="Neutral"/>
    <s v="Yes"/>
    <s v="Yes"/>
    <s v="Resolved"/>
    <n v="1"/>
    <n v="0"/>
    <n v="1"/>
    <n v="1"/>
    <n v="0"/>
    <n v="0"/>
    <n v="1"/>
  </r>
  <r>
    <s v="TKT-00572"/>
    <n v="19.36"/>
    <x v="242"/>
    <d v="2026-07-26T07:26:52"/>
    <x v="0"/>
    <x v="2"/>
    <s v="Web Form"/>
    <x v="0"/>
    <x v="2"/>
    <x v="1"/>
    <x v="3"/>
    <x v="6"/>
    <n v="58"/>
    <n v="4"/>
    <n v="1"/>
    <n v="7"/>
    <s v="No"/>
    <n v="30"/>
    <n v="8"/>
    <s v="No"/>
    <x v="1"/>
    <n v="2026"/>
    <n v="7"/>
    <s v="julho"/>
    <x v="6"/>
    <s v="Satisfied"/>
    <s v="Yes"/>
    <s v="Yes"/>
    <s v="Resolved"/>
    <n v="1"/>
    <n v="0"/>
    <n v="1"/>
    <n v="1"/>
    <n v="0"/>
    <n v="0"/>
    <n v="0"/>
  </r>
  <r>
    <s v="TKT-00817"/>
    <n v="48.18"/>
    <x v="243"/>
    <d v="2026-01-07T13:04:00"/>
    <x v="0"/>
    <x v="1"/>
    <s v="Chat"/>
    <x v="2"/>
    <x v="1"/>
    <x v="1"/>
    <x v="4"/>
    <x v="7"/>
    <n v="231"/>
    <n v="3"/>
    <n v="0"/>
    <n v="5"/>
    <s v="No"/>
    <n v="240"/>
    <n v="48"/>
    <s v="Yes"/>
    <x v="1"/>
    <n v="2026"/>
    <n v="1"/>
    <s v="janeiro"/>
    <x v="1"/>
    <s v="Neutral"/>
    <s v="No"/>
    <s v="Yes"/>
    <s v="Resolved"/>
    <n v="1"/>
    <n v="0"/>
    <n v="1"/>
    <n v="0"/>
    <n v="0"/>
    <n v="1"/>
    <n v="0"/>
  </r>
  <r>
    <s v="TKT-00295"/>
    <n v="12.96"/>
    <x v="244"/>
    <d v="2026-07-01T01:37:42"/>
    <x v="0"/>
    <x v="2"/>
    <s v="Chat"/>
    <x v="1"/>
    <x v="0"/>
    <x v="1"/>
    <x v="5"/>
    <x v="1"/>
    <n v="49"/>
    <n v="5"/>
    <n v="0"/>
    <n v="6"/>
    <s v="No"/>
    <n v="30"/>
    <n v="8"/>
    <s v="No"/>
    <x v="1"/>
    <n v="2026"/>
    <n v="6"/>
    <s v="junho"/>
    <x v="5"/>
    <s v="Satisfied"/>
    <s v="No"/>
    <s v="Yes"/>
    <s v="Resolved"/>
    <n v="1"/>
    <n v="0"/>
    <n v="1"/>
    <n v="0"/>
    <n v="0"/>
    <n v="0"/>
    <n v="0"/>
  </r>
  <r>
    <s v="TKT-00837"/>
    <n v="29.69"/>
    <x v="245"/>
    <d v="2026-05-30T23:02:18"/>
    <x v="0"/>
    <x v="1"/>
    <s v="Email"/>
    <x v="0"/>
    <x v="2"/>
    <x v="3"/>
    <x v="1"/>
    <x v="8"/>
    <n v="229"/>
    <n v="4"/>
    <n v="0"/>
    <n v="6"/>
    <s v="No"/>
    <n v="240"/>
    <n v="48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0026"/>
    <n v="65.78"/>
    <x v="246"/>
    <d v="2026-07-04T00:03:01"/>
    <x v="0"/>
    <x v="1"/>
    <s v="Email"/>
    <x v="0"/>
    <x v="2"/>
    <x v="3"/>
    <x v="1"/>
    <x v="0"/>
    <n v="123"/>
    <n v="3"/>
    <n v="0"/>
    <n v="3"/>
    <s v="No"/>
    <n v="240"/>
    <n v="48"/>
    <s v="Yes"/>
    <x v="1"/>
    <n v="2026"/>
    <n v="7"/>
    <s v="julho"/>
    <x v="6"/>
    <s v="Neutral"/>
    <s v="No"/>
    <s v="Yes"/>
    <s v="Resolved"/>
    <n v="1"/>
    <n v="0"/>
    <n v="1"/>
    <n v="0"/>
    <n v="0"/>
    <n v="1"/>
    <n v="0"/>
  </r>
  <r>
    <s v="TKT-00823"/>
    <n v="9.1999999999999993"/>
    <x v="247"/>
    <d v="2026-06-05T05:31:51"/>
    <x v="0"/>
    <x v="2"/>
    <s v="Email"/>
    <x v="1"/>
    <x v="0"/>
    <x v="0"/>
    <x v="1"/>
    <x v="1"/>
    <n v="23"/>
    <n v="4"/>
    <n v="1"/>
    <n v="5"/>
    <s v="No"/>
    <n v="30"/>
    <n v="8"/>
    <s v="Yes"/>
    <x v="1"/>
    <n v="2026"/>
    <n v="6"/>
    <s v="junho"/>
    <x v="5"/>
    <s v="Satisfied"/>
    <s v="Yes"/>
    <s v="Yes"/>
    <s v="Resolved"/>
    <n v="1"/>
    <n v="0"/>
    <n v="1"/>
    <n v="1"/>
    <n v="0"/>
    <n v="1"/>
    <n v="0"/>
  </r>
  <r>
    <s v="TKT-00576"/>
    <n v="28.41"/>
    <x v="248"/>
    <d v="2026-01-07T09:47:21"/>
    <x v="0"/>
    <x v="2"/>
    <s v="Email"/>
    <x v="2"/>
    <x v="2"/>
    <x v="3"/>
    <x v="4"/>
    <x v="2"/>
    <n v="33"/>
    <n v="4"/>
    <n v="0"/>
    <n v="9"/>
    <s v="Yes"/>
    <n v="30"/>
    <n v="8"/>
    <s v="No"/>
    <x v="1"/>
    <n v="2026"/>
    <n v="1"/>
    <s v="janeiro"/>
    <x v="1"/>
    <s v="Satisfied"/>
    <s v="No"/>
    <s v="Yes"/>
    <s v="Resolved"/>
    <n v="1"/>
    <n v="0"/>
    <n v="1"/>
    <n v="0"/>
    <n v="1"/>
    <n v="0"/>
    <n v="0"/>
  </r>
  <r>
    <s v="TKT-00425"/>
    <n v="93.88"/>
    <x v="249"/>
    <d v="2026-08-02T07:21:43"/>
    <x v="0"/>
    <x v="1"/>
    <s v="Phone"/>
    <x v="2"/>
    <x v="2"/>
    <x v="3"/>
    <x v="3"/>
    <x v="0"/>
    <n v="209"/>
    <n v="2"/>
    <n v="2"/>
    <n v="11"/>
    <s v="No"/>
    <n v="240"/>
    <n v="48"/>
    <s v="Yes"/>
    <x v="1"/>
    <n v="2026"/>
    <n v="7"/>
    <s v="julho"/>
    <x v="6"/>
    <s v="Dissatisfied"/>
    <s v="Yes"/>
    <s v="Yes"/>
    <s v="Resolved"/>
    <n v="1"/>
    <n v="0"/>
    <n v="1"/>
    <n v="1"/>
    <n v="0"/>
    <n v="1"/>
    <n v="0"/>
  </r>
  <r>
    <s v="TKT-00627"/>
    <n v="37.78"/>
    <x v="250"/>
    <d v="2026-04-12T23:41:50"/>
    <x v="0"/>
    <x v="1"/>
    <s v="Email"/>
    <x v="1"/>
    <x v="1"/>
    <x v="3"/>
    <x v="1"/>
    <x v="0"/>
    <n v="81"/>
    <n v="4"/>
    <n v="0"/>
    <n v="5"/>
    <s v="No"/>
    <n v="240"/>
    <n v="48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266"/>
    <n v="67.91"/>
    <x v="251"/>
    <d v="2026-08-24T07:14:44"/>
    <x v="0"/>
    <x v="3"/>
    <s v="Email"/>
    <x v="4"/>
    <x v="1"/>
    <x v="2"/>
    <x v="3"/>
    <x v="6"/>
    <n v="148"/>
    <n v="3"/>
    <n v="0"/>
    <n v="5"/>
    <s v="No"/>
    <n v="120"/>
    <n v="24"/>
    <s v="No"/>
    <x v="1"/>
    <n v="2026"/>
    <n v="8"/>
    <s v="agosto"/>
    <x v="3"/>
    <s v="Neutral"/>
    <s v="No"/>
    <s v="Yes"/>
    <s v="Resolved"/>
    <n v="1"/>
    <n v="0"/>
    <n v="1"/>
    <n v="0"/>
    <n v="0"/>
    <n v="0"/>
    <n v="0"/>
  </r>
  <r>
    <s v="TKT-00987"/>
    <n v="55.4"/>
    <x v="252"/>
    <d v="2026-01-17T01:00:05"/>
    <x v="0"/>
    <x v="1"/>
    <s v="Email"/>
    <x v="0"/>
    <x v="2"/>
    <x v="1"/>
    <x v="5"/>
    <x v="2"/>
    <n v="178"/>
    <n v="3"/>
    <n v="0"/>
    <n v="2"/>
    <s v="No"/>
    <n v="240"/>
    <n v="48"/>
    <s v="Yes"/>
    <x v="1"/>
    <n v="2026"/>
    <n v="1"/>
    <s v="janeiro"/>
    <x v="1"/>
    <s v="Neutral"/>
    <s v="No"/>
    <s v="Yes"/>
    <s v="Resolved"/>
    <n v="1"/>
    <n v="0"/>
    <n v="1"/>
    <n v="0"/>
    <n v="0"/>
    <n v="1"/>
    <n v="0"/>
  </r>
  <r>
    <s v="TKT-00583"/>
    <n v="45.67"/>
    <x v="253"/>
    <d v="2026-08-29T13:58:25"/>
    <x v="0"/>
    <x v="3"/>
    <s v="Chat"/>
    <x v="3"/>
    <x v="1"/>
    <x v="0"/>
    <x v="2"/>
    <x v="3"/>
    <n v="92"/>
    <n v="4"/>
    <n v="0"/>
    <n v="7"/>
    <s v="No"/>
    <n v="120"/>
    <n v="24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463"/>
    <n v="42.57"/>
    <x v="254"/>
    <d v="2026-05-14T06:31:11"/>
    <x v="0"/>
    <x v="1"/>
    <s v="Phone"/>
    <x v="3"/>
    <x v="2"/>
    <x v="1"/>
    <x v="1"/>
    <x v="0"/>
    <n v="220"/>
    <n v="3"/>
    <n v="1"/>
    <n v="9"/>
    <s v="No"/>
    <n v="240"/>
    <n v="48"/>
    <s v="Yes"/>
    <x v="0"/>
    <n v="2026"/>
    <n v="5"/>
    <s v="maio"/>
    <x v="2"/>
    <s v="Neutral"/>
    <s v="Yes"/>
    <s v="Yes"/>
    <s v="Resolved"/>
    <n v="1"/>
    <n v="0"/>
    <n v="1"/>
    <n v="1"/>
    <n v="0"/>
    <n v="1"/>
    <n v="1"/>
  </r>
  <r>
    <s v="TKT-01171"/>
    <n v="43.1"/>
    <x v="255"/>
    <d v="2026-06-23T19:32:15"/>
    <x v="0"/>
    <x v="3"/>
    <s v="Email"/>
    <x v="0"/>
    <x v="2"/>
    <x v="1"/>
    <x v="4"/>
    <x v="5"/>
    <n v="158"/>
    <n v="4"/>
    <n v="0"/>
    <n v="4"/>
    <s v="No"/>
    <n v="120"/>
    <n v="24"/>
    <s v="No"/>
    <x v="1"/>
    <n v="2026"/>
    <n v="6"/>
    <s v="junho"/>
    <x v="5"/>
    <s v="Satisfied"/>
    <s v="No"/>
    <s v="Yes"/>
    <s v="Resolved"/>
    <n v="1"/>
    <n v="0"/>
    <n v="1"/>
    <n v="0"/>
    <n v="0"/>
    <n v="0"/>
    <n v="0"/>
  </r>
  <r>
    <s v="TKT-00910"/>
    <n v="19.920000000000002"/>
    <x v="256"/>
    <d v="2026-07-12T15:19:09"/>
    <x v="0"/>
    <x v="1"/>
    <s v="Phone"/>
    <x v="3"/>
    <x v="1"/>
    <x v="0"/>
    <x v="0"/>
    <x v="10"/>
    <n v="161"/>
    <n v="3"/>
    <n v="1"/>
    <n v="9"/>
    <s v="No"/>
    <n v="240"/>
    <n v="48"/>
    <s v="Yes"/>
    <x v="0"/>
    <n v="2026"/>
    <n v="7"/>
    <s v="julho"/>
    <x v="6"/>
    <s v="Neutral"/>
    <s v="Yes"/>
    <s v="Yes"/>
    <s v="Resolved"/>
    <n v="1"/>
    <n v="0"/>
    <n v="1"/>
    <n v="1"/>
    <n v="0"/>
    <n v="1"/>
    <n v="1"/>
  </r>
  <r>
    <s v="TKT-00807"/>
    <n v="33.26"/>
    <x v="257"/>
    <d v="2026-01-21T13:37:28"/>
    <x v="0"/>
    <x v="3"/>
    <s v="Web Form"/>
    <x v="2"/>
    <x v="2"/>
    <x v="0"/>
    <x v="3"/>
    <x v="6"/>
    <n v="112"/>
    <n v="4"/>
    <n v="0"/>
    <n v="4"/>
    <s v="No"/>
    <n v="120"/>
    <n v="24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923"/>
    <n v="27.87"/>
    <x v="258"/>
    <d v="2026-01-13T15:18:04"/>
    <x v="0"/>
    <x v="3"/>
    <s v="Email"/>
    <x v="0"/>
    <x v="1"/>
    <x v="2"/>
    <x v="4"/>
    <x v="7"/>
    <n v="113"/>
    <n v="4"/>
    <n v="0"/>
    <n v="2"/>
    <s v="No"/>
    <n v="120"/>
    <n v="24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919"/>
    <n v="51.53"/>
    <x v="259"/>
    <d v="2026-06-23T23:43:01"/>
    <x v="0"/>
    <x v="1"/>
    <s v="Email"/>
    <x v="0"/>
    <x v="0"/>
    <x v="1"/>
    <x v="1"/>
    <x v="1"/>
    <n v="143"/>
    <n v="4"/>
    <n v="0"/>
    <n v="4"/>
    <s v="No"/>
    <n v="240"/>
    <n v="48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0792"/>
    <n v="22.42"/>
    <x v="260"/>
    <d v="2026-08-20T10:00:22"/>
    <x v="0"/>
    <x v="3"/>
    <s v="Email"/>
    <x v="2"/>
    <x v="1"/>
    <x v="0"/>
    <x v="1"/>
    <x v="8"/>
    <n v="111"/>
    <n v="4"/>
    <n v="0"/>
    <n v="5"/>
    <s v="No"/>
    <n v="120"/>
    <n v="24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390"/>
    <n v="22.16"/>
    <x v="261"/>
    <d v="2026-08-23T14:47:21"/>
    <x v="0"/>
    <x v="3"/>
    <s v="Chat"/>
    <x v="3"/>
    <x v="0"/>
    <x v="2"/>
    <x v="1"/>
    <x v="8"/>
    <n v="204"/>
    <n v="4"/>
    <n v="0"/>
    <n v="4"/>
    <s v="No"/>
    <n v="120"/>
    <n v="24"/>
    <s v="No"/>
    <x v="0"/>
    <n v="2026"/>
    <n v="8"/>
    <s v="agosto"/>
    <x v="3"/>
    <s v="Satisfied"/>
    <s v="No"/>
    <s v="Yes"/>
    <s v="Resolved"/>
    <n v="1"/>
    <n v="0"/>
    <n v="1"/>
    <n v="0"/>
    <n v="0"/>
    <n v="0"/>
    <n v="1"/>
  </r>
  <r>
    <s v="TKT-00380"/>
    <n v="10.85"/>
    <x v="262"/>
    <d v="2026-02-21T08:59:05"/>
    <x v="0"/>
    <x v="2"/>
    <s v="Email"/>
    <x v="0"/>
    <x v="1"/>
    <x v="1"/>
    <x v="5"/>
    <x v="6"/>
    <n v="29"/>
    <n v="4"/>
    <n v="1"/>
    <n v="8"/>
    <s v="No"/>
    <n v="30"/>
    <n v="8"/>
    <s v="Yes"/>
    <x v="1"/>
    <n v="2026"/>
    <n v="2"/>
    <s v="fevereiro"/>
    <x v="4"/>
    <s v="Satisfied"/>
    <s v="Yes"/>
    <s v="Yes"/>
    <s v="Resolved"/>
    <n v="1"/>
    <n v="0"/>
    <n v="1"/>
    <n v="1"/>
    <n v="0"/>
    <n v="1"/>
    <n v="0"/>
  </r>
  <r>
    <s v="TKT-00007"/>
    <n v="40.15"/>
    <x v="263"/>
    <d v="2026-08-11T13:21:15"/>
    <x v="0"/>
    <x v="1"/>
    <s v="Email"/>
    <x v="2"/>
    <x v="1"/>
    <x v="3"/>
    <x v="2"/>
    <x v="2"/>
    <n v="209"/>
    <n v="3"/>
    <n v="0"/>
    <n v="5"/>
    <s v="No"/>
    <n v="240"/>
    <n v="48"/>
    <s v="Yes"/>
    <x v="0"/>
    <n v="2026"/>
    <n v="8"/>
    <s v="agosto"/>
    <x v="3"/>
    <s v="Neutral"/>
    <s v="No"/>
    <s v="Yes"/>
    <s v="Resolved"/>
    <n v="1"/>
    <n v="0"/>
    <n v="1"/>
    <n v="0"/>
    <n v="0"/>
    <n v="1"/>
    <n v="1"/>
  </r>
  <r>
    <s v="TKT-00556"/>
    <n v="34.89"/>
    <x v="264"/>
    <d v="2026-07-12T07:48:19"/>
    <x v="0"/>
    <x v="3"/>
    <s v="Web Form"/>
    <x v="0"/>
    <x v="0"/>
    <x v="0"/>
    <x v="3"/>
    <x v="3"/>
    <n v="72"/>
    <n v="3"/>
    <n v="2"/>
    <n v="10"/>
    <s v="No"/>
    <n v="120"/>
    <n v="24"/>
    <s v="Yes"/>
    <x v="1"/>
    <n v="2026"/>
    <n v="7"/>
    <s v="julho"/>
    <x v="6"/>
    <s v="Neutral"/>
    <s v="Yes"/>
    <s v="Yes"/>
    <s v="Resolved"/>
    <n v="1"/>
    <n v="0"/>
    <n v="1"/>
    <n v="1"/>
    <n v="0"/>
    <n v="1"/>
    <n v="0"/>
  </r>
  <r>
    <s v="TKT-00363"/>
    <n v="18.55"/>
    <x v="265"/>
    <d v="2026-04-27T12:47:44"/>
    <x v="0"/>
    <x v="3"/>
    <s v="Email"/>
    <x v="4"/>
    <x v="1"/>
    <x v="0"/>
    <x v="0"/>
    <x v="1"/>
    <n v="336"/>
    <n v="3"/>
    <n v="0"/>
    <n v="4"/>
    <s v="No"/>
    <n v="120"/>
    <n v="24"/>
    <s v="No"/>
    <x v="0"/>
    <n v="2026"/>
    <n v="4"/>
    <s v="abril"/>
    <x v="0"/>
    <s v="Neutral"/>
    <s v="No"/>
    <s v="Yes"/>
    <s v="Resolved"/>
    <n v="1"/>
    <n v="0"/>
    <n v="1"/>
    <n v="0"/>
    <n v="0"/>
    <n v="0"/>
    <n v="1"/>
  </r>
  <r>
    <s v="TKT-00737"/>
    <n v="53.33"/>
    <x v="266"/>
    <d v="2026-04-02T01:21:42"/>
    <x v="0"/>
    <x v="1"/>
    <s v="Chat"/>
    <x v="2"/>
    <x v="2"/>
    <x v="3"/>
    <x v="3"/>
    <x v="10"/>
    <n v="313"/>
    <n v="3"/>
    <n v="0"/>
    <n v="6"/>
    <s v="No"/>
    <n v="240"/>
    <n v="48"/>
    <s v="No"/>
    <x v="1"/>
    <n v="2026"/>
    <n v="3"/>
    <s v="março"/>
    <x v="7"/>
    <s v="Neutral"/>
    <s v="No"/>
    <s v="Yes"/>
    <s v="Resolved"/>
    <n v="1"/>
    <n v="0"/>
    <n v="1"/>
    <n v="0"/>
    <n v="0"/>
    <n v="0"/>
    <n v="0"/>
  </r>
  <r>
    <s v="TKT-00431"/>
    <n v="32.950000000000003"/>
    <x v="267"/>
    <d v="2026-07-16T17:02:11"/>
    <x v="0"/>
    <x v="3"/>
    <s v="Email"/>
    <x v="3"/>
    <x v="2"/>
    <x v="0"/>
    <x v="4"/>
    <x v="7"/>
    <n v="156"/>
    <n v="4"/>
    <n v="0"/>
    <n v="7"/>
    <s v="No"/>
    <n v="120"/>
    <n v="24"/>
    <s v="No"/>
    <x v="1"/>
    <n v="2026"/>
    <n v="7"/>
    <s v="julho"/>
    <x v="6"/>
    <s v="Satisfied"/>
    <s v="No"/>
    <s v="Yes"/>
    <s v="Resolved"/>
    <n v="1"/>
    <n v="0"/>
    <n v="1"/>
    <n v="0"/>
    <n v="0"/>
    <n v="0"/>
    <n v="0"/>
  </r>
  <r>
    <s v="TKT-00769"/>
    <n v="51.28"/>
    <x v="268"/>
    <d v="2026-07-16T09:12:00"/>
    <x v="0"/>
    <x v="3"/>
    <s v="Email"/>
    <x v="0"/>
    <x v="1"/>
    <x v="2"/>
    <x v="5"/>
    <x v="10"/>
    <n v="40"/>
    <n v="4"/>
    <n v="0"/>
    <n v="3"/>
    <s v="No"/>
    <n v="120"/>
    <n v="24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0946"/>
    <n v="6.68"/>
    <x v="269"/>
    <d v="2026-03-17T06:37:54"/>
    <x v="0"/>
    <x v="2"/>
    <s v="Chat"/>
    <x v="1"/>
    <x v="1"/>
    <x v="2"/>
    <x v="1"/>
    <x v="8"/>
    <n v="99"/>
    <n v="4"/>
    <n v="0"/>
    <n v="6"/>
    <s v="No"/>
    <n v="30"/>
    <n v="8"/>
    <s v="No"/>
    <x v="0"/>
    <n v="2026"/>
    <n v="3"/>
    <s v="março"/>
    <x v="7"/>
    <s v="Satisfied"/>
    <s v="No"/>
    <s v="Yes"/>
    <s v="Resolved"/>
    <n v="1"/>
    <n v="0"/>
    <n v="1"/>
    <n v="0"/>
    <n v="0"/>
    <n v="0"/>
    <n v="1"/>
  </r>
  <r>
    <s v="TKT-00267"/>
    <n v="13.13"/>
    <x v="270"/>
    <d v="2026-03-18T13:22:44"/>
    <x v="0"/>
    <x v="3"/>
    <s v="Web Form"/>
    <x v="0"/>
    <x v="1"/>
    <x v="0"/>
    <x v="0"/>
    <x v="10"/>
    <n v="195"/>
    <n v="3"/>
    <n v="1"/>
    <n v="10"/>
    <s v="No"/>
    <n v="120"/>
    <n v="24"/>
    <s v="No"/>
    <x v="0"/>
    <n v="2026"/>
    <n v="3"/>
    <s v="março"/>
    <x v="7"/>
    <s v="Neutral"/>
    <s v="Yes"/>
    <s v="Yes"/>
    <s v="Resolved"/>
    <n v="1"/>
    <n v="0"/>
    <n v="1"/>
    <n v="1"/>
    <n v="0"/>
    <n v="0"/>
    <n v="1"/>
  </r>
  <r>
    <s v="TKT-00920"/>
    <n v="26.01"/>
    <x v="271"/>
    <d v="2026-01-18T05:03:38"/>
    <x v="0"/>
    <x v="1"/>
    <s v="Email"/>
    <x v="0"/>
    <x v="1"/>
    <x v="1"/>
    <x v="2"/>
    <x v="3"/>
    <n v="119"/>
    <n v="4"/>
    <n v="0"/>
    <n v="6"/>
    <s v="No"/>
    <n v="240"/>
    <n v="48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1024"/>
    <n v="3.73"/>
    <x v="272"/>
    <d v="2026-03-24T18:08:48"/>
    <x v="0"/>
    <x v="0"/>
    <s v="Chat"/>
    <x v="0"/>
    <x v="1"/>
    <x v="0"/>
    <x v="2"/>
    <x v="8"/>
    <n v="14"/>
    <n v="4"/>
    <n v="0"/>
    <n v="2"/>
    <s v="No"/>
    <n v="15"/>
    <n v="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931"/>
    <n v="51.9"/>
    <x v="273"/>
    <d v="2026-03-13T03:27:09"/>
    <x v="0"/>
    <x v="1"/>
    <s v="Chat"/>
    <x v="2"/>
    <x v="2"/>
    <x v="1"/>
    <x v="5"/>
    <x v="2"/>
    <n v="369"/>
    <n v="3"/>
    <n v="0"/>
    <n v="7"/>
    <s v="No"/>
    <n v="240"/>
    <n v="48"/>
    <s v="No"/>
    <x v="1"/>
    <n v="2026"/>
    <n v="3"/>
    <s v="março"/>
    <x v="7"/>
    <s v="Neutral"/>
    <s v="No"/>
    <s v="Yes"/>
    <s v="Resolved"/>
    <n v="1"/>
    <n v="0"/>
    <n v="1"/>
    <n v="0"/>
    <n v="0"/>
    <n v="0"/>
    <n v="0"/>
  </r>
  <r>
    <s v="TKT-00532"/>
    <n v="30.39"/>
    <x v="274"/>
    <d v="2026-07-20T07:06:41"/>
    <x v="0"/>
    <x v="3"/>
    <s v="Chat"/>
    <x v="0"/>
    <x v="1"/>
    <x v="0"/>
    <x v="5"/>
    <x v="3"/>
    <n v="149"/>
    <n v="4"/>
    <n v="0"/>
    <n v="7"/>
    <s v="No"/>
    <n v="120"/>
    <n v="24"/>
    <s v="No"/>
    <x v="1"/>
    <n v="2026"/>
    <n v="7"/>
    <s v="julho"/>
    <x v="6"/>
    <s v="Satisfied"/>
    <s v="No"/>
    <s v="Yes"/>
    <s v="Resolved"/>
    <n v="1"/>
    <n v="0"/>
    <n v="1"/>
    <n v="0"/>
    <n v="0"/>
    <n v="0"/>
    <n v="0"/>
  </r>
  <r>
    <s v="TKT-00866"/>
    <n v="36.39"/>
    <x v="275"/>
    <d v="2026-07-18T17:24:08"/>
    <x v="0"/>
    <x v="1"/>
    <s v="Email"/>
    <x v="0"/>
    <x v="1"/>
    <x v="3"/>
    <x v="1"/>
    <x v="2"/>
    <n v="48"/>
    <n v="4"/>
    <n v="0"/>
    <n v="5"/>
    <s v="No"/>
    <n v="240"/>
    <n v="48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639"/>
    <n v="8.14"/>
    <x v="276"/>
    <d v="2026-01-28T19:00:34"/>
    <x v="0"/>
    <x v="3"/>
    <s v="Phone"/>
    <x v="3"/>
    <x v="1"/>
    <x v="1"/>
    <x v="1"/>
    <x v="2"/>
    <n v="111"/>
    <n v="5"/>
    <n v="0"/>
    <n v="3"/>
    <s v="No"/>
    <n v="120"/>
    <n v="2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843"/>
    <n v="24.59"/>
    <x v="277"/>
    <d v="2026-02-14T13:37:39"/>
    <x v="0"/>
    <x v="1"/>
    <s v="Web Form"/>
    <x v="2"/>
    <x v="1"/>
    <x v="3"/>
    <x v="3"/>
    <x v="8"/>
    <n v="424"/>
    <n v="3"/>
    <n v="0"/>
    <n v="6"/>
    <s v="No"/>
    <n v="240"/>
    <n v="48"/>
    <s v="No"/>
    <x v="0"/>
    <n v="2026"/>
    <n v="2"/>
    <s v="fevereiro"/>
    <x v="4"/>
    <s v="Neutral"/>
    <s v="No"/>
    <s v="Yes"/>
    <s v="Resolved"/>
    <n v="1"/>
    <n v="0"/>
    <n v="1"/>
    <n v="0"/>
    <n v="0"/>
    <n v="0"/>
    <n v="1"/>
  </r>
  <r>
    <s v="TKT-00257"/>
    <n v="26.8"/>
    <x v="278"/>
    <d v="2026-06-18T12:24:02"/>
    <x v="0"/>
    <x v="2"/>
    <s v="Web Form"/>
    <x v="4"/>
    <x v="0"/>
    <x v="0"/>
    <x v="1"/>
    <x v="4"/>
    <n v="64"/>
    <n v="4"/>
    <n v="0"/>
    <n v="2"/>
    <s v="No"/>
    <n v="30"/>
    <n v="8"/>
    <s v="No"/>
    <x v="1"/>
    <n v="2026"/>
    <n v="6"/>
    <s v="junho"/>
    <x v="5"/>
    <s v="Satisfied"/>
    <s v="No"/>
    <s v="Yes"/>
    <s v="Resolved"/>
    <n v="1"/>
    <n v="0"/>
    <n v="1"/>
    <n v="0"/>
    <n v="0"/>
    <n v="0"/>
    <n v="0"/>
  </r>
  <r>
    <s v="TKT-00795"/>
    <n v="3.22"/>
    <x v="279"/>
    <d v="2026-03-05T17:58:58"/>
    <x v="0"/>
    <x v="0"/>
    <s v="Web Form"/>
    <x v="2"/>
    <x v="2"/>
    <x v="2"/>
    <x v="0"/>
    <x v="5"/>
    <n v="10"/>
    <n v="5"/>
    <n v="0"/>
    <n v="3"/>
    <s v="No"/>
    <n v="15"/>
    <n v="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661"/>
    <n v="13.11"/>
    <x v="280"/>
    <d v="2026-05-09T06:52:22"/>
    <x v="0"/>
    <x v="2"/>
    <s v="Phone"/>
    <x v="1"/>
    <x v="0"/>
    <x v="3"/>
    <x v="5"/>
    <x v="6"/>
    <n v="29"/>
    <n v="4"/>
    <n v="0"/>
    <n v="5"/>
    <s v="Yes"/>
    <n v="30"/>
    <n v="8"/>
    <s v="Yes"/>
    <x v="1"/>
    <n v="2026"/>
    <n v="5"/>
    <s v="maio"/>
    <x v="2"/>
    <s v="Satisfied"/>
    <s v="No"/>
    <s v="Yes"/>
    <s v="Resolved"/>
    <n v="1"/>
    <n v="0"/>
    <n v="1"/>
    <n v="0"/>
    <n v="1"/>
    <n v="1"/>
    <n v="0"/>
  </r>
  <r>
    <s v="TKT-00865"/>
    <n v="7.48"/>
    <x v="281"/>
    <d v="2026-04-08T23:43:39"/>
    <x v="0"/>
    <x v="3"/>
    <s v="Email"/>
    <x v="1"/>
    <x v="1"/>
    <x v="3"/>
    <x v="0"/>
    <x v="7"/>
    <n v="167"/>
    <n v="4"/>
    <n v="0"/>
    <n v="10"/>
    <s v="Yes"/>
    <n v="120"/>
    <n v="24"/>
    <s v="No"/>
    <x v="0"/>
    <n v="2026"/>
    <n v="4"/>
    <s v="abril"/>
    <x v="0"/>
    <s v="Satisfied"/>
    <s v="No"/>
    <s v="Yes"/>
    <s v="Resolved"/>
    <n v="1"/>
    <n v="0"/>
    <n v="1"/>
    <n v="0"/>
    <n v="1"/>
    <n v="0"/>
    <n v="1"/>
  </r>
  <r>
    <s v="TKT-00598"/>
    <n v="22.93"/>
    <x v="282"/>
    <d v="2026-04-09T00:09:01"/>
    <x v="0"/>
    <x v="3"/>
    <s v="Web Form"/>
    <x v="0"/>
    <x v="2"/>
    <x v="0"/>
    <x v="3"/>
    <x v="6"/>
    <n v="259"/>
    <n v="4"/>
    <n v="0"/>
    <n v="5"/>
    <s v="No"/>
    <n v="120"/>
    <n v="24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0448"/>
    <n v="6.39"/>
    <x v="283"/>
    <d v="2026-04-18T02:54:39"/>
    <x v="0"/>
    <x v="0"/>
    <s v="Web Form"/>
    <x v="1"/>
    <x v="2"/>
    <x v="2"/>
    <x v="2"/>
    <x v="2"/>
    <n v="35"/>
    <n v="4"/>
    <n v="0"/>
    <n v="7"/>
    <s v="No"/>
    <n v="15"/>
    <n v="4"/>
    <s v="No"/>
    <x v="1"/>
    <n v="2026"/>
    <n v="4"/>
    <s v="abril"/>
    <x v="0"/>
    <s v="Satisfied"/>
    <s v="No"/>
    <s v="Yes"/>
    <s v="Resolved"/>
    <n v="1"/>
    <n v="0"/>
    <n v="1"/>
    <n v="0"/>
    <n v="0"/>
    <n v="0"/>
    <n v="0"/>
  </r>
  <r>
    <s v="TKT-00211"/>
    <n v="37.340000000000003"/>
    <x v="284"/>
    <d v="2026-04-10T06:00:32"/>
    <x v="0"/>
    <x v="1"/>
    <s v="Phone"/>
    <x v="4"/>
    <x v="1"/>
    <x v="0"/>
    <x v="1"/>
    <x v="2"/>
    <n v="199"/>
    <m/>
    <n v="0"/>
    <n v="5"/>
    <s v="No"/>
    <n v="240"/>
    <n v="48"/>
    <s v="Yes"/>
    <x v="0"/>
    <n v="2026"/>
    <n v="4"/>
    <s v="abril"/>
    <x v="0"/>
    <s v="No Response"/>
    <s v="No"/>
    <s v="No"/>
    <s v="Resolved"/>
    <n v="1"/>
    <n v="0"/>
    <n v="1"/>
    <n v="0"/>
    <n v="0"/>
    <n v="1"/>
    <n v="1"/>
  </r>
  <r>
    <s v="TKT-00540"/>
    <n v="18.260000000000002"/>
    <x v="285"/>
    <d v="2026-07-01T20:11:45"/>
    <x v="0"/>
    <x v="3"/>
    <s v="Email"/>
    <x v="0"/>
    <x v="1"/>
    <x v="2"/>
    <x v="0"/>
    <x v="9"/>
    <n v="60"/>
    <n v="4"/>
    <n v="0"/>
    <n v="5"/>
    <s v="No"/>
    <n v="120"/>
    <n v="24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377"/>
    <n v="23.06"/>
    <x v="286"/>
    <d v="2026-07-13T11:50:39"/>
    <x v="0"/>
    <x v="3"/>
    <s v="Chat"/>
    <x v="2"/>
    <x v="1"/>
    <x v="1"/>
    <x v="5"/>
    <x v="0"/>
    <n v="46"/>
    <n v="4"/>
    <n v="0"/>
    <n v="8"/>
    <s v="Yes"/>
    <n v="120"/>
    <n v="24"/>
    <s v="Yes"/>
    <x v="0"/>
    <n v="2026"/>
    <n v="7"/>
    <s v="julho"/>
    <x v="6"/>
    <s v="Satisfied"/>
    <s v="No"/>
    <s v="Yes"/>
    <s v="Resolved"/>
    <n v="1"/>
    <n v="0"/>
    <n v="1"/>
    <n v="0"/>
    <n v="1"/>
    <n v="1"/>
    <n v="1"/>
  </r>
  <r>
    <s v="TKT-00095"/>
    <n v="7.02"/>
    <x v="287"/>
    <d v="2026-04-28T12:50:00"/>
    <x v="0"/>
    <x v="2"/>
    <s v="Email"/>
    <x v="4"/>
    <x v="1"/>
    <x v="2"/>
    <x v="2"/>
    <x v="2"/>
    <n v="30"/>
    <n v="4"/>
    <n v="0"/>
    <n v="3"/>
    <s v="No"/>
    <n v="30"/>
    <n v="8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472"/>
    <n v="14.17"/>
    <x v="288"/>
    <d v="2026-08-30T21:57:04"/>
    <x v="0"/>
    <x v="3"/>
    <s v="Email"/>
    <x v="4"/>
    <x v="1"/>
    <x v="0"/>
    <x v="0"/>
    <x v="1"/>
    <n v="157"/>
    <n v="4"/>
    <n v="0"/>
    <n v="7"/>
    <s v="No"/>
    <n v="120"/>
    <n v="24"/>
    <s v="No"/>
    <x v="0"/>
    <n v="2026"/>
    <n v="8"/>
    <s v="agosto"/>
    <x v="3"/>
    <s v="Satisfied"/>
    <s v="No"/>
    <s v="Yes"/>
    <s v="Resolved"/>
    <n v="1"/>
    <n v="0"/>
    <n v="1"/>
    <n v="0"/>
    <n v="0"/>
    <n v="0"/>
    <n v="1"/>
  </r>
  <r>
    <s v="TKT-00064"/>
    <n v="6.06"/>
    <x v="289"/>
    <d v="2026-01-01T20:16:24"/>
    <x v="0"/>
    <x v="1"/>
    <s v="Web Form"/>
    <x v="4"/>
    <x v="2"/>
    <x v="0"/>
    <x v="0"/>
    <x v="6"/>
    <n v="230"/>
    <n v="4"/>
    <n v="0"/>
    <n v="3"/>
    <s v="No"/>
    <n v="240"/>
    <n v="48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952"/>
    <m/>
    <x v="290"/>
    <m/>
    <x v="1"/>
    <x v="1"/>
    <s v="Chat"/>
    <x v="2"/>
    <x v="1"/>
    <x v="2"/>
    <x v="0"/>
    <x v="4"/>
    <n v="310"/>
    <m/>
    <n v="0"/>
    <n v="4"/>
    <s v="No"/>
    <n v="240"/>
    <n v="48"/>
    <s v="No"/>
    <x v="2"/>
    <n v="2026"/>
    <n v="8"/>
    <s v="agosto"/>
    <x v="3"/>
    <s v="No Response"/>
    <s v="No"/>
    <s v="No"/>
    <s v="Open"/>
    <n v="1"/>
    <n v="1"/>
    <n v="0"/>
    <n v="0"/>
    <n v="0"/>
    <n v="0"/>
    <m/>
  </r>
  <r>
    <s v="TKT-01161"/>
    <n v="65.260000000000005"/>
    <x v="291"/>
    <d v="2026-08-30T14:59:42"/>
    <x v="0"/>
    <x v="1"/>
    <s v="Email"/>
    <x v="3"/>
    <x v="0"/>
    <x v="1"/>
    <x v="3"/>
    <x v="3"/>
    <n v="184"/>
    <n v="3"/>
    <n v="0"/>
    <n v="5"/>
    <s v="No"/>
    <n v="240"/>
    <n v="48"/>
    <s v="Yes"/>
    <x v="1"/>
    <n v="2026"/>
    <n v="8"/>
    <s v="agosto"/>
    <x v="3"/>
    <s v="Neutral"/>
    <s v="No"/>
    <s v="Yes"/>
    <s v="Resolved"/>
    <n v="1"/>
    <n v="0"/>
    <n v="1"/>
    <n v="0"/>
    <n v="0"/>
    <n v="1"/>
    <n v="0"/>
  </r>
  <r>
    <s v="TKT-01069"/>
    <n v="26.62"/>
    <x v="292"/>
    <d v="2026-04-28T13:12:04"/>
    <x v="0"/>
    <x v="1"/>
    <s v="Email"/>
    <x v="0"/>
    <x v="2"/>
    <x v="2"/>
    <x v="4"/>
    <x v="6"/>
    <n v="487"/>
    <n v="3"/>
    <n v="0"/>
    <n v="2"/>
    <s v="No"/>
    <n v="240"/>
    <n v="48"/>
    <s v="No"/>
    <x v="0"/>
    <n v="2026"/>
    <n v="4"/>
    <s v="abril"/>
    <x v="0"/>
    <s v="Neutral"/>
    <s v="No"/>
    <s v="Yes"/>
    <s v="Resolved"/>
    <n v="1"/>
    <n v="0"/>
    <n v="1"/>
    <n v="0"/>
    <n v="0"/>
    <n v="0"/>
    <n v="1"/>
  </r>
  <r>
    <s v="TKT-00322"/>
    <n v="25.69"/>
    <x v="293"/>
    <d v="2026-05-05T16:48:39"/>
    <x v="0"/>
    <x v="3"/>
    <s v="Web Form"/>
    <x v="0"/>
    <x v="1"/>
    <x v="2"/>
    <x v="1"/>
    <x v="8"/>
    <n v="118"/>
    <n v="4"/>
    <n v="0"/>
    <n v="7"/>
    <s v="No"/>
    <n v="120"/>
    <n v="24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983"/>
    <n v="37.979999999999997"/>
    <x v="294"/>
    <d v="2026-07-10T12:46:46"/>
    <x v="0"/>
    <x v="1"/>
    <s v="Web Form"/>
    <x v="3"/>
    <x v="1"/>
    <x v="1"/>
    <x v="5"/>
    <x v="1"/>
    <n v="116"/>
    <n v="4"/>
    <n v="0"/>
    <n v="7"/>
    <s v="No"/>
    <n v="240"/>
    <n v="48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1145"/>
    <n v="29.64"/>
    <x v="295"/>
    <d v="2026-02-22T19:33:17"/>
    <x v="0"/>
    <x v="1"/>
    <s v="Web Form"/>
    <x v="4"/>
    <x v="0"/>
    <x v="3"/>
    <x v="1"/>
    <x v="10"/>
    <n v="380"/>
    <n v="4"/>
    <n v="0"/>
    <n v="4"/>
    <s v="No"/>
    <n v="240"/>
    <n v="48"/>
    <s v="No"/>
    <x v="0"/>
    <n v="2026"/>
    <n v="2"/>
    <s v="fevereiro"/>
    <x v="4"/>
    <s v="Satisfied"/>
    <s v="No"/>
    <s v="Yes"/>
    <s v="Resolved"/>
    <n v="1"/>
    <n v="0"/>
    <n v="1"/>
    <n v="0"/>
    <n v="0"/>
    <n v="0"/>
    <n v="1"/>
  </r>
  <r>
    <s v="TKT-00957"/>
    <n v="95.03"/>
    <x v="296"/>
    <d v="2026-04-29T11:30:00"/>
    <x v="0"/>
    <x v="1"/>
    <s v="Chat"/>
    <x v="2"/>
    <x v="2"/>
    <x v="1"/>
    <x v="3"/>
    <x v="9"/>
    <n v="179"/>
    <n v="3"/>
    <n v="0"/>
    <n v="4"/>
    <s v="No"/>
    <n v="240"/>
    <n v="48"/>
    <s v="Yes"/>
    <x v="1"/>
    <n v="2026"/>
    <n v="4"/>
    <s v="abril"/>
    <x v="0"/>
    <s v="Neutral"/>
    <s v="No"/>
    <s v="Yes"/>
    <s v="Resolved"/>
    <n v="1"/>
    <n v="0"/>
    <n v="1"/>
    <n v="0"/>
    <n v="0"/>
    <n v="1"/>
    <n v="0"/>
  </r>
  <r>
    <s v="TKT-00467"/>
    <n v="41.31"/>
    <x v="297"/>
    <d v="2026-05-03T20:36:18"/>
    <x v="0"/>
    <x v="3"/>
    <s v="Email"/>
    <x v="1"/>
    <x v="1"/>
    <x v="2"/>
    <x v="2"/>
    <x v="3"/>
    <n v="110"/>
    <n v="4"/>
    <n v="0"/>
    <n v="4"/>
    <s v="No"/>
    <n v="120"/>
    <n v="24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152"/>
    <n v="43.31"/>
    <x v="298"/>
    <d v="2026-02-17T07:59:40"/>
    <x v="0"/>
    <x v="3"/>
    <s v="Email"/>
    <x v="1"/>
    <x v="1"/>
    <x v="1"/>
    <x v="2"/>
    <x v="6"/>
    <n v="55"/>
    <n v="4"/>
    <n v="0"/>
    <n v="6"/>
    <s v="No"/>
    <n v="120"/>
    <n v="24"/>
    <s v="Yes"/>
    <x v="1"/>
    <n v="2026"/>
    <n v="2"/>
    <s v="fevereiro"/>
    <x v="4"/>
    <s v="Satisfied"/>
    <s v="No"/>
    <s v="Yes"/>
    <s v="Resolved"/>
    <n v="1"/>
    <n v="0"/>
    <n v="1"/>
    <n v="0"/>
    <n v="0"/>
    <n v="1"/>
    <n v="0"/>
  </r>
  <r>
    <s v="TKT-00070"/>
    <n v="50.39"/>
    <x v="299"/>
    <d v="2026-04-26T23:34:31"/>
    <x v="0"/>
    <x v="1"/>
    <s v="Chat"/>
    <x v="1"/>
    <x v="1"/>
    <x v="0"/>
    <x v="4"/>
    <x v="9"/>
    <n v="227"/>
    <n v="3"/>
    <n v="0"/>
    <n v="4"/>
    <s v="No"/>
    <n v="240"/>
    <n v="48"/>
    <s v="Yes"/>
    <x v="1"/>
    <n v="2026"/>
    <n v="4"/>
    <s v="abril"/>
    <x v="0"/>
    <s v="Neutral"/>
    <s v="No"/>
    <s v="Yes"/>
    <s v="Resolved"/>
    <n v="1"/>
    <n v="0"/>
    <n v="1"/>
    <n v="0"/>
    <n v="0"/>
    <n v="1"/>
    <n v="0"/>
  </r>
  <r>
    <s v="TKT-00069"/>
    <n v="38.840000000000003"/>
    <x v="300"/>
    <d v="2026-04-17T22:45:11"/>
    <x v="0"/>
    <x v="3"/>
    <s v="Chat"/>
    <x v="0"/>
    <x v="0"/>
    <x v="1"/>
    <x v="5"/>
    <x v="9"/>
    <n v="38"/>
    <n v="4"/>
    <n v="0"/>
    <n v="4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356"/>
    <n v="14.45"/>
    <x v="301"/>
    <d v="2026-07-02T17:34:00"/>
    <x v="0"/>
    <x v="1"/>
    <s v="Chat"/>
    <x v="4"/>
    <x v="1"/>
    <x v="1"/>
    <x v="2"/>
    <x v="3"/>
    <n v="222"/>
    <n v="4"/>
    <n v="0"/>
    <n v="2"/>
    <s v="No"/>
    <n v="240"/>
    <n v="48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775"/>
    <n v="21.54"/>
    <x v="302"/>
    <d v="2026-04-20T20:31:34"/>
    <x v="0"/>
    <x v="1"/>
    <s v="Chat"/>
    <x v="0"/>
    <x v="2"/>
    <x v="3"/>
    <x v="0"/>
    <x v="5"/>
    <n v="102"/>
    <n v="4"/>
    <n v="0"/>
    <n v="5"/>
    <s v="No"/>
    <n v="240"/>
    <n v="48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158"/>
    <n v="35.6"/>
    <x v="303"/>
    <d v="2026-07-01T05:26:51"/>
    <x v="0"/>
    <x v="3"/>
    <s v="Web Form"/>
    <x v="4"/>
    <x v="0"/>
    <x v="2"/>
    <x v="3"/>
    <x v="1"/>
    <n v="148"/>
    <n v="3"/>
    <n v="1"/>
    <n v="7"/>
    <s v="No"/>
    <n v="120"/>
    <n v="24"/>
    <s v="No"/>
    <x v="1"/>
    <n v="2026"/>
    <n v="6"/>
    <s v="junho"/>
    <x v="5"/>
    <s v="Neutral"/>
    <s v="Yes"/>
    <s v="Yes"/>
    <s v="Resolved"/>
    <n v="1"/>
    <n v="0"/>
    <n v="1"/>
    <n v="1"/>
    <n v="0"/>
    <n v="0"/>
    <n v="0"/>
  </r>
  <r>
    <s v="TKT-00082"/>
    <n v="28.86"/>
    <x v="304"/>
    <d v="2026-05-04T04:16:40"/>
    <x v="0"/>
    <x v="1"/>
    <s v="Chat"/>
    <x v="0"/>
    <x v="1"/>
    <x v="1"/>
    <x v="0"/>
    <x v="7"/>
    <n v="234"/>
    <n v="4"/>
    <n v="0"/>
    <n v="5"/>
    <s v="No"/>
    <n v="240"/>
    <n v="48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1151"/>
    <n v="51.09"/>
    <x v="305"/>
    <d v="2026-05-11T05:12:20"/>
    <x v="0"/>
    <x v="3"/>
    <s v="Email"/>
    <x v="4"/>
    <x v="2"/>
    <x v="3"/>
    <x v="3"/>
    <x v="1"/>
    <n v="89"/>
    <n v="3"/>
    <n v="0"/>
    <n v="4"/>
    <s v="No"/>
    <n v="120"/>
    <n v="24"/>
    <s v="Yes"/>
    <x v="1"/>
    <n v="2026"/>
    <n v="5"/>
    <s v="maio"/>
    <x v="2"/>
    <s v="Neutral"/>
    <s v="No"/>
    <s v="Yes"/>
    <s v="Resolved"/>
    <n v="1"/>
    <n v="0"/>
    <n v="1"/>
    <n v="0"/>
    <n v="0"/>
    <n v="1"/>
    <n v="0"/>
  </r>
  <r>
    <s v="TKT-00259"/>
    <n v="28.06"/>
    <x v="306"/>
    <d v="2026-08-07T09:05:19"/>
    <x v="0"/>
    <x v="1"/>
    <s v="Chat"/>
    <x v="0"/>
    <x v="1"/>
    <x v="1"/>
    <x v="3"/>
    <x v="6"/>
    <n v="443"/>
    <n v="3"/>
    <n v="0"/>
    <n v="4"/>
    <s v="No"/>
    <n v="240"/>
    <n v="48"/>
    <s v="No"/>
    <x v="0"/>
    <n v="2026"/>
    <n v="8"/>
    <s v="agosto"/>
    <x v="3"/>
    <s v="Neutral"/>
    <s v="No"/>
    <s v="Yes"/>
    <s v="Resolved"/>
    <n v="1"/>
    <n v="0"/>
    <n v="1"/>
    <n v="0"/>
    <n v="0"/>
    <n v="0"/>
    <n v="1"/>
  </r>
  <r>
    <s v="TKT-01050"/>
    <n v="17.25"/>
    <x v="307"/>
    <d v="2026-07-22T10:10:49"/>
    <x v="0"/>
    <x v="3"/>
    <s v="Email"/>
    <x v="1"/>
    <x v="1"/>
    <x v="0"/>
    <x v="5"/>
    <x v="1"/>
    <n v="101"/>
    <n v="4"/>
    <n v="0"/>
    <n v="2"/>
    <s v="No"/>
    <n v="120"/>
    <n v="24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1014"/>
    <n v="23.36"/>
    <x v="308"/>
    <d v="2026-05-16T08:26:21"/>
    <x v="0"/>
    <x v="1"/>
    <s v="Email"/>
    <x v="3"/>
    <x v="1"/>
    <x v="2"/>
    <x v="2"/>
    <x v="3"/>
    <n v="172"/>
    <n v="4"/>
    <n v="1"/>
    <n v="12"/>
    <s v="No"/>
    <n v="240"/>
    <n v="48"/>
    <s v="Yes"/>
    <x v="0"/>
    <n v="2026"/>
    <n v="5"/>
    <s v="maio"/>
    <x v="2"/>
    <s v="Satisfied"/>
    <s v="Yes"/>
    <s v="Yes"/>
    <s v="Resolved"/>
    <n v="1"/>
    <n v="0"/>
    <n v="1"/>
    <n v="1"/>
    <n v="0"/>
    <n v="1"/>
    <n v="1"/>
  </r>
  <r>
    <s v="TKT-00633"/>
    <n v="17.25"/>
    <x v="309"/>
    <d v="2026-05-20T06:31:47"/>
    <x v="0"/>
    <x v="1"/>
    <s v="Email"/>
    <x v="0"/>
    <x v="1"/>
    <x v="1"/>
    <x v="1"/>
    <x v="5"/>
    <n v="416"/>
    <n v="3"/>
    <n v="0"/>
    <n v="6"/>
    <s v="No"/>
    <n v="240"/>
    <n v="48"/>
    <s v="No"/>
    <x v="0"/>
    <n v="2026"/>
    <n v="5"/>
    <s v="maio"/>
    <x v="2"/>
    <s v="Neutral"/>
    <s v="No"/>
    <s v="Yes"/>
    <s v="Resolved"/>
    <n v="1"/>
    <n v="0"/>
    <n v="1"/>
    <n v="0"/>
    <n v="0"/>
    <n v="0"/>
    <n v="1"/>
  </r>
  <r>
    <s v="TKT-00525"/>
    <n v="15.41"/>
    <x v="310"/>
    <d v="2026-01-25T18:24:23"/>
    <x v="0"/>
    <x v="1"/>
    <s v="Web Form"/>
    <x v="4"/>
    <x v="0"/>
    <x v="3"/>
    <x v="0"/>
    <x v="8"/>
    <n v="115"/>
    <n v="4"/>
    <n v="0"/>
    <n v="7"/>
    <s v="No"/>
    <n v="240"/>
    <n v="48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1011"/>
    <n v="19.079999999999998"/>
    <x v="311"/>
    <d v="2026-08-03T15:30:44"/>
    <x v="0"/>
    <x v="3"/>
    <s v="Email"/>
    <x v="2"/>
    <x v="2"/>
    <x v="2"/>
    <x v="4"/>
    <x v="3"/>
    <n v="61"/>
    <n v="4"/>
    <n v="0"/>
    <n v="5"/>
    <s v="No"/>
    <n v="120"/>
    <n v="24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629"/>
    <n v="31.46"/>
    <x v="312"/>
    <d v="2026-06-15T17:25:25"/>
    <x v="0"/>
    <x v="3"/>
    <s v="Phone"/>
    <x v="3"/>
    <x v="2"/>
    <x v="2"/>
    <x v="4"/>
    <x v="1"/>
    <n v="131"/>
    <n v="4"/>
    <n v="0"/>
    <n v="7"/>
    <s v="No"/>
    <n v="120"/>
    <n v="24"/>
    <s v="No"/>
    <x v="1"/>
    <n v="2026"/>
    <n v="6"/>
    <s v="junho"/>
    <x v="5"/>
    <s v="Satisfied"/>
    <s v="No"/>
    <s v="Yes"/>
    <s v="Resolved"/>
    <n v="1"/>
    <n v="0"/>
    <n v="1"/>
    <n v="0"/>
    <n v="0"/>
    <n v="0"/>
    <n v="0"/>
  </r>
  <r>
    <s v="TKT-00450"/>
    <n v="60.05"/>
    <x v="313"/>
    <d v="2026-06-05T13:56:51"/>
    <x v="0"/>
    <x v="1"/>
    <s v="Email"/>
    <x v="1"/>
    <x v="2"/>
    <x v="3"/>
    <x v="4"/>
    <x v="3"/>
    <n v="173"/>
    <n v="4"/>
    <n v="0"/>
    <n v="5"/>
    <s v="No"/>
    <n v="240"/>
    <n v="48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0164"/>
    <n v="56.22"/>
    <x v="314"/>
    <d v="2026-05-12T02:38:07"/>
    <x v="0"/>
    <x v="1"/>
    <s v="Phone"/>
    <x v="1"/>
    <x v="1"/>
    <x v="2"/>
    <x v="2"/>
    <x v="9"/>
    <n v="128"/>
    <n v="4"/>
    <n v="0"/>
    <n v="2"/>
    <s v="No"/>
    <n v="240"/>
    <n v="48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182"/>
    <n v="18.34"/>
    <x v="315"/>
    <d v="2026-04-07T06:14:28"/>
    <x v="0"/>
    <x v="1"/>
    <s v="Chat"/>
    <x v="1"/>
    <x v="0"/>
    <x v="3"/>
    <x v="0"/>
    <x v="9"/>
    <n v="147"/>
    <n v="4"/>
    <n v="0"/>
    <n v="3"/>
    <s v="No"/>
    <n v="240"/>
    <n v="48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617"/>
    <n v="22.47"/>
    <x v="316"/>
    <d v="2026-08-01T16:04:26"/>
    <x v="0"/>
    <x v="3"/>
    <s v="Web Form"/>
    <x v="1"/>
    <x v="1"/>
    <x v="2"/>
    <x v="4"/>
    <x v="3"/>
    <n v="134"/>
    <n v="4"/>
    <n v="0"/>
    <n v="4"/>
    <s v="No"/>
    <n v="120"/>
    <n v="24"/>
    <s v="No"/>
    <x v="0"/>
    <n v="2026"/>
    <n v="7"/>
    <s v="julho"/>
    <x v="6"/>
    <s v="Satisfied"/>
    <s v="No"/>
    <s v="Yes"/>
    <s v="Resolved"/>
    <n v="1"/>
    <n v="0"/>
    <n v="1"/>
    <n v="0"/>
    <n v="0"/>
    <n v="0"/>
    <n v="1"/>
  </r>
  <r>
    <s v="TKT-00077"/>
    <n v="31.7"/>
    <x v="317"/>
    <d v="2026-08-22T17:28:08"/>
    <x v="0"/>
    <x v="3"/>
    <s v="Email"/>
    <x v="2"/>
    <x v="1"/>
    <x v="1"/>
    <x v="4"/>
    <x v="5"/>
    <n v="132"/>
    <n v="4"/>
    <n v="0"/>
    <n v="4"/>
    <s v="No"/>
    <n v="120"/>
    <n v="24"/>
    <s v="No"/>
    <x v="1"/>
    <n v="2026"/>
    <n v="8"/>
    <s v="agosto"/>
    <x v="3"/>
    <s v="Satisfied"/>
    <s v="No"/>
    <s v="Yes"/>
    <s v="Resolved"/>
    <n v="1"/>
    <n v="0"/>
    <n v="1"/>
    <n v="0"/>
    <n v="0"/>
    <n v="0"/>
    <n v="0"/>
  </r>
  <r>
    <s v="TKT-00850"/>
    <n v="22.64"/>
    <x v="318"/>
    <d v="2026-04-03T22:02:25"/>
    <x v="0"/>
    <x v="3"/>
    <s v="Web Form"/>
    <x v="0"/>
    <x v="2"/>
    <x v="2"/>
    <x v="4"/>
    <x v="7"/>
    <n v="99"/>
    <n v="4"/>
    <n v="0"/>
    <n v="2"/>
    <s v="No"/>
    <n v="120"/>
    <n v="24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1138"/>
    <n v="5.57"/>
    <x v="319"/>
    <d v="2026-04-30T08:50:13"/>
    <x v="0"/>
    <x v="2"/>
    <s v="Email"/>
    <x v="0"/>
    <x v="2"/>
    <x v="1"/>
    <x v="1"/>
    <x v="5"/>
    <n v="27"/>
    <n v="4"/>
    <n v="0"/>
    <n v="4"/>
    <s v="No"/>
    <n v="30"/>
    <n v="8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1123"/>
    <n v="1.08"/>
    <x v="320"/>
    <d v="2026-03-15T12:36:39"/>
    <x v="0"/>
    <x v="0"/>
    <s v="Phone"/>
    <x v="1"/>
    <x v="0"/>
    <x v="1"/>
    <x v="0"/>
    <x v="7"/>
    <n v="15"/>
    <n v="5"/>
    <n v="0"/>
    <n v="7"/>
    <s v="No"/>
    <n v="15"/>
    <n v="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248"/>
    <n v="49.08"/>
    <x v="321"/>
    <d v="2026-03-11T11:45:00"/>
    <x v="0"/>
    <x v="3"/>
    <s v="Web Form"/>
    <x v="4"/>
    <x v="1"/>
    <x v="2"/>
    <x v="4"/>
    <x v="9"/>
    <n v="171"/>
    <n v="3"/>
    <n v="0"/>
    <n v="6"/>
    <s v="Yes"/>
    <n v="120"/>
    <n v="24"/>
    <s v="No"/>
    <x v="1"/>
    <n v="2026"/>
    <n v="3"/>
    <s v="março"/>
    <x v="7"/>
    <s v="Neutral"/>
    <s v="No"/>
    <s v="Yes"/>
    <s v="Resolved"/>
    <n v="1"/>
    <n v="0"/>
    <n v="1"/>
    <n v="0"/>
    <n v="1"/>
    <n v="0"/>
    <n v="0"/>
  </r>
  <r>
    <s v="TKT-00854"/>
    <n v="55.18"/>
    <x v="322"/>
    <d v="2026-01-17T02:09:43"/>
    <x v="0"/>
    <x v="1"/>
    <s v="Chat"/>
    <x v="1"/>
    <x v="2"/>
    <x v="0"/>
    <x v="3"/>
    <x v="1"/>
    <n v="65"/>
    <n v="4"/>
    <n v="0"/>
    <n v="2"/>
    <s v="No"/>
    <n v="240"/>
    <n v="48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656"/>
    <m/>
    <x v="323"/>
    <m/>
    <x v="1"/>
    <x v="2"/>
    <s v="Email"/>
    <x v="4"/>
    <x v="2"/>
    <x v="2"/>
    <x v="5"/>
    <x v="9"/>
    <n v="75"/>
    <m/>
    <n v="0"/>
    <n v="7"/>
    <s v="No"/>
    <n v="30"/>
    <n v="8"/>
    <s v="No"/>
    <x v="2"/>
    <n v="2026"/>
    <n v="4"/>
    <s v="abril"/>
    <x v="0"/>
    <s v="No Response"/>
    <s v="No"/>
    <s v="No"/>
    <s v="Open"/>
    <n v="1"/>
    <n v="1"/>
    <n v="0"/>
    <n v="0"/>
    <n v="0"/>
    <n v="0"/>
    <m/>
  </r>
  <r>
    <s v="TKT-00094"/>
    <n v="86.74"/>
    <x v="324"/>
    <d v="2026-04-28T05:57:34"/>
    <x v="0"/>
    <x v="1"/>
    <s v="Phone"/>
    <x v="4"/>
    <x v="1"/>
    <x v="0"/>
    <x v="4"/>
    <x v="1"/>
    <n v="130"/>
    <n v="3"/>
    <n v="0"/>
    <n v="4"/>
    <s v="No"/>
    <n v="240"/>
    <n v="48"/>
    <s v="Yes"/>
    <x v="1"/>
    <n v="2026"/>
    <n v="4"/>
    <s v="abril"/>
    <x v="0"/>
    <s v="Neutral"/>
    <s v="No"/>
    <s v="Yes"/>
    <s v="Resolved"/>
    <n v="1"/>
    <n v="0"/>
    <n v="1"/>
    <n v="0"/>
    <n v="0"/>
    <n v="1"/>
    <n v="0"/>
  </r>
  <r>
    <s v="TKT-00133"/>
    <n v="25.75"/>
    <x v="325"/>
    <d v="2026-08-20T19:06:52"/>
    <x v="0"/>
    <x v="3"/>
    <s v="Email"/>
    <x v="2"/>
    <x v="0"/>
    <x v="0"/>
    <x v="1"/>
    <x v="9"/>
    <n v="58"/>
    <n v="4"/>
    <n v="1"/>
    <n v="7"/>
    <s v="No"/>
    <n v="120"/>
    <n v="24"/>
    <s v="Yes"/>
    <x v="1"/>
    <n v="2026"/>
    <n v="8"/>
    <s v="agosto"/>
    <x v="3"/>
    <s v="Satisfied"/>
    <s v="Yes"/>
    <s v="Yes"/>
    <s v="Resolved"/>
    <n v="1"/>
    <n v="0"/>
    <n v="1"/>
    <n v="1"/>
    <n v="0"/>
    <n v="1"/>
    <n v="0"/>
  </r>
  <r>
    <s v="TKT-00574"/>
    <n v="27.8"/>
    <x v="326"/>
    <d v="2026-08-30T12:23:56"/>
    <x v="0"/>
    <x v="1"/>
    <s v="Email"/>
    <x v="4"/>
    <x v="1"/>
    <x v="0"/>
    <x v="2"/>
    <x v="7"/>
    <n v="271"/>
    <n v="3"/>
    <n v="1"/>
    <n v="5"/>
    <s v="No"/>
    <n v="240"/>
    <n v="48"/>
    <s v="No"/>
    <x v="0"/>
    <n v="2026"/>
    <n v="8"/>
    <s v="agosto"/>
    <x v="3"/>
    <s v="Neutral"/>
    <s v="Yes"/>
    <s v="Yes"/>
    <s v="Resolved"/>
    <n v="1"/>
    <n v="0"/>
    <n v="1"/>
    <n v="1"/>
    <n v="0"/>
    <n v="0"/>
    <n v="1"/>
  </r>
  <r>
    <s v="TKT-00880"/>
    <n v="11.42"/>
    <x v="327"/>
    <d v="2026-08-26T06:51:56"/>
    <x v="0"/>
    <x v="2"/>
    <s v="Email"/>
    <x v="3"/>
    <x v="2"/>
    <x v="2"/>
    <x v="1"/>
    <x v="6"/>
    <n v="68"/>
    <n v="4"/>
    <n v="0"/>
    <n v="7"/>
    <s v="No"/>
    <n v="30"/>
    <n v="8"/>
    <s v="No"/>
    <x v="1"/>
    <n v="2026"/>
    <n v="8"/>
    <s v="agosto"/>
    <x v="3"/>
    <s v="Satisfied"/>
    <s v="No"/>
    <s v="Yes"/>
    <s v="Resolved"/>
    <n v="1"/>
    <n v="0"/>
    <n v="1"/>
    <n v="0"/>
    <n v="0"/>
    <n v="0"/>
    <n v="0"/>
  </r>
  <r>
    <s v="TKT-00052"/>
    <n v="18.559999999999999"/>
    <x v="328"/>
    <d v="2026-07-09T16:22:32"/>
    <x v="0"/>
    <x v="3"/>
    <s v="Chat"/>
    <x v="1"/>
    <x v="1"/>
    <x v="3"/>
    <x v="1"/>
    <x v="8"/>
    <n v="106"/>
    <n v="4"/>
    <n v="1"/>
    <n v="7"/>
    <s v="No"/>
    <n v="120"/>
    <n v="24"/>
    <s v="Yes"/>
    <x v="0"/>
    <n v="2026"/>
    <n v="7"/>
    <s v="julho"/>
    <x v="6"/>
    <s v="Satisfied"/>
    <s v="Yes"/>
    <s v="Yes"/>
    <s v="Resolved"/>
    <n v="1"/>
    <n v="0"/>
    <n v="1"/>
    <n v="1"/>
    <n v="0"/>
    <n v="1"/>
    <n v="1"/>
  </r>
  <r>
    <s v="TKT-01143"/>
    <n v="9.56"/>
    <x v="329"/>
    <d v="2026-01-02T08:02:18"/>
    <x v="0"/>
    <x v="2"/>
    <s v="Phone"/>
    <x v="0"/>
    <x v="1"/>
    <x v="3"/>
    <x v="4"/>
    <x v="5"/>
    <n v="38"/>
    <n v="5"/>
    <n v="0"/>
    <n v="7"/>
    <s v="No"/>
    <n v="30"/>
    <n v="8"/>
    <s v="No"/>
    <x v="1"/>
    <n v="2026"/>
    <n v="1"/>
    <s v="janeiro"/>
    <x v="1"/>
    <s v="Satisfied"/>
    <s v="No"/>
    <s v="Yes"/>
    <s v="Resolved"/>
    <n v="1"/>
    <n v="0"/>
    <n v="1"/>
    <n v="0"/>
    <n v="0"/>
    <n v="0"/>
    <n v="0"/>
  </r>
  <r>
    <s v="TKT-01083"/>
    <n v="19.170000000000002"/>
    <x v="330"/>
    <d v="2026-06-28T08:50:07"/>
    <x v="0"/>
    <x v="3"/>
    <s v="Chat"/>
    <x v="0"/>
    <x v="1"/>
    <x v="3"/>
    <x v="1"/>
    <x v="7"/>
    <n v="132"/>
    <n v="3"/>
    <n v="1"/>
    <n v="14"/>
    <s v="Yes"/>
    <n v="120"/>
    <n v="24"/>
    <s v="No"/>
    <x v="0"/>
    <n v="2026"/>
    <n v="6"/>
    <s v="junho"/>
    <x v="5"/>
    <s v="Neutral"/>
    <s v="Yes"/>
    <s v="Yes"/>
    <s v="Resolved"/>
    <n v="1"/>
    <n v="0"/>
    <n v="1"/>
    <n v="1"/>
    <n v="1"/>
    <n v="0"/>
    <n v="1"/>
  </r>
  <r>
    <s v="TKT-00088"/>
    <n v="42.44"/>
    <x v="331"/>
    <d v="2026-08-08T01:03:33"/>
    <x v="0"/>
    <x v="1"/>
    <s v="Email"/>
    <x v="1"/>
    <x v="0"/>
    <x v="3"/>
    <x v="5"/>
    <x v="0"/>
    <n v="287"/>
    <n v="3"/>
    <n v="0"/>
    <n v="3"/>
    <s v="No"/>
    <n v="240"/>
    <n v="48"/>
    <s v="No"/>
    <x v="0"/>
    <n v="2026"/>
    <n v="8"/>
    <s v="agosto"/>
    <x v="3"/>
    <s v="Neutral"/>
    <s v="No"/>
    <s v="Yes"/>
    <s v="Resolved"/>
    <n v="1"/>
    <n v="0"/>
    <n v="1"/>
    <n v="0"/>
    <n v="0"/>
    <n v="0"/>
    <n v="1"/>
  </r>
  <r>
    <s v="TKT-00483"/>
    <n v="19.309999999999999"/>
    <x v="332"/>
    <d v="2026-03-02T02:47:50"/>
    <x v="0"/>
    <x v="1"/>
    <s v="Email"/>
    <x v="1"/>
    <x v="1"/>
    <x v="3"/>
    <x v="2"/>
    <x v="9"/>
    <n v="911"/>
    <n v="3"/>
    <n v="0"/>
    <n v="4"/>
    <s v="No"/>
    <n v="240"/>
    <n v="48"/>
    <s v="No"/>
    <x v="0"/>
    <n v="2026"/>
    <n v="3"/>
    <s v="março"/>
    <x v="7"/>
    <s v="Neutral"/>
    <s v="No"/>
    <s v="Yes"/>
    <s v="Resolved"/>
    <n v="1"/>
    <n v="0"/>
    <n v="1"/>
    <n v="0"/>
    <n v="0"/>
    <n v="0"/>
    <n v="1"/>
  </r>
  <r>
    <s v="TKT-00369"/>
    <n v="12.19"/>
    <x v="333"/>
    <d v="2026-08-20T23:18:13"/>
    <x v="0"/>
    <x v="3"/>
    <s v="Email"/>
    <x v="3"/>
    <x v="2"/>
    <x v="1"/>
    <x v="2"/>
    <x v="4"/>
    <n v="84"/>
    <n v="4"/>
    <n v="1"/>
    <n v="12"/>
    <s v="No"/>
    <n v="120"/>
    <n v="24"/>
    <s v="Yes"/>
    <x v="0"/>
    <n v="2026"/>
    <n v="8"/>
    <s v="agosto"/>
    <x v="3"/>
    <s v="Satisfied"/>
    <s v="Yes"/>
    <s v="Yes"/>
    <s v="Resolved"/>
    <n v="1"/>
    <n v="0"/>
    <n v="1"/>
    <n v="1"/>
    <n v="0"/>
    <n v="1"/>
    <n v="1"/>
  </r>
  <r>
    <s v="TKT-01160"/>
    <n v="7.68"/>
    <x v="334"/>
    <d v="2026-06-01T09:16:05"/>
    <x v="0"/>
    <x v="3"/>
    <s v="Chat"/>
    <x v="2"/>
    <x v="1"/>
    <x v="3"/>
    <x v="2"/>
    <x v="0"/>
    <n v="162"/>
    <n v="4"/>
    <n v="0"/>
    <n v="3"/>
    <s v="No"/>
    <n v="120"/>
    <n v="24"/>
    <s v="No"/>
    <x v="0"/>
    <n v="2026"/>
    <n v="6"/>
    <s v="junho"/>
    <x v="5"/>
    <s v="Satisfied"/>
    <s v="No"/>
    <s v="Yes"/>
    <s v="Resolved"/>
    <n v="1"/>
    <n v="0"/>
    <n v="1"/>
    <n v="0"/>
    <n v="0"/>
    <n v="0"/>
    <n v="1"/>
  </r>
  <r>
    <s v="TKT-00696"/>
    <n v="66.44"/>
    <x v="335"/>
    <d v="2026-07-26T12:56:20"/>
    <x v="0"/>
    <x v="1"/>
    <s v="Chat"/>
    <x v="1"/>
    <x v="1"/>
    <x v="0"/>
    <x v="1"/>
    <x v="10"/>
    <n v="130"/>
    <n v="4"/>
    <n v="0"/>
    <n v="7"/>
    <s v="No"/>
    <n v="240"/>
    <n v="48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0388"/>
    <n v="25.01"/>
    <x v="336"/>
    <d v="2026-02-01T12:39:31"/>
    <x v="0"/>
    <x v="3"/>
    <s v="Web Form"/>
    <x v="0"/>
    <x v="1"/>
    <x v="3"/>
    <x v="1"/>
    <x v="8"/>
    <n v="57"/>
    <n v="4"/>
    <n v="0"/>
    <n v="7"/>
    <s v="No"/>
    <n v="120"/>
    <n v="24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1036"/>
    <n v="8.5399999999999991"/>
    <x v="337"/>
    <d v="2026-08-06T02:40:23"/>
    <x v="0"/>
    <x v="0"/>
    <s v="Phone"/>
    <x v="0"/>
    <x v="1"/>
    <x v="0"/>
    <x v="1"/>
    <x v="1"/>
    <n v="12"/>
    <n v="4"/>
    <n v="0"/>
    <n v="4"/>
    <s v="No"/>
    <n v="15"/>
    <n v="4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990"/>
    <n v="5.38"/>
    <x v="338"/>
    <d v="2026-01-02T12:41:53"/>
    <x v="0"/>
    <x v="2"/>
    <s v="Web Form"/>
    <x v="2"/>
    <x v="1"/>
    <x v="1"/>
    <x v="2"/>
    <x v="2"/>
    <n v="34"/>
    <n v="5"/>
    <n v="0"/>
    <n v="7"/>
    <s v="No"/>
    <n v="30"/>
    <n v="8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0621"/>
    <n v="32.85"/>
    <x v="339"/>
    <d v="2026-03-15T03:34:17"/>
    <x v="0"/>
    <x v="3"/>
    <s v="Email"/>
    <x v="1"/>
    <x v="0"/>
    <x v="3"/>
    <x v="1"/>
    <x v="6"/>
    <n v="176"/>
    <m/>
    <n v="1"/>
    <n v="7"/>
    <s v="No"/>
    <n v="120"/>
    <n v="24"/>
    <s v="No"/>
    <x v="1"/>
    <n v="2026"/>
    <n v="3"/>
    <s v="março"/>
    <x v="7"/>
    <s v="No Response"/>
    <s v="Yes"/>
    <s v="No"/>
    <s v="Resolved"/>
    <n v="1"/>
    <n v="0"/>
    <n v="1"/>
    <n v="1"/>
    <n v="0"/>
    <n v="0"/>
    <n v="0"/>
  </r>
  <r>
    <s v="TKT-00046"/>
    <n v="9.9499999999999993"/>
    <x v="340"/>
    <d v="2026-03-01T01:44:12"/>
    <x v="0"/>
    <x v="2"/>
    <s v="Web Form"/>
    <x v="2"/>
    <x v="2"/>
    <x v="3"/>
    <x v="5"/>
    <x v="6"/>
    <n v="22"/>
    <n v="5"/>
    <n v="0"/>
    <n v="2"/>
    <s v="No"/>
    <n v="30"/>
    <n v="8"/>
    <s v="Yes"/>
    <x v="1"/>
    <n v="2026"/>
    <n v="2"/>
    <s v="fevereiro"/>
    <x v="4"/>
    <s v="Satisfied"/>
    <s v="No"/>
    <s v="Yes"/>
    <s v="Resolved"/>
    <n v="1"/>
    <n v="0"/>
    <n v="1"/>
    <n v="0"/>
    <n v="0"/>
    <n v="1"/>
    <n v="0"/>
  </r>
  <r>
    <s v="TKT-00414"/>
    <n v="78.63"/>
    <x v="341"/>
    <d v="2026-06-18T20:51:40"/>
    <x v="0"/>
    <x v="1"/>
    <s v="Email"/>
    <x v="4"/>
    <x v="1"/>
    <x v="1"/>
    <x v="3"/>
    <x v="3"/>
    <n v="849"/>
    <n v="2"/>
    <n v="0"/>
    <n v="5"/>
    <s v="No"/>
    <n v="240"/>
    <n v="48"/>
    <s v="No"/>
    <x v="1"/>
    <n v="2026"/>
    <n v="6"/>
    <s v="junho"/>
    <x v="5"/>
    <s v="Dissatisfied"/>
    <s v="No"/>
    <s v="Yes"/>
    <s v="Resolved"/>
    <n v="1"/>
    <n v="0"/>
    <n v="1"/>
    <n v="0"/>
    <n v="0"/>
    <n v="0"/>
    <n v="0"/>
  </r>
  <r>
    <s v="TKT-01046"/>
    <n v="8.26"/>
    <x v="342"/>
    <d v="2026-03-24T17:02:37"/>
    <x v="0"/>
    <x v="1"/>
    <s v="Email"/>
    <x v="1"/>
    <x v="1"/>
    <x v="3"/>
    <x v="0"/>
    <x v="6"/>
    <n v="315"/>
    <n v="4"/>
    <n v="0"/>
    <n v="3"/>
    <s v="No"/>
    <n v="240"/>
    <n v="48"/>
    <s v="No"/>
    <x v="0"/>
    <n v="2026"/>
    <n v="3"/>
    <s v="março"/>
    <x v="7"/>
    <s v="Satisfied"/>
    <s v="No"/>
    <s v="Yes"/>
    <s v="Resolved"/>
    <n v="1"/>
    <n v="0"/>
    <n v="1"/>
    <n v="0"/>
    <n v="0"/>
    <n v="0"/>
    <n v="1"/>
  </r>
  <r>
    <s v="TKT-00059"/>
    <n v="47.7"/>
    <x v="343"/>
    <d v="2026-01-26T16:25:46"/>
    <x v="0"/>
    <x v="4"/>
    <s v="Chat"/>
    <x v="0"/>
    <x v="1"/>
    <x v="3"/>
    <x v="1"/>
    <x v="10"/>
    <n v="192"/>
    <n v="3"/>
    <n v="0"/>
    <n v="6"/>
    <s v="Yes"/>
    <m/>
    <m/>
    <m/>
    <x v="3"/>
    <n v="2026"/>
    <n v="1"/>
    <s v="janeiro"/>
    <x v="1"/>
    <s v="Neutral"/>
    <s v="No"/>
    <s v="Yes"/>
    <s v="Resolved"/>
    <n v="1"/>
    <n v="0"/>
    <n v="1"/>
    <n v="0"/>
    <n v="1"/>
    <m/>
    <m/>
  </r>
  <r>
    <s v="TKT-00705"/>
    <n v="16.59"/>
    <x v="344"/>
    <d v="2026-02-23T03:41:19"/>
    <x v="0"/>
    <x v="3"/>
    <s v="Email"/>
    <x v="0"/>
    <x v="1"/>
    <x v="2"/>
    <x v="1"/>
    <x v="6"/>
    <n v="252"/>
    <n v="4"/>
    <n v="0"/>
    <n v="5"/>
    <s v="No"/>
    <n v="120"/>
    <n v="24"/>
    <s v="No"/>
    <x v="0"/>
    <n v="2026"/>
    <n v="2"/>
    <s v="fevereiro"/>
    <x v="4"/>
    <s v="Satisfied"/>
    <s v="No"/>
    <s v="Yes"/>
    <s v="Resolved"/>
    <n v="1"/>
    <n v="0"/>
    <n v="1"/>
    <n v="0"/>
    <n v="0"/>
    <n v="0"/>
    <n v="1"/>
  </r>
  <r>
    <s v="TKT-00897"/>
    <n v="87.14"/>
    <x v="345"/>
    <d v="2026-02-09T15:54:11"/>
    <x v="0"/>
    <x v="1"/>
    <s v="Email"/>
    <x v="3"/>
    <x v="1"/>
    <x v="0"/>
    <x v="1"/>
    <x v="8"/>
    <n v="148"/>
    <n v="3"/>
    <n v="0"/>
    <n v="6"/>
    <s v="No"/>
    <n v="240"/>
    <n v="48"/>
    <s v="Yes"/>
    <x v="1"/>
    <n v="2026"/>
    <n v="2"/>
    <s v="fevereiro"/>
    <x v="4"/>
    <s v="Neutral"/>
    <s v="No"/>
    <s v="Yes"/>
    <s v="Resolved"/>
    <n v="1"/>
    <n v="0"/>
    <n v="1"/>
    <n v="0"/>
    <n v="0"/>
    <n v="1"/>
    <n v="0"/>
  </r>
  <r>
    <s v="TKT-00549"/>
    <n v="19.38"/>
    <x v="346"/>
    <d v="2026-06-24T03:45:00"/>
    <x v="0"/>
    <x v="4"/>
    <s v="Email"/>
    <x v="4"/>
    <x v="2"/>
    <x v="3"/>
    <x v="5"/>
    <x v="10"/>
    <n v="17"/>
    <n v="4"/>
    <n v="0"/>
    <n v="6"/>
    <s v="No"/>
    <m/>
    <m/>
    <m/>
    <x v="3"/>
    <n v="2026"/>
    <n v="6"/>
    <s v="junho"/>
    <x v="5"/>
    <s v="Satisfied"/>
    <s v="No"/>
    <s v="Yes"/>
    <s v="Resolved"/>
    <n v="1"/>
    <n v="0"/>
    <n v="1"/>
    <n v="0"/>
    <n v="0"/>
    <m/>
    <m/>
  </r>
  <r>
    <s v="TKT-00178"/>
    <n v="28.52"/>
    <x v="347"/>
    <d v="2026-06-03T19:55:18"/>
    <x v="0"/>
    <x v="1"/>
    <s v="Email"/>
    <x v="2"/>
    <x v="1"/>
    <x v="1"/>
    <x v="1"/>
    <x v="9"/>
    <n v="227"/>
    <n v="2"/>
    <n v="3"/>
    <n v="22"/>
    <s v="No"/>
    <n v="240"/>
    <n v="48"/>
    <s v="Yes"/>
    <x v="0"/>
    <n v="2026"/>
    <n v="6"/>
    <s v="junho"/>
    <x v="5"/>
    <s v="Dissatisfied"/>
    <s v="Yes"/>
    <s v="Yes"/>
    <s v="Resolved"/>
    <n v="1"/>
    <n v="0"/>
    <n v="1"/>
    <n v="1"/>
    <n v="0"/>
    <n v="1"/>
    <n v="1"/>
  </r>
  <r>
    <s v="TKT-00845"/>
    <m/>
    <x v="348"/>
    <m/>
    <x v="1"/>
    <x v="3"/>
    <s v="Email"/>
    <x v="0"/>
    <x v="0"/>
    <x v="0"/>
    <x v="1"/>
    <x v="2"/>
    <n v="171"/>
    <m/>
    <n v="0"/>
    <n v="3"/>
    <s v="No"/>
    <n v="120"/>
    <n v="24"/>
    <s v="No"/>
    <x v="2"/>
    <n v="2026"/>
    <n v="8"/>
    <s v="agosto"/>
    <x v="3"/>
    <s v="No Response"/>
    <s v="No"/>
    <s v="No"/>
    <s v="Open"/>
    <n v="1"/>
    <n v="1"/>
    <n v="0"/>
    <n v="0"/>
    <n v="0"/>
    <n v="0"/>
    <m/>
  </r>
  <r>
    <s v="TKT-00362"/>
    <n v="44.61"/>
    <x v="349"/>
    <d v="2026-04-03T07:13:38"/>
    <x v="0"/>
    <x v="3"/>
    <s v="Chat"/>
    <x v="1"/>
    <x v="1"/>
    <x v="1"/>
    <x v="5"/>
    <x v="3"/>
    <n v="207"/>
    <n v="3"/>
    <n v="0"/>
    <n v="4"/>
    <s v="No"/>
    <n v="120"/>
    <n v="24"/>
    <s v="No"/>
    <x v="1"/>
    <n v="2026"/>
    <n v="4"/>
    <s v="abril"/>
    <x v="0"/>
    <s v="Neutral"/>
    <s v="No"/>
    <s v="Yes"/>
    <s v="Resolved"/>
    <n v="1"/>
    <n v="0"/>
    <n v="1"/>
    <n v="0"/>
    <n v="0"/>
    <n v="0"/>
    <n v="0"/>
  </r>
  <r>
    <s v="TKT-00671"/>
    <n v="212.89"/>
    <x v="350"/>
    <d v="2026-01-11T01:03:40"/>
    <x v="0"/>
    <x v="1"/>
    <s v="Email"/>
    <x v="3"/>
    <x v="0"/>
    <x v="2"/>
    <x v="5"/>
    <x v="7"/>
    <n v="303"/>
    <n v="3"/>
    <n v="0"/>
    <n v="2"/>
    <s v="No"/>
    <n v="240"/>
    <n v="48"/>
    <s v="No"/>
    <x v="1"/>
    <n v="2026"/>
    <n v="1"/>
    <s v="janeiro"/>
    <x v="1"/>
    <s v="Neutral"/>
    <s v="No"/>
    <s v="Yes"/>
    <s v="Resolved"/>
    <n v="1"/>
    <n v="0"/>
    <n v="1"/>
    <n v="0"/>
    <n v="0"/>
    <n v="0"/>
    <n v="0"/>
  </r>
  <r>
    <s v="TKT-01053"/>
    <n v="1.78"/>
    <x v="351"/>
    <d v="2026-07-19T22:36:39"/>
    <x v="0"/>
    <x v="0"/>
    <s v="Web Form"/>
    <x v="0"/>
    <x v="1"/>
    <x v="1"/>
    <x v="5"/>
    <x v="7"/>
    <n v="13"/>
    <n v="4"/>
    <n v="0"/>
    <n v="6"/>
    <s v="No"/>
    <n v="15"/>
    <n v="4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1054"/>
    <m/>
    <x v="352"/>
    <m/>
    <x v="2"/>
    <x v="1"/>
    <s v="Web Form"/>
    <x v="4"/>
    <x v="1"/>
    <x v="2"/>
    <x v="1"/>
    <x v="2"/>
    <n v="133"/>
    <m/>
    <n v="0"/>
    <n v="7"/>
    <s v="No"/>
    <n v="240"/>
    <n v="48"/>
    <s v="Yes"/>
    <x v="2"/>
    <n v="2026"/>
    <n v="1"/>
    <s v="janeiro"/>
    <x v="1"/>
    <s v="No Response"/>
    <s v="No"/>
    <s v="No"/>
    <s v="Pending"/>
    <n v="1"/>
    <n v="1"/>
    <n v="0"/>
    <n v="0"/>
    <n v="0"/>
    <n v="1"/>
    <m/>
  </r>
  <r>
    <s v="TKT-00538"/>
    <n v="10.45"/>
    <x v="353"/>
    <d v="2026-08-28T03:06:51"/>
    <x v="0"/>
    <x v="2"/>
    <s v="Email"/>
    <x v="1"/>
    <x v="0"/>
    <x v="3"/>
    <x v="5"/>
    <x v="3"/>
    <n v="73"/>
    <n v="5"/>
    <n v="0"/>
    <n v="2"/>
    <s v="No"/>
    <n v="30"/>
    <n v="8"/>
    <s v="No"/>
    <x v="1"/>
    <n v="2026"/>
    <n v="8"/>
    <s v="agosto"/>
    <x v="3"/>
    <s v="Satisfied"/>
    <s v="No"/>
    <s v="Yes"/>
    <s v="Resolved"/>
    <n v="1"/>
    <n v="0"/>
    <n v="1"/>
    <n v="0"/>
    <n v="0"/>
    <n v="0"/>
    <n v="0"/>
  </r>
  <r>
    <s v="TKT-00011"/>
    <n v="12.71"/>
    <x v="354"/>
    <d v="2026-06-18T06:30:31"/>
    <x v="0"/>
    <x v="2"/>
    <s v="Email"/>
    <x v="1"/>
    <x v="0"/>
    <x v="2"/>
    <x v="5"/>
    <x v="9"/>
    <n v="36"/>
    <n v="4"/>
    <n v="0"/>
    <n v="7"/>
    <s v="No"/>
    <n v="30"/>
    <n v="8"/>
    <s v="No"/>
    <x v="1"/>
    <n v="2026"/>
    <n v="6"/>
    <s v="junho"/>
    <x v="5"/>
    <s v="Satisfied"/>
    <s v="No"/>
    <s v="Yes"/>
    <s v="Resolved"/>
    <n v="1"/>
    <n v="0"/>
    <n v="1"/>
    <n v="0"/>
    <n v="0"/>
    <n v="0"/>
    <n v="0"/>
  </r>
  <r>
    <s v="TKT-00953"/>
    <n v="47.85"/>
    <x v="355"/>
    <d v="2026-06-07T16:20:09"/>
    <x v="0"/>
    <x v="1"/>
    <s v="Chat"/>
    <x v="2"/>
    <x v="0"/>
    <x v="1"/>
    <x v="1"/>
    <x v="5"/>
    <n v="117"/>
    <n v="4"/>
    <n v="1"/>
    <n v="10"/>
    <s v="No"/>
    <n v="240"/>
    <n v="48"/>
    <s v="Yes"/>
    <x v="0"/>
    <n v="2026"/>
    <n v="6"/>
    <s v="junho"/>
    <x v="5"/>
    <s v="Satisfied"/>
    <s v="Yes"/>
    <s v="Yes"/>
    <s v="Resolved"/>
    <n v="1"/>
    <n v="0"/>
    <n v="1"/>
    <n v="1"/>
    <n v="0"/>
    <n v="1"/>
    <n v="1"/>
  </r>
  <r>
    <s v="TKT-00035"/>
    <n v="19.3"/>
    <x v="356"/>
    <d v="2026-05-02T09:27:00"/>
    <x v="0"/>
    <x v="3"/>
    <s v="Web Form"/>
    <x v="1"/>
    <x v="2"/>
    <x v="0"/>
    <x v="1"/>
    <x v="3"/>
    <n v="119"/>
    <n v="3"/>
    <n v="1"/>
    <n v="6"/>
    <s v="No"/>
    <n v="120"/>
    <n v="24"/>
    <s v="Yes"/>
    <x v="0"/>
    <n v="2026"/>
    <n v="5"/>
    <s v="maio"/>
    <x v="2"/>
    <s v="Neutral"/>
    <s v="Yes"/>
    <s v="Yes"/>
    <s v="Resolved"/>
    <n v="1"/>
    <n v="0"/>
    <n v="1"/>
    <n v="1"/>
    <n v="0"/>
    <n v="1"/>
    <n v="1"/>
  </r>
  <r>
    <s v="TKT-00858"/>
    <m/>
    <x v="357"/>
    <m/>
    <x v="1"/>
    <x v="1"/>
    <s v="Email"/>
    <x v="3"/>
    <x v="2"/>
    <x v="1"/>
    <x v="1"/>
    <x v="1"/>
    <n v="192"/>
    <m/>
    <n v="0"/>
    <n v="7"/>
    <s v="No"/>
    <n v="240"/>
    <n v="48"/>
    <s v="Yes"/>
    <x v="2"/>
    <n v="2026"/>
    <n v="5"/>
    <s v="maio"/>
    <x v="2"/>
    <s v="No Response"/>
    <s v="No"/>
    <s v="No"/>
    <s v="Open"/>
    <n v="1"/>
    <n v="1"/>
    <n v="0"/>
    <n v="0"/>
    <n v="0"/>
    <n v="1"/>
    <m/>
  </r>
  <r>
    <s v="TKT-00857"/>
    <n v="28.86"/>
    <x v="358"/>
    <d v="2026-01-11T18:42:41"/>
    <x v="0"/>
    <x v="3"/>
    <s v="Chat"/>
    <x v="2"/>
    <x v="1"/>
    <x v="2"/>
    <x v="1"/>
    <x v="1"/>
    <n v="131"/>
    <n v="4"/>
    <n v="0"/>
    <n v="6"/>
    <s v="No"/>
    <n v="120"/>
    <n v="24"/>
    <s v="No"/>
    <x v="1"/>
    <n v="2026"/>
    <n v="1"/>
    <s v="janeiro"/>
    <x v="1"/>
    <s v="Satisfied"/>
    <s v="No"/>
    <s v="Yes"/>
    <s v="Resolved"/>
    <n v="1"/>
    <n v="0"/>
    <n v="1"/>
    <n v="0"/>
    <n v="0"/>
    <n v="0"/>
    <n v="0"/>
  </r>
  <r>
    <s v="TKT-00311"/>
    <n v="34.590000000000003"/>
    <x v="359"/>
    <d v="2026-05-03T11:28:22"/>
    <x v="0"/>
    <x v="3"/>
    <s v="Chat"/>
    <x v="4"/>
    <x v="1"/>
    <x v="3"/>
    <x v="1"/>
    <x v="5"/>
    <n v="93"/>
    <n v="4"/>
    <n v="0"/>
    <n v="4"/>
    <s v="No"/>
    <n v="120"/>
    <n v="24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798"/>
    <n v="71.06"/>
    <x v="360"/>
    <d v="2026-04-18T13:15:41"/>
    <x v="0"/>
    <x v="1"/>
    <s v="Web Form"/>
    <x v="4"/>
    <x v="1"/>
    <x v="3"/>
    <x v="0"/>
    <x v="6"/>
    <n v="187"/>
    <n v="4"/>
    <n v="0"/>
    <n v="5"/>
    <s v="No"/>
    <n v="240"/>
    <n v="48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635"/>
    <n v="48.04"/>
    <x v="361"/>
    <d v="2026-08-11T03:59:11"/>
    <x v="0"/>
    <x v="3"/>
    <s v="Email"/>
    <x v="0"/>
    <x v="2"/>
    <x v="0"/>
    <x v="1"/>
    <x v="10"/>
    <n v="84"/>
    <n v="4"/>
    <n v="0"/>
    <n v="4"/>
    <s v="No"/>
    <n v="120"/>
    <n v="24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417"/>
    <n v="15.84"/>
    <x v="362"/>
    <d v="2026-04-11T00:32:28"/>
    <x v="0"/>
    <x v="3"/>
    <s v="Chat"/>
    <x v="1"/>
    <x v="0"/>
    <x v="2"/>
    <x v="2"/>
    <x v="10"/>
    <n v="62"/>
    <n v="4"/>
    <n v="0"/>
    <n v="11"/>
    <s v="Yes"/>
    <n v="120"/>
    <n v="24"/>
    <s v="Yes"/>
    <x v="0"/>
    <n v="2026"/>
    <n v="4"/>
    <s v="abril"/>
    <x v="0"/>
    <s v="Satisfied"/>
    <s v="No"/>
    <s v="Yes"/>
    <s v="Resolved"/>
    <n v="1"/>
    <n v="0"/>
    <n v="1"/>
    <n v="0"/>
    <n v="1"/>
    <n v="1"/>
    <n v="1"/>
  </r>
  <r>
    <s v="TKT-00340"/>
    <n v="13.22"/>
    <x v="363"/>
    <d v="2026-03-24T06:31:16"/>
    <x v="0"/>
    <x v="3"/>
    <s v="Email"/>
    <x v="1"/>
    <x v="2"/>
    <x v="2"/>
    <x v="2"/>
    <x v="10"/>
    <n v="77"/>
    <n v="5"/>
    <n v="0"/>
    <n v="3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219"/>
    <n v="19.88"/>
    <x v="364"/>
    <d v="2026-01-08T00:59:54"/>
    <x v="0"/>
    <x v="3"/>
    <s v="Email"/>
    <x v="0"/>
    <x v="2"/>
    <x v="1"/>
    <x v="3"/>
    <x v="2"/>
    <n v="148"/>
    <n v="4"/>
    <n v="1"/>
    <n v="7"/>
    <s v="No"/>
    <n v="120"/>
    <n v="24"/>
    <s v="No"/>
    <x v="0"/>
    <n v="2026"/>
    <n v="1"/>
    <s v="janeiro"/>
    <x v="1"/>
    <s v="Satisfied"/>
    <s v="Yes"/>
    <s v="Yes"/>
    <s v="Resolved"/>
    <n v="1"/>
    <n v="0"/>
    <n v="1"/>
    <n v="1"/>
    <n v="0"/>
    <n v="0"/>
    <n v="1"/>
  </r>
  <r>
    <s v="TKT-00716"/>
    <m/>
    <x v="365"/>
    <m/>
    <x v="1"/>
    <x v="3"/>
    <s v="Email"/>
    <x v="0"/>
    <x v="2"/>
    <x v="3"/>
    <x v="2"/>
    <x v="6"/>
    <n v="95"/>
    <m/>
    <n v="0"/>
    <n v="5"/>
    <s v="No"/>
    <n v="120"/>
    <n v="24"/>
    <s v="Yes"/>
    <x v="2"/>
    <n v="2026"/>
    <n v="8"/>
    <s v="agosto"/>
    <x v="3"/>
    <s v="No Response"/>
    <s v="No"/>
    <s v="No"/>
    <s v="Open"/>
    <n v="1"/>
    <n v="1"/>
    <n v="0"/>
    <n v="0"/>
    <n v="0"/>
    <n v="1"/>
    <m/>
  </r>
  <r>
    <s v="TKT-00292"/>
    <n v="6.09"/>
    <x v="366"/>
    <d v="2026-03-18T05:39:27"/>
    <x v="0"/>
    <x v="0"/>
    <s v="Web Form"/>
    <x v="2"/>
    <x v="1"/>
    <x v="2"/>
    <x v="4"/>
    <x v="6"/>
    <n v="13"/>
    <n v="4"/>
    <n v="0"/>
    <n v="6"/>
    <s v="No"/>
    <n v="15"/>
    <n v="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980"/>
    <n v="54.54"/>
    <x v="367"/>
    <d v="2026-08-12T02:14:24"/>
    <x v="0"/>
    <x v="1"/>
    <s v="Chat"/>
    <x v="0"/>
    <x v="0"/>
    <x v="0"/>
    <x v="2"/>
    <x v="3"/>
    <n v="136"/>
    <n v="4"/>
    <n v="0"/>
    <n v="7"/>
    <s v="No"/>
    <n v="240"/>
    <n v="48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273"/>
    <n v="57.18"/>
    <x v="368"/>
    <d v="2026-05-08T17:07:39"/>
    <x v="0"/>
    <x v="3"/>
    <s v="Web Form"/>
    <x v="0"/>
    <x v="0"/>
    <x v="1"/>
    <x v="1"/>
    <x v="9"/>
    <n v="140"/>
    <n v="3"/>
    <n v="1"/>
    <n v="8"/>
    <s v="Yes"/>
    <n v="120"/>
    <n v="24"/>
    <s v="No"/>
    <x v="1"/>
    <n v="2026"/>
    <n v="5"/>
    <s v="maio"/>
    <x v="2"/>
    <s v="Neutral"/>
    <s v="Yes"/>
    <s v="Yes"/>
    <s v="Resolved"/>
    <n v="1"/>
    <n v="0"/>
    <n v="1"/>
    <n v="1"/>
    <n v="1"/>
    <n v="0"/>
    <n v="0"/>
  </r>
  <r>
    <s v="TKT-00496"/>
    <n v="68.14"/>
    <x v="369"/>
    <d v="2026-04-21T01:26:10"/>
    <x v="0"/>
    <x v="1"/>
    <s v="Phone"/>
    <x v="2"/>
    <x v="1"/>
    <x v="2"/>
    <x v="1"/>
    <x v="0"/>
    <n v="593"/>
    <n v="3"/>
    <n v="0"/>
    <n v="4"/>
    <s v="No"/>
    <n v="240"/>
    <n v="48"/>
    <s v="No"/>
    <x v="1"/>
    <n v="2026"/>
    <n v="4"/>
    <s v="abril"/>
    <x v="0"/>
    <s v="Neutral"/>
    <s v="No"/>
    <s v="Yes"/>
    <s v="Resolved"/>
    <n v="1"/>
    <n v="0"/>
    <n v="1"/>
    <n v="0"/>
    <n v="0"/>
    <n v="0"/>
    <n v="0"/>
  </r>
  <r>
    <s v="TKT-00895"/>
    <n v="53.21"/>
    <x v="370"/>
    <d v="2026-03-17T20:25:24"/>
    <x v="0"/>
    <x v="1"/>
    <s v="Email"/>
    <x v="4"/>
    <x v="0"/>
    <x v="2"/>
    <x v="2"/>
    <x v="0"/>
    <n v="94"/>
    <n v="3"/>
    <n v="0"/>
    <n v="10"/>
    <s v="Yes"/>
    <n v="240"/>
    <n v="48"/>
    <s v="Yes"/>
    <x v="1"/>
    <n v="2026"/>
    <n v="3"/>
    <s v="março"/>
    <x v="7"/>
    <s v="Neutral"/>
    <s v="No"/>
    <s v="Yes"/>
    <s v="Resolved"/>
    <n v="1"/>
    <n v="0"/>
    <n v="1"/>
    <n v="0"/>
    <n v="1"/>
    <n v="1"/>
    <n v="0"/>
  </r>
  <r>
    <s v="TKT-00200"/>
    <n v="59.02"/>
    <x v="371"/>
    <d v="2026-04-08T17:14:56"/>
    <x v="0"/>
    <x v="3"/>
    <s v="Web Form"/>
    <x v="2"/>
    <x v="2"/>
    <x v="1"/>
    <x v="1"/>
    <x v="0"/>
    <n v="147"/>
    <n v="4"/>
    <n v="0"/>
    <n v="3"/>
    <s v="No"/>
    <n v="120"/>
    <n v="24"/>
    <s v="No"/>
    <x v="1"/>
    <n v="2026"/>
    <n v="4"/>
    <s v="abril"/>
    <x v="0"/>
    <s v="Satisfied"/>
    <s v="No"/>
    <s v="Yes"/>
    <s v="Resolved"/>
    <n v="1"/>
    <n v="0"/>
    <n v="1"/>
    <n v="0"/>
    <n v="0"/>
    <n v="0"/>
    <n v="0"/>
  </r>
  <r>
    <s v="TKT-00554"/>
    <n v="9.11"/>
    <x v="372"/>
    <d v="2026-01-20T20:44:20"/>
    <x v="0"/>
    <x v="2"/>
    <s v="Email"/>
    <x v="4"/>
    <x v="0"/>
    <x v="2"/>
    <x v="1"/>
    <x v="6"/>
    <n v="29"/>
    <n v="4"/>
    <n v="0"/>
    <n v="9"/>
    <s v="Yes"/>
    <n v="30"/>
    <n v="8"/>
    <s v="Yes"/>
    <x v="1"/>
    <n v="2026"/>
    <n v="1"/>
    <s v="janeiro"/>
    <x v="1"/>
    <s v="Satisfied"/>
    <s v="No"/>
    <s v="Yes"/>
    <s v="Resolved"/>
    <n v="1"/>
    <n v="0"/>
    <n v="1"/>
    <n v="0"/>
    <n v="1"/>
    <n v="1"/>
    <n v="0"/>
  </r>
  <r>
    <s v="TKT-01007"/>
    <n v="44.29"/>
    <x v="373"/>
    <d v="2026-08-29T06:08:33"/>
    <x v="0"/>
    <x v="1"/>
    <s v="Chat"/>
    <x v="0"/>
    <x v="2"/>
    <x v="1"/>
    <x v="1"/>
    <x v="0"/>
    <n v="360"/>
    <n v="3"/>
    <n v="0"/>
    <n v="4"/>
    <s v="No"/>
    <n v="240"/>
    <n v="48"/>
    <s v="No"/>
    <x v="0"/>
    <n v="2026"/>
    <n v="8"/>
    <s v="agosto"/>
    <x v="3"/>
    <s v="Neutral"/>
    <s v="No"/>
    <s v="Yes"/>
    <s v="Resolved"/>
    <n v="1"/>
    <n v="0"/>
    <n v="1"/>
    <n v="0"/>
    <n v="0"/>
    <n v="0"/>
    <n v="1"/>
  </r>
  <r>
    <s v="TKT-00521"/>
    <n v="11.64"/>
    <x v="374"/>
    <d v="2026-04-16T18:30:11"/>
    <x v="0"/>
    <x v="2"/>
    <s v="Chat"/>
    <x v="4"/>
    <x v="0"/>
    <x v="1"/>
    <x v="5"/>
    <x v="3"/>
    <n v="64"/>
    <n v="4"/>
    <n v="0"/>
    <n v="7"/>
    <s v="No"/>
    <n v="30"/>
    <n v="8"/>
    <s v="No"/>
    <x v="1"/>
    <n v="2026"/>
    <n v="4"/>
    <s v="abril"/>
    <x v="0"/>
    <s v="Satisfied"/>
    <s v="No"/>
    <s v="Yes"/>
    <s v="Resolved"/>
    <n v="1"/>
    <n v="0"/>
    <n v="1"/>
    <n v="0"/>
    <n v="0"/>
    <n v="0"/>
    <n v="0"/>
  </r>
  <r>
    <s v="TKT-00160"/>
    <n v="7.83"/>
    <x v="375"/>
    <d v="2026-02-25T12:11:56"/>
    <x v="0"/>
    <x v="2"/>
    <s v="Chat"/>
    <x v="1"/>
    <x v="1"/>
    <x v="2"/>
    <x v="3"/>
    <x v="10"/>
    <n v="45"/>
    <n v="4"/>
    <n v="0"/>
    <n v="4"/>
    <s v="No"/>
    <n v="30"/>
    <n v="8"/>
    <s v="No"/>
    <x v="0"/>
    <n v="2026"/>
    <n v="2"/>
    <s v="fevereiro"/>
    <x v="4"/>
    <s v="Satisfied"/>
    <s v="No"/>
    <s v="Yes"/>
    <s v="Resolved"/>
    <n v="1"/>
    <n v="0"/>
    <n v="1"/>
    <n v="0"/>
    <n v="0"/>
    <n v="0"/>
    <n v="1"/>
  </r>
  <r>
    <s v="TKT-00853"/>
    <n v="5.22"/>
    <x v="376"/>
    <d v="2026-06-22T03:29:15"/>
    <x v="0"/>
    <x v="0"/>
    <s v="Phone"/>
    <x v="4"/>
    <x v="1"/>
    <x v="3"/>
    <x v="1"/>
    <x v="1"/>
    <n v="10"/>
    <n v="4"/>
    <n v="0"/>
    <n v="3"/>
    <s v="No"/>
    <n v="15"/>
    <n v="4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0300"/>
    <n v="27.81"/>
    <x v="377"/>
    <d v="2026-01-27T06:26:53"/>
    <x v="0"/>
    <x v="3"/>
    <s v="Chat"/>
    <x v="4"/>
    <x v="0"/>
    <x v="2"/>
    <x v="1"/>
    <x v="5"/>
    <n v="132"/>
    <n v="3"/>
    <n v="1"/>
    <n v="7"/>
    <s v="No"/>
    <n v="120"/>
    <n v="24"/>
    <s v="No"/>
    <x v="1"/>
    <n v="2026"/>
    <n v="1"/>
    <s v="janeiro"/>
    <x v="1"/>
    <s v="Neutral"/>
    <s v="Yes"/>
    <s v="Yes"/>
    <s v="Resolved"/>
    <n v="1"/>
    <n v="0"/>
    <n v="1"/>
    <n v="1"/>
    <n v="0"/>
    <n v="0"/>
    <n v="0"/>
  </r>
  <r>
    <s v="TKT-00584"/>
    <n v="14.09"/>
    <x v="378"/>
    <d v="2026-04-27T04:12:24"/>
    <x v="0"/>
    <x v="1"/>
    <s v="Phone"/>
    <x v="1"/>
    <x v="1"/>
    <x v="2"/>
    <x v="2"/>
    <x v="4"/>
    <n v="267"/>
    <n v="3"/>
    <n v="0"/>
    <n v="2"/>
    <s v="No"/>
    <n v="240"/>
    <n v="48"/>
    <s v="No"/>
    <x v="0"/>
    <n v="2026"/>
    <n v="4"/>
    <s v="abril"/>
    <x v="0"/>
    <s v="Neutral"/>
    <s v="No"/>
    <s v="Yes"/>
    <s v="Resolved"/>
    <n v="1"/>
    <n v="0"/>
    <n v="1"/>
    <n v="0"/>
    <n v="0"/>
    <n v="0"/>
    <n v="1"/>
  </r>
  <r>
    <s v="TKT-00367"/>
    <n v="15.08"/>
    <x v="379"/>
    <d v="2026-02-21T02:31:54"/>
    <x v="0"/>
    <x v="3"/>
    <s v="Email"/>
    <x v="0"/>
    <x v="1"/>
    <x v="3"/>
    <x v="1"/>
    <x v="9"/>
    <n v="234"/>
    <n v="3"/>
    <n v="0"/>
    <n v="3"/>
    <s v="No"/>
    <n v="120"/>
    <n v="24"/>
    <s v="No"/>
    <x v="0"/>
    <n v="2026"/>
    <n v="2"/>
    <s v="fevereiro"/>
    <x v="4"/>
    <s v="Neutral"/>
    <s v="No"/>
    <s v="Yes"/>
    <s v="Resolved"/>
    <n v="1"/>
    <n v="0"/>
    <n v="1"/>
    <n v="0"/>
    <n v="0"/>
    <n v="0"/>
    <n v="1"/>
  </r>
  <r>
    <s v="TKT-00128"/>
    <n v="28.19"/>
    <x v="380"/>
    <d v="2026-01-21T14:24:18"/>
    <x v="0"/>
    <x v="2"/>
    <s v="Web Form"/>
    <x v="0"/>
    <x v="0"/>
    <x v="1"/>
    <x v="1"/>
    <x v="2"/>
    <n v="109"/>
    <n v="4"/>
    <n v="0"/>
    <n v="4"/>
    <s v="No"/>
    <n v="30"/>
    <n v="8"/>
    <s v="No"/>
    <x v="1"/>
    <n v="2026"/>
    <n v="1"/>
    <s v="janeiro"/>
    <x v="1"/>
    <s v="Satisfied"/>
    <s v="No"/>
    <s v="Yes"/>
    <s v="Resolved"/>
    <n v="1"/>
    <n v="0"/>
    <n v="1"/>
    <n v="0"/>
    <n v="0"/>
    <n v="0"/>
    <n v="0"/>
  </r>
  <r>
    <s v="TKT-00067"/>
    <n v="38.229999999999997"/>
    <x v="381"/>
    <d v="2026-08-26T01:37:46"/>
    <x v="0"/>
    <x v="1"/>
    <s v="Phone"/>
    <x v="0"/>
    <x v="1"/>
    <x v="2"/>
    <x v="1"/>
    <x v="9"/>
    <n v="304"/>
    <n v="3"/>
    <n v="1"/>
    <n v="5"/>
    <s v="No"/>
    <n v="240"/>
    <n v="48"/>
    <s v="No"/>
    <x v="0"/>
    <n v="2026"/>
    <n v="8"/>
    <s v="agosto"/>
    <x v="3"/>
    <s v="Neutral"/>
    <s v="Yes"/>
    <s v="Yes"/>
    <s v="Resolved"/>
    <n v="1"/>
    <n v="0"/>
    <n v="1"/>
    <n v="1"/>
    <n v="0"/>
    <n v="0"/>
    <n v="1"/>
  </r>
  <r>
    <s v="TKT-00636"/>
    <n v="30.92"/>
    <x v="382"/>
    <d v="2026-07-12T15:22:17"/>
    <x v="0"/>
    <x v="1"/>
    <s v="Chat"/>
    <x v="2"/>
    <x v="0"/>
    <x v="3"/>
    <x v="2"/>
    <x v="0"/>
    <n v="140"/>
    <n v="4"/>
    <n v="0"/>
    <n v="5"/>
    <s v="No"/>
    <n v="240"/>
    <n v="48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1075"/>
    <n v="30.86"/>
    <x v="383"/>
    <d v="2026-05-15T00:57:35"/>
    <x v="0"/>
    <x v="3"/>
    <s v="Chat"/>
    <x v="1"/>
    <x v="2"/>
    <x v="0"/>
    <x v="2"/>
    <x v="2"/>
    <n v="142"/>
    <n v="4"/>
    <n v="0"/>
    <n v="6"/>
    <s v="No"/>
    <n v="120"/>
    <n v="24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1103"/>
    <n v="6.45"/>
    <x v="384"/>
    <d v="2026-03-15T20:12:06"/>
    <x v="0"/>
    <x v="3"/>
    <s v="Web Form"/>
    <x v="0"/>
    <x v="1"/>
    <x v="0"/>
    <x v="0"/>
    <x v="3"/>
    <n v="36"/>
    <n v="4"/>
    <n v="0"/>
    <n v="6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1120"/>
    <n v="4.53"/>
    <x v="385"/>
    <d v="2026-04-10T17:46:51"/>
    <x v="0"/>
    <x v="2"/>
    <s v="Email"/>
    <x v="2"/>
    <x v="1"/>
    <x v="0"/>
    <x v="0"/>
    <x v="0"/>
    <n v="29"/>
    <n v="5"/>
    <n v="0"/>
    <n v="2"/>
    <s v="No"/>
    <n v="30"/>
    <n v="8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796"/>
    <n v="19.39"/>
    <x v="386"/>
    <d v="2026-01-14T13:09:34"/>
    <x v="0"/>
    <x v="1"/>
    <s v="Web Form"/>
    <x v="0"/>
    <x v="2"/>
    <x v="2"/>
    <x v="2"/>
    <x v="5"/>
    <n v="193"/>
    <n v="4"/>
    <n v="0"/>
    <n v="3"/>
    <s v="No"/>
    <n v="240"/>
    <n v="48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963"/>
    <n v="5.72"/>
    <x v="387"/>
    <d v="2026-05-19T14:30:55"/>
    <x v="0"/>
    <x v="2"/>
    <s v="Email"/>
    <x v="3"/>
    <x v="0"/>
    <x v="2"/>
    <x v="0"/>
    <x v="7"/>
    <n v="42"/>
    <n v="5"/>
    <n v="0"/>
    <n v="3"/>
    <s v="No"/>
    <n v="30"/>
    <n v="8"/>
    <s v="No"/>
    <x v="0"/>
    <n v="2026"/>
    <n v="5"/>
    <s v="maio"/>
    <x v="2"/>
    <s v="Satisfied"/>
    <s v="No"/>
    <s v="Yes"/>
    <s v="Resolved"/>
    <n v="1"/>
    <n v="0"/>
    <n v="1"/>
    <n v="0"/>
    <n v="0"/>
    <n v="0"/>
    <n v="1"/>
  </r>
  <r>
    <s v="TKT-00391"/>
    <n v="2.5099999999999998"/>
    <x v="388"/>
    <d v="2026-01-01T15:32:32"/>
    <x v="0"/>
    <x v="0"/>
    <s v="Email"/>
    <x v="2"/>
    <x v="2"/>
    <x v="1"/>
    <x v="2"/>
    <x v="1"/>
    <n v="8"/>
    <n v="4"/>
    <n v="1"/>
    <n v="8"/>
    <s v="No"/>
    <n v="15"/>
    <n v="4"/>
    <s v="Yes"/>
    <x v="0"/>
    <n v="2026"/>
    <n v="1"/>
    <s v="janeiro"/>
    <x v="1"/>
    <s v="Satisfied"/>
    <s v="Yes"/>
    <s v="Yes"/>
    <s v="Resolved"/>
    <n v="1"/>
    <n v="0"/>
    <n v="1"/>
    <n v="1"/>
    <n v="0"/>
    <n v="1"/>
    <n v="1"/>
  </r>
  <r>
    <s v="TKT-00189"/>
    <n v="9.6300000000000008"/>
    <x v="389"/>
    <d v="2026-02-07T14:58:32"/>
    <x v="0"/>
    <x v="3"/>
    <s v="Phone"/>
    <x v="2"/>
    <x v="2"/>
    <x v="1"/>
    <x v="0"/>
    <x v="0"/>
    <n v="108"/>
    <n v="3"/>
    <n v="2"/>
    <n v="12"/>
    <s v="No"/>
    <n v="120"/>
    <n v="24"/>
    <s v="Yes"/>
    <x v="0"/>
    <n v="2026"/>
    <n v="2"/>
    <s v="fevereiro"/>
    <x v="4"/>
    <s v="Neutral"/>
    <s v="Yes"/>
    <s v="Yes"/>
    <s v="Resolved"/>
    <n v="1"/>
    <n v="0"/>
    <n v="1"/>
    <n v="1"/>
    <n v="0"/>
    <n v="1"/>
    <n v="1"/>
  </r>
  <r>
    <s v="TKT-00372"/>
    <n v="4.63"/>
    <x v="390"/>
    <d v="2026-04-23T23:14:01"/>
    <x v="0"/>
    <x v="2"/>
    <s v="Phone"/>
    <x v="2"/>
    <x v="1"/>
    <x v="2"/>
    <x v="2"/>
    <x v="5"/>
    <n v="52"/>
    <n v="4"/>
    <n v="1"/>
    <n v="7"/>
    <s v="No"/>
    <n v="30"/>
    <n v="8"/>
    <s v="No"/>
    <x v="0"/>
    <n v="2026"/>
    <n v="4"/>
    <s v="abril"/>
    <x v="0"/>
    <s v="Satisfied"/>
    <s v="Yes"/>
    <s v="Yes"/>
    <s v="Resolved"/>
    <n v="1"/>
    <n v="0"/>
    <n v="1"/>
    <n v="1"/>
    <n v="0"/>
    <n v="0"/>
    <n v="1"/>
  </r>
  <r>
    <s v="TKT-00195"/>
    <n v="7.6"/>
    <x v="391"/>
    <d v="2026-05-09T20:01:44"/>
    <x v="0"/>
    <x v="2"/>
    <s v="Email"/>
    <x v="2"/>
    <x v="1"/>
    <x v="0"/>
    <x v="2"/>
    <x v="1"/>
    <n v="40"/>
    <n v="4"/>
    <n v="0"/>
    <n v="6"/>
    <s v="Yes"/>
    <n v="30"/>
    <n v="8"/>
    <s v="No"/>
    <x v="0"/>
    <n v="2026"/>
    <n v="5"/>
    <s v="maio"/>
    <x v="2"/>
    <s v="Satisfied"/>
    <s v="No"/>
    <s v="Yes"/>
    <s v="Resolved"/>
    <n v="1"/>
    <n v="0"/>
    <n v="1"/>
    <n v="0"/>
    <n v="1"/>
    <n v="0"/>
    <n v="1"/>
  </r>
  <r>
    <s v="TKT-00331"/>
    <n v="16.86"/>
    <x v="392"/>
    <d v="2026-07-06T10:16:44"/>
    <x v="0"/>
    <x v="3"/>
    <s v="Chat"/>
    <x v="0"/>
    <x v="1"/>
    <x v="1"/>
    <x v="2"/>
    <x v="0"/>
    <n v="157"/>
    <n v="4"/>
    <n v="0"/>
    <n v="3"/>
    <s v="No"/>
    <n v="120"/>
    <n v="24"/>
    <s v="No"/>
    <x v="0"/>
    <n v="2026"/>
    <n v="7"/>
    <s v="julho"/>
    <x v="6"/>
    <s v="Satisfied"/>
    <s v="No"/>
    <s v="Yes"/>
    <s v="Resolved"/>
    <n v="1"/>
    <n v="0"/>
    <n v="1"/>
    <n v="0"/>
    <n v="0"/>
    <n v="0"/>
    <n v="1"/>
  </r>
  <r>
    <s v="TKT-00524"/>
    <n v="82.96"/>
    <x v="393"/>
    <d v="2026-01-12T15:17:50"/>
    <x v="0"/>
    <x v="1"/>
    <s v="Email"/>
    <x v="0"/>
    <x v="1"/>
    <x v="2"/>
    <x v="3"/>
    <x v="8"/>
    <n v="166"/>
    <n v="3"/>
    <n v="0"/>
    <n v="5"/>
    <s v="No"/>
    <n v="240"/>
    <n v="48"/>
    <s v="Yes"/>
    <x v="1"/>
    <n v="2026"/>
    <n v="1"/>
    <s v="janeiro"/>
    <x v="1"/>
    <s v="Neutral"/>
    <s v="No"/>
    <s v="Yes"/>
    <s v="Resolved"/>
    <n v="1"/>
    <n v="0"/>
    <n v="1"/>
    <n v="0"/>
    <n v="0"/>
    <n v="1"/>
    <n v="0"/>
  </r>
  <r>
    <s v="TKT-00359"/>
    <n v="169.56"/>
    <x v="394"/>
    <d v="2026-03-05T18:22:33"/>
    <x v="0"/>
    <x v="1"/>
    <s v="Web Form"/>
    <x v="0"/>
    <x v="1"/>
    <x v="0"/>
    <x v="1"/>
    <x v="0"/>
    <n v="68"/>
    <n v="4"/>
    <n v="0"/>
    <n v="3"/>
    <s v="No"/>
    <n v="240"/>
    <n v="48"/>
    <s v="Yes"/>
    <x v="1"/>
    <n v="2026"/>
    <n v="2"/>
    <s v="fevereiro"/>
    <x v="4"/>
    <s v="Satisfied"/>
    <s v="No"/>
    <s v="Yes"/>
    <s v="Resolved"/>
    <n v="1"/>
    <n v="0"/>
    <n v="1"/>
    <n v="0"/>
    <n v="0"/>
    <n v="1"/>
    <n v="0"/>
  </r>
  <r>
    <s v="TKT-00962"/>
    <n v="75.790000000000006"/>
    <x v="395"/>
    <d v="2026-01-12T05:00:39"/>
    <x v="0"/>
    <x v="3"/>
    <s v="Chat"/>
    <x v="0"/>
    <x v="2"/>
    <x v="1"/>
    <x v="3"/>
    <x v="10"/>
    <n v="112"/>
    <n v="3"/>
    <n v="0"/>
    <n v="7"/>
    <s v="Yes"/>
    <n v="120"/>
    <n v="24"/>
    <s v="Yes"/>
    <x v="1"/>
    <n v="2026"/>
    <n v="1"/>
    <s v="janeiro"/>
    <x v="1"/>
    <s v="Neutral"/>
    <s v="No"/>
    <s v="Yes"/>
    <s v="Resolved"/>
    <n v="1"/>
    <n v="0"/>
    <n v="1"/>
    <n v="0"/>
    <n v="1"/>
    <n v="1"/>
    <n v="0"/>
  </r>
  <r>
    <s v="TKT-00048"/>
    <n v="27.2"/>
    <x v="396"/>
    <d v="2026-03-27T12:21:12"/>
    <x v="0"/>
    <x v="3"/>
    <s v="Chat"/>
    <x v="2"/>
    <x v="2"/>
    <x v="0"/>
    <x v="0"/>
    <x v="5"/>
    <n v="89"/>
    <n v="4"/>
    <n v="0"/>
    <n v="6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928"/>
    <n v="64.03"/>
    <x v="397"/>
    <d v="2026-02-02T07:00:59"/>
    <x v="0"/>
    <x v="1"/>
    <s v="Chat"/>
    <x v="1"/>
    <x v="2"/>
    <x v="3"/>
    <x v="1"/>
    <x v="10"/>
    <n v="264"/>
    <n v="3"/>
    <n v="0"/>
    <n v="5"/>
    <s v="No"/>
    <n v="240"/>
    <n v="48"/>
    <s v="No"/>
    <x v="1"/>
    <n v="2026"/>
    <n v="1"/>
    <s v="janeiro"/>
    <x v="1"/>
    <s v="Neutral"/>
    <s v="No"/>
    <s v="Yes"/>
    <s v="Resolved"/>
    <n v="1"/>
    <n v="0"/>
    <n v="1"/>
    <n v="0"/>
    <n v="0"/>
    <n v="0"/>
    <n v="0"/>
  </r>
  <r>
    <s v="TKT-00643"/>
    <n v="19.95"/>
    <x v="398"/>
    <d v="2026-04-16T19:47:52"/>
    <x v="0"/>
    <x v="2"/>
    <s v="Email"/>
    <x v="0"/>
    <x v="2"/>
    <x v="3"/>
    <x v="4"/>
    <x v="3"/>
    <n v="16"/>
    <n v="4"/>
    <n v="0"/>
    <n v="8"/>
    <s v="Yes"/>
    <n v="30"/>
    <n v="8"/>
    <s v="Yes"/>
    <x v="1"/>
    <n v="2026"/>
    <n v="4"/>
    <s v="abril"/>
    <x v="0"/>
    <s v="Satisfied"/>
    <s v="No"/>
    <s v="Yes"/>
    <s v="Resolved"/>
    <n v="1"/>
    <n v="0"/>
    <n v="1"/>
    <n v="0"/>
    <n v="1"/>
    <n v="1"/>
    <n v="0"/>
  </r>
  <r>
    <s v="TKT-00438"/>
    <n v="37.65"/>
    <x v="399"/>
    <d v="2026-04-10T10:22:04"/>
    <x v="0"/>
    <x v="3"/>
    <s v="Phone"/>
    <x v="0"/>
    <x v="0"/>
    <x v="2"/>
    <x v="5"/>
    <x v="9"/>
    <n v="162"/>
    <n v="4"/>
    <n v="0"/>
    <n v="7"/>
    <s v="No"/>
    <n v="120"/>
    <n v="24"/>
    <s v="No"/>
    <x v="1"/>
    <n v="2026"/>
    <n v="4"/>
    <s v="abril"/>
    <x v="0"/>
    <s v="Satisfied"/>
    <s v="No"/>
    <s v="Yes"/>
    <s v="Resolved"/>
    <n v="1"/>
    <n v="0"/>
    <n v="1"/>
    <n v="0"/>
    <n v="0"/>
    <n v="0"/>
    <n v="0"/>
  </r>
  <r>
    <s v="TKT-01074"/>
    <n v="25"/>
    <x v="400"/>
    <d v="2026-04-15T03:08:06"/>
    <x v="0"/>
    <x v="2"/>
    <s v="Email"/>
    <x v="4"/>
    <x v="0"/>
    <x v="2"/>
    <x v="1"/>
    <x v="6"/>
    <n v="67"/>
    <n v="4"/>
    <n v="1"/>
    <n v="7"/>
    <s v="No"/>
    <n v="30"/>
    <n v="8"/>
    <s v="No"/>
    <x v="1"/>
    <n v="2026"/>
    <n v="4"/>
    <s v="abril"/>
    <x v="0"/>
    <s v="Satisfied"/>
    <s v="Yes"/>
    <s v="Yes"/>
    <s v="Resolved"/>
    <n v="1"/>
    <n v="0"/>
    <n v="1"/>
    <n v="1"/>
    <n v="0"/>
    <n v="0"/>
    <n v="0"/>
  </r>
  <r>
    <s v="TKT-00068"/>
    <n v="32.65"/>
    <x v="401"/>
    <d v="2026-02-27T05:27:44"/>
    <x v="0"/>
    <x v="1"/>
    <s v="Phone"/>
    <x v="1"/>
    <x v="0"/>
    <x v="3"/>
    <x v="1"/>
    <x v="9"/>
    <n v="261"/>
    <n v="3"/>
    <n v="0"/>
    <n v="6"/>
    <s v="No"/>
    <n v="240"/>
    <n v="48"/>
    <s v="No"/>
    <x v="0"/>
    <n v="2026"/>
    <n v="2"/>
    <s v="fevereiro"/>
    <x v="4"/>
    <s v="Neutral"/>
    <s v="No"/>
    <s v="Yes"/>
    <s v="Resolved"/>
    <n v="1"/>
    <n v="0"/>
    <n v="1"/>
    <n v="0"/>
    <n v="0"/>
    <n v="0"/>
    <n v="1"/>
  </r>
  <r>
    <s v="TKT-00506"/>
    <n v="33.11"/>
    <x v="402"/>
    <d v="2026-03-30T08:51:25"/>
    <x v="0"/>
    <x v="3"/>
    <s v="Email"/>
    <x v="2"/>
    <x v="1"/>
    <x v="2"/>
    <x v="3"/>
    <x v="5"/>
    <n v="55"/>
    <n v="4"/>
    <n v="1"/>
    <n v="6"/>
    <s v="No"/>
    <n v="120"/>
    <n v="24"/>
    <s v="Yes"/>
    <x v="1"/>
    <n v="2026"/>
    <n v="3"/>
    <s v="março"/>
    <x v="7"/>
    <s v="Satisfied"/>
    <s v="Yes"/>
    <s v="Yes"/>
    <s v="Resolved"/>
    <n v="1"/>
    <n v="0"/>
    <n v="1"/>
    <n v="1"/>
    <n v="0"/>
    <n v="1"/>
    <n v="0"/>
  </r>
  <r>
    <s v="TKT-00120"/>
    <n v="24.27"/>
    <x v="403"/>
    <d v="2026-04-06T03:33:00"/>
    <x v="0"/>
    <x v="3"/>
    <s v="Chat"/>
    <x v="1"/>
    <x v="2"/>
    <x v="3"/>
    <x v="2"/>
    <x v="2"/>
    <n v="214"/>
    <n v="4"/>
    <n v="0"/>
    <n v="3"/>
    <s v="No"/>
    <n v="120"/>
    <n v="24"/>
    <s v="No"/>
    <x v="1"/>
    <n v="2026"/>
    <n v="4"/>
    <s v="abril"/>
    <x v="0"/>
    <s v="Satisfied"/>
    <s v="No"/>
    <s v="Yes"/>
    <s v="Resolved"/>
    <n v="1"/>
    <n v="0"/>
    <n v="1"/>
    <n v="0"/>
    <n v="0"/>
    <n v="0"/>
    <n v="0"/>
  </r>
  <r>
    <s v="TKT-00731"/>
    <n v="40.67"/>
    <x v="404"/>
    <d v="2026-02-17T13:32:09"/>
    <x v="0"/>
    <x v="1"/>
    <s v="Chat"/>
    <x v="0"/>
    <x v="1"/>
    <x v="3"/>
    <x v="1"/>
    <x v="4"/>
    <n v="171"/>
    <n v="4"/>
    <n v="0"/>
    <n v="5"/>
    <s v="No"/>
    <n v="240"/>
    <n v="48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651"/>
    <n v="22.22"/>
    <x v="405"/>
    <d v="2026-08-28T13:04:27"/>
    <x v="0"/>
    <x v="2"/>
    <s v="Chat"/>
    <x v="0"/>
    <x v="1"/>
    <x v="2"/>
    <x v="5"/>
    <x v="1"/>
    <n v="43"/>
    <n v="4"/>
    <n v="0"/>
    <n v="2"/>
    <s v="No"/>
    <n v="30"/>
    <n v="8"/>
    <s v="No"/>
    <x v="1"/>
    <n v="2026"/>
    <n v="8"/>
    <s v="agosto"/>
    <x v="3"/>
    <s v="Satisfied"/>
    <s v="No"/>
    <s v="Yes"/>
    <s v="Resolved"/>
    <n v="1"/>
    <n v="0"/>
    <n v="1"/>
    <n v="0"/>
    <n v="0"/>
    <n v="0"/>
    <n v="0"/>
  </r>
  <r>
    <s v="TKT-00407"/>
    <n v="57.89"/>
    <x v="406"/>
    <d v="2026-01-26T20:28:42"/>
    <x v="0"/>
    <x v="1"/>
    <s v="Phone"/>
    <x v="3"/>
    <x v="2"/>
    <x v="0"/>
    <x v="3"/>
    <x v="5"/>
    <n v="370"/>
    <n v="3"/>
    <n v="0"/>
    <n v="5"/>
    <s v="No"/>
    <n v="240"/>
    <n v="48"/>
    <s v="No"/>
    <x v="1"/>
    <n v="2026"/>
    <n v="1"/>
    <s v="janeiro"/>
    <x v="1"/>
    <s v="Neutral"/>
    <s v="No"/>
    <s v="Yes"/>
    <s v="Resolved"/>
    <n v="1"/>
    <n v="0"/>
    <n v="1"/>
    <n v="0"/>
    <n v="0"/>
    <n v="0"/>
    <n v="0"/>
  </r>
  <r>
    <s v="TKT-00204"/>
    <n v="62.88"/>
    <x v="407"/>
    <d v="2026-05-22T17:01:37"/>
    <x v="0"/>
    <x v="3"/>
    <s v="Chat"/>
    <x v="2"/>
    <x v="0"/>
    <x v="1"/>
    <x v="3"/>
    <x v="2"/>
    <n v="32"/>
    <n v="4"/>
    <n v="0"/>
    <n v="3"/>
    <s v="No"/>
    <n v="120"/>
    <n v="24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099"/>
    <n v="19.45"/>
    <x v="408"/>
    <d v="2026-05-21T21:26:12"/>
    <x v="0"/>
    <x v="3"/>
    <s v="Email"/>
    <x v="2"/>
    <x v="2"/>
    <x v="0"/>
    <x v="3"/>
    <x v="9"/>
    <n v="346"/>
    <n v="3"/>
    <n v="1"/>
    <n v="8"/>
    <s v="No"/>
    <n v="120"/>
    <n v="24"/>
    <s v="No"/>
    <x v="0"/>
    <n v="2026"/>
    <n v="5"/>
    <s v="maio"/>
    <x v="2"/>
    <s v="Neutral"/>
    <s v="Yes"/>
    <s v="Yes"/>
    <s v="Resolved"/>
    <n v="1"/>
    <n v="0"/>
    <n v="1"/>
    <n v="1"/>
    <n v="0"/>
    <n v="0"/>
    <n v="1"/>
  </r>
  <r>
    <s v="TKT-01061"/>
    <n v="22.12"/>
    <x v="409"/>
    <d v="2026-03-12T01:25:16"/>
    <x v="0"/>
    <x v="1"/>
    <s v="Chat"/>
    <x v="2"/>
    <x v="1"/>
    <x v="1"/>
    <x v="3"/>
    <x v="10"/>
    <n v="269"/>
    <n v="4"/>
    <n v="0"/>
    <n v="6"/>
    <s v="No"/>
    <n v="240"/>
    <n v="48"/>
    <s v="No"/>
    <x v="0"/>
    <n v="2026"/>
    <n v="3"/>
    <s v="março"/>
    <x v="7"/>
    <s v="Satisfied"/>
    <s v="No"/>
    <s v="Yes"/>
    <s v="Resolved"/>
    <n v="1"/>
    <n v="0"/>
    <n v="1"/>
    <n v="0"/>
    <n v="0"/>
    <n v="0"/>
    <n v="1"/>
  </r>
  <r>
    <s v="TKT-00393"/>
    <n v="29.02"/>
    <x v="410"/>
    <d v="2026-03-10T21:26:10"/>
    <x v="0"/>
    <x v="3"/>
    <s v="Chat"/>
    <x v="0"/>
    <x v="1"/>
    <x v="0"/>
    <x v="1"/>
    <x v="8"/>
    <n v="93"/>
    <n v="4"/>
    <n v="0"/>
    <n v="2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1097"/>
    <n v="58.79"/>
    <x v="411"/>
    <d v="2026-03-25T03:52:12"/>
    <x v="0"/>
    <x v="1"/>
    <s v="Email"/>
    <x v="0"/>
    <x v="1"/>
    <x v="3"/>
    <x v="1"/>
    <x v="1"/>
    <n v="215"/>
    <n v="3"/>
    <n v="0"/>
    <n v="5"/>
    <s v="No"/>
    <n v="240"/>
    <n v="48"/>
    <s v="Yes"/>
    <x v="1"/>
    <n v="2026"/>
    <n v="3"/>
    <s v="março"/>
    <x v="7"/>
    <s v="Neutral"/>
    <s v="No"/>
    <s v="Yes"/>
    <s v="Resolved"/>
    <n v="1"/>
    <n v="0"/>
    <n v="1"/>
    <n v="0"/>
    <n v="0"/>
    <n v="1"/>
    <n v="0"/>
  </r>
  <r>
    <s v="TKT-00611"/>
    <n v="31.25"/>
    <x v="412"/>
    <d v="2026-01-24T05:25:51"/>
    <x v="0"/>
    <x v="1"/>
    <s v="Web Form"/>
    <x v="1"/>
    <x v="0"/>
    <x v="0"/>
    <x v="3"/>
    <x v="7"/>
    <n v="472"/>
    <n v="3"/>
    <n v="0"/>
    <n v="7"/>
    <s v="No"/>
    <n v="240"/>
    <n v="48"/>
    <s v="No"/>
    <x v="0"/>
    <n v="2026"/>
    <n v="1"/>
    <s v="janeiro"/>
    <x v="1"/>
    <s v="Neutral"/>
    <s v="No"/>
    <s v="Yes"/>
    <s v="Resolved"/>
    <n v="1"/>
    <n v="0"/>
    <n v="1"/>
    <n v="0"/>
    <n v="0"/>
    <n v="0"/>
    <n v="1"/>
  </r>
  <r>
    <s v="TKT-00740"/>
    <n v="12.14"/>
    <x v="413"/>
    <d v="2026-02-16T08:13:39"/>
    <x v="0"/>
    <x v="3"/>
    <s v="Chat"/>
    <x v="2"/>
    <x v="0"/>
    <x v="2"/>
    <x v="2"/>
    <x v="0"/>
    <n v="157"/>
    <m/>
    <n v="1"/>
    <n v="11"/>
    <s v="No"/>
    <n v="120"/>
    <n v="24"/>
    <s v="No"/>
    <x v="0"/>
    <n v="2026"/>
    <n v="2"/>
    <s v="fevereiro"/>
    <x v="4"/>
    <s v="No Response"/>
    <s v="Yes"/>
    <s v="No"/>
    <s v="Resolved"/>
    <n v="1"/>
    <n v="0"/>
    <n v="1"/>
    <n v="1"/>
    <n v="0"/>
    <n v="0"/>
    <n v="1"/>
  </r>
  <r>
    <s v="TKT-00293"/>
    <n v="1.93"/>
    <x v="414"/>
    <d v="2026-06-10T07:25:44"/>
    <x v="0"/>
    <x v="2"/>
    <s v="Chat"/>
    <x v="1"/>
    <x v="1"/>
    <x v="3"/>
    <x v="0"/>
    <x v="0"/>
    <n v="29"/>
    <n v="4"/>
    <n v="0"/>
    <n v="7"/>
    <s v="No"/>
    <n v="30"/>
    <n v="8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408"/>
    <n v="17.89"/>
    <x v="415"/>
    <d v="2026-07-18T09:49:35"/>
    <x v="0"/>
    <x v="2"/>
    <s v="Email"/>
    <x v="0"/>
    <x v="0"/>
    <x v="3"/>
    <x v="1"/>
    <x v="0"/>
    <n v="32"/>
    <n v="4"/>
    <n v="0"/>
    <n v="10"/>
    <s v="Yes"/>
    <n v="30"/>
    <n v="8"/>
    <s v="No"/>
    <x v="1"/>
    <n v="2026"/>
    <n v="7"/>
    <s v="julho"/>
    <x v="6"/>
    <s v="Satisfied"/>
    <s v="No"/>
    <s v="Yes"/>
    <s v="Resolved"/>
    <n v="1"/>
    <n v="0"/>
    <n v="1"/>
    <n v="0"/>
    <n v="1"/>
    <n v="0"/>
    <n v="0"/>
  </r>
  <r>
    <s v="TKT-00841"/>
    <n v="17.32"/>
    <x v="416"/>
    <d v="2026-01-12T17:17:14"/>
    <x v="0"/>
    <x v="3"/>
    <s v="Email"/>
    <x v="4"/>
    <x v="1"/>
    <x v="2"/>
    <x v="2"/>
    <x v="6"/>
    <n v="88"/>
    <n v="4"/>
    <n v="0"/>
    <n v="5"/>
    <s v="No"/>
    <n v="120"/>
    <n v="2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852"/>
    <n v="48.57"/>
    <x v="417"/>
    <d v="2026-08-10T03:16:27"/>
    <x v="0"/>
    <x v="3"/>
    <s v="Chat"/>
    <x v="0"/>
    <x v="2"/>
    <x v="0"/>
    <x v="3"/>
    <x v="7"/>
    <n v="35"/>
    <n v="4"/>
    <n v="0"/>
    <n v="5"/>
    <s v="No"/>
    <n v="120"/>
    <n v="24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180"/>
    <n v="19.43"/>
    <x v="418"/>
    <d v="2026-03-14T08:38:34"/>
    <x v="0"/>
    <x v="3"/>
    <s v="Chat"/>
    <x v="3"/>
    <x v="2"/>
    <x v="2"/>
    <x v="5"/>
    <x v="1"/>
    <n v="69"/>
    <n v="4"/>
    <n v="0"/>
    <n v="3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550"/>
    <n v="31.45"/>
    <x v="419"/>
    <d v="2026-06-18T14:54:44"/>
    <x v="0"/>
    <x v="2"/>
    <s v="Web Form"/>
    <x v="4"/>
    <x v="1"/>
    <x v="1"/>
    <x v="1"/>
    <x v="8"/>
    <n v="37"/>
    <n v="4"/>
    <n v="0"/>
    <n v="3"/>
    <s v="No"/>
    <n v="30"/>
    <n v="8"/>
    <s v="No"/>
    <x v="1"/>
    <n v="2026"/>
    <n v="6"/>
    <s v="junho"/>
    <x v="5"/>
    <s v="Satisfied"/>
    <s v="No"/>
    <s v="Yes"/>
    <s v="Resolved"/>
    <n v="1"/>
    <n v="0"/>
    <n v="1"/>
    <n v="0"/>
    <n v="0"/>
    <n v="0"/>
    <n v="0"/>
  </r>
  <r>
    <s v="TKT-00924"/>
    <n v="36.659999999999997"/>
    <x v="420"/>
    <d v="2026-01-20T03:40:31"/>
    <x v="0"/>
    <x v="1"/>
    <s v="Email"/>
    <x v="3"/>
    <x v="0"/>
    <x v="0"/>
    <x v="3"/>
    <x v="2"/>
    <n v="133"/>
    <n v="3"/>
    <n v="2"/>
    <n v="9"/>
    <s v="No"/>
    <n v="240"/>
    <n v="48"/>
    <s v="Yes"/>
    <x v="0"/>
    <n v="2026"/>
    <n v="1"/>
    <s v="janeiro"/>
    <x v="1"/>
    <s v="Neutral"/>
    <s v="Yes"/>
    <s v="Yes"/>
    <s v="Resolved"/>
    <n v="1"/>
    <n v="0"/>
    <n v="1"/>
    <n v="1"/>
    <n v="0"/>
    <n v="1"/>
    <n v="1"/>
  </r>
  <r>
    <s v="TKT-00412"/>
    <n v="15.48"/>
    <x v="421"/>
    <d v="2026-08-21T17:24:34"/>
    <x v="0"/>
    <x v="3"/>
    <s v="Email"/>
    <x v="3"/>
    <x v="0"/>
    <x v="0"/>
    <x v="4"/>
    <x v="7"/>
    <n v="77"/>
    <n v="4"/>
    <n v="0"/>
    <n v="7"/>
    <s v="No"/>
    <n v="120"/>
    <n v="24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118"/>
    <n v="87.19"/>
    <x v="422"/>
    <d v="2026-04-09T20:57:37"/>
    <x v="0"/>
    <x v="1"/>
    <s v="Chat"/>
    <x v="4"/>
    <x v="1"/>
    <x v="3"/>
    <x v="3"/>
    <x v="3"/>
    <n v="343"/>
    <n v="2"/>
    <n v="2"/>
    <n v="9"/>
    <s v="No"/>
    <n v="240"/>
    <n v="48"/>
    <s v="No"/>
    <x v="1"/>
    <n v="2026"/>
    <n v="4"/>
    <s v="abril"/>
    <x v="0"/>
    <s v="Dissatisfied"/>
    <s v="Yes"/>
    <s v="Yes"/>
    <s v="Resolved"/>
    <n v="1"/>
    <n v="0"/>
    <n v="1"/>
    <n v="1"/>
    <n v="0"/>
    <n v="0"/>
    <n v="0"/>
  </r>
  <r>
    <s v="TKT-00909"/>
    <n v="20.059999999999999"/>
    <x v="423"/>
    <d v="2026-08-24T00:17:34"/>
    <x v="0"/>
    <x v="2"/>
    <s v="Email"/>
    <x v="0"/>
    <x v="1"/>
    <x v="1"/>
    <x v="1"/>
    <x v="1"/>
    <n v="38"/>
    <n v="5"/>
    <n v="0"/>
    <n v="2"/>
    <s v="No"/>
    <n v="30"/>
    <n v="8"/>
    <s v="No"/>
    <x v="1"/>
    <n v="2026"/>
    <n v="8"/>
    <s v="agosto"/>
    <x v="3"/>
    <s v="Satisfied"/>
    <s v="No"/>
    <s v="Yes"/>
    <s v="Resolved"/>
    <n v="1"/>
    <n v="0"/>
    <n v="1"/>
    <n v="0"/>
    <n v="0"/>
    <n v="0"/>
    <n v="0"/>
  </r>
  <r>
    <s v="TKT-00892"/>
    <n v="81.56"/>
    <x v="424"/>
    <d v="2026-06-14T01:43:23"/>
    <x v="0"/>
    <x v="3"/>
    <s v="Web Form"/>
    <x v="3"/>
    <x v="2"/>
    <x v="3"/>
    <x v="5"/>
    <x v="4"/>
    <n v="65"/>
    <n v="4"/>
    <n v="0"/>
    <n v="5"/>
    <s v="No"/>
    <n v="120"/>
    <n v="24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0622"/>
    <n v="7.45"/>
    <x v="425"/>
    <d v="2026-04-24T04:17:49"/>
    <x v="0"/>
    <x v="2"/>
    <s v="Phone"/>
    <x v="0"/>
    <x v="1"/>
    <x v="3"/>
    <x v="0"/>
    <x v="4"/>
    <n v="73"/>
    <n v="4"/>
    <n v="0"/>
    <n v="3"/>
    <s v="No"/>
    <n v="30"/>
    <n v="8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0864"/>
    <n v="29.68"/>
    <x v="426"/>
    <d v="2026-06-02T05:02:34"/>
    <x v="0"/>
    <x v="1"/>
    <s v="Email"/>
    <x v="0"/>
    <x v="1"/>
    <x v="2"/>
    <x v="5"/>
    <x v="7"/>
    <n v="150"/>
    <n v="4"/>
    <n v="0"/>
    <n v="3"/>
    <s v="No"/>
    <n v="240"/>
    <n v="48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0750"/>
    <n v="13.81"/>
    <x v="427"/>
    <d v="2026-07-08T07:58:54"/>
    <x v="0"/>
    <x v="1"/>
    <s v="Chat"/>
    <x v="0"/>
    <x v="2"/>
    <x v="3"/>
    <x v="5"/>
    <x v="6"/>
    <n v="280"/>
    <n v="3"/>
    <n v="0"/>
    <n v="2"/>
    <s v="No"/>
    <n v="240"/>
    <n v="48"/>
    <s v="No"/>
    <x v="0"/>
    <n v="2026"/>
    <n v="7"/>
    <s v="julho"/>
    <x v="6"/>
    <s v="Neutral"/>
    <s v="No"/>
    <s v="Yes"/>
    <s v="Resolved"/>
    <n v="1"/>
    <n v="0"/>
    <n v="1"/>
    <n v="0"/>
    <n v="0"/>
    <n v="0"/>
    <n v="1"/>
  </r>
  <r>
    <s v="TKT-00216"/>
    <n v="13.58"/>
    <x v="428"/>
    <d v="2026-05-24T06:16:43"/>
    <x v="0"/>
    <x v="3"/>
    <s v="Email"/>
    <x v="3"/>
    <x v="1"/>
    <x v="2"/>
    <x v="2"/>
    <x v="3"/>
    <n v="47"/>
    <n v="4"/>
    <n v="0"/>
    <n v="3"/>
    <s v="No"/>
    <n v="120"/>
    <n v="24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0230"/>
    <n v="72.209999999999994"/>
    <x v="429"/>
    <d v="2026-07-08T10:26:46"/>
    <x v="0"/>
    <x v="1"/>
    <s v="Chat"/>
    <x v="0"/>
    <x v="1"/>
    <x v="2"/>
    <x v="1"/>
    <x v="1"/>
    <n v="330"/>
    <n v="3"/>
    <n v="0"/>
    <n v="6"/>
    <s v="No"/>
    <n v="240"/>
    <n v="48"/>
    <s v="No"/>
    <x v="1"/>
    <n v="2026"/>
    <n v="7"/>
    <s v="julho"/>
    <x v="6"/>
    <s v="Neutral"/>
    <s v="No"/>
    <s v="Yes"/>
    <s v="Resolved"/>
    <n v="1"/>
    <n v="0"/>
    <n v="1"/>
    <n v="0"/>
    <n v="0"/>
    <n v="0"/>
    <n v="0"/>
  </r>
  <r>
    <s v="TKT-00434"/>
    <n v="22.58"/>
    <x v="430"/>
    <d v="2026-02-18T12:43:45"/>
    <x v="0"/>
    <x v="1"/>
    <s v="Chat"/>
    <x v="2"/>
    <x v="0"/>
    <x v="1"/>
    <x v="1"/>
    <x v="10"/>
    <n v="143"/>
    <n v="3"/>
    <n v="1"/>
    <n v="10"/>
    <s v="No"/>
    <n v="240"/>
    <n v="48"/>
    <s v="Yes"/>
    <x v="0"/>
    <n v="2026"/>
    <n v="2"/>
    <s v="fevereiro"/>
    <x v="4"/>
    <s v="Neutral"/>
    <s v="Yes"/>
    <s v="Yes"/>
    <s v="Resolved"/>
    <n v="1"/>
    <n v="0"/>
    <n v="1"/>
    <n v="1"/>
    <n v="0"/>
    <n v="1"/>
    <n v="1"/>
  </r>
  <r>
    <s v="TKT-00447"/>
    <n v="22.35"/>
    <x v="431"/>
    <d v="2026-06-04T15:58:58"/>
    <x v="0"/>
    <x v="3"/>
    <s v="Email"/>
    <x v="0"/>
    <x v="2"/>
    <x v="1"/>
    <x v="1"/>
    <x v="8"/>
    <n v="58"/>
    <n v="4"/>
    <n v="0"/>
    <n v="3"/>
    <s v="No"/>
    <n v="120"/>
    <n v="24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721"/>
    <n v="37.090000000000003"/>
    <x v="432"/>
    <d v="2026-06-06T00:46:22"/>
    <x v="0"/>
    <x v="1"/>
    <s v="Chat"/>
    <x v="3"/>
    <x v="1"/>
    <x v="0"/>
    <x v="0"/>
    <x v="8"/>
    <n v="201"/>
    <n v="3"/>
    <n v="0"/>
    <n v="7"/>
    <s v="No"/>
    <n v="240"/>
    <n v="48"/>
    <s v="Yes"/>
    <x v="0"/>
    <n v="2026"/>
    <n v="6"/>
    <s v="junho"/>
    <x v="5"/>
    <s v="Neutral"/>
    <s v="No"/>
    <s v="Yes"/>
    <s v="Resolved"/>
    <n v="1"/>
    <n v="0"/>
    <n v="1"/>
    <n v="0"/>
    <n v="0"/>
    <n v="1"/>
    <n v="1"/>
  </r>
  <r>
    <s v="TKT-01140"/>
    <n v="31.69"/>
    <x v="433"/>
    <d v="2026-02-21T22:44:14"/>
    <x v="0"/>
    <x v="3"/>
    <s v="Email"/>
    <x v="0"/>
    <x v="2"/>
    <x v="0"/>
    <x v="1"/>
    <x v="0"/>
    <n v="47"/>
    <n v="4"/>
    <n v="1"/>
    <n v="7"/>
    <s v="No"/>
    <n v="120"/>
    <n v="24"/>
    <s v="Yes"/>
    <x v="1"/>
    <n v="2026"/>
    <n v="2"/>
    <s v="fevereiro"/>
    <x v="4"/>
    <s v="Satisfied"/>
    <s v="Yes"/>
    <s v="Yes"/>
    <s v="Resolved"/>
    <n v="1"/>
    <n v="0"/>
    <n v="1"/>
    <n v="1"/>
    <n v="0"/>
    <n v="1"/>
    <n v="0"/>
  </r>
  <r>
    <s v="TKT-00652"/>
    <n v="7.36"/>
    <x v="434"/>
    <d v="2026-05-21T07:48:37"/>
    <x v="0"/>
    <x v="4"/>
    <s v="Email"/>
    <x v="3"/>
    <x v="2"/>
    <x v="0"/>
    <x v="1"/>
    <x v="3"/>
    <n v="47"/>
    <n v="4"/>
    <n v="0"/>
    <n v="7"/>
    <s v="No"/>
    <m/>
    <m/>
    <m/>
    <x v="3"/>
    <n v="2026"/>
    <n v="5"/>
    <s v="maio"/>
    <x v="2"/>
    <s v="Satisfied"/>
    <s v="No"/>
    <s v="Yes"/>
    <s v="Resolved"/>
    <n v="1"/>
    <n v="0"/>
    <n v="1"/>
    <n v="0"/>
    <n v="0"/>
    <m/>
    <m/>
  </r>
  <r>
    <s v="TKT-00755"/>
    <n v="95.06"/>
    <x v="435"/>
    <d v="2026-04-16T19:28:20"/>
    <x v="0"/>
    <x v="1"/>
    <s v="Chat"/>
    <x v="3"/>
    <x v="2"/>
    <x v="1"/>
    <x v="1"/>
    <x v="0"/>
    <n v="151"/>
    <n v="4"/>
    <n v="0"/>
    <n v="4"/>
    <s v="No"/>
    <n v="240"/>
    <n v="48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028"/>
    <n v="16.02"/>
    <x v="436"/>
    <d v="2026-01-18T16:20:06"/>
    <x v="0"/>
    <x v="2"/>
    <s v="Chat"/>
    <x v="1"/>
    <x v="2"/>
    <x v="2"/>
    <x v="1"/>
    <x v="7"/>
    <n v="73"/>
    <n v="4"/>
    <n v="0"/>
    <n v="8"/>
    <s v="Yes"/>
    <n v="30"/>
    <n v="8"/>
    <s v="No"/>
    <x v="1"/>
    <n v="2026"/>
    <n v="1"/>
    <s v="janeiro"/>
    <x v="1"/>
    <s v="Satisfied"/>
    <s v="No"/>
    <s v="Yes"/>
    <s v="Resolved"/>
    <n v="1"/>
    <n v="0"/>
    <n v="1"/>
    <n v="0"/>
    <n v="1"/>
    <n v="0"/>
    <n v="0"/>
  </r>
  <r>
    <s v="TKT-00232"/>
    <n v="38.25"/>
    <x v="437"/>
    <d v="2026-05-27T07:28:53"/>
    <x v="0"/>
    <x v="1"/>
    <s v="Phone"/>
    <x v="2"/>
    <x v="0"/>
    <x v="0"/>
    <x v="2"/>
    <x v="0"/>
    <n v="247"/>
    <n v="3"/>
    <n v="0"/>
    <n v="3"/>
    <s v="No"/>
    <n v="240"/>
    <n v="48"/>
    <s v="No"/>
    <x v="0"/>
    <n v="2026"/>
    <n v="5"/>
    <s v="maio"/>
    <x v="2"/>
    <s v="Neutral"/>
    <s v="No"/>
    <s v="Yes"/>
    <s v="Resolved"/>
    <n v="1"/>
    <n v="0"/>
    <n v="1"/>
    <n v="0"/>
    <n v="0"/>
    <n v="0"/>
    <n v="1"/>
  </r>
  <r>
    <s v="TKT-00307"/>
    <n v="35.799999999999997"/>
    <x v="438"/>
    <d v="2026-02-11T09:03:49"/>
    <x v="0"/>
    <x v="1"/>
    <s v="Phone"/>
    <x v="4"/>
    <x v="2"/>
    <x v="0"/>
    <x v="0"/>
    <x v="1"/>
    <n v="216"/>
    <n v="4"/>
    <n v="0"/>
    <n v="7"/>
    <s v="No"/>
    <n v="240"/>
    <n v="48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773"/>
    <n v="17.63"/>
    <x v="439"/>
    <d v="2026-04-29T06:21:31"/>
    <x v="0"/>
    <x v="2"/>
    <s v="Phone"/>
    <x v="1"/>
    <x v="1"/>
    <x v="0"/>
    <x v="5"/>
    <x v="0"/>
    <n v="49"/>
    <n v="4"/>
    <n v="0"/>
    <n v="3"/>
    <s v="No"/>
    <n v="30"/>
    <n v="8"/>
    <s v="No"/>
    <x v="1"/>
    <n v="2026"/>
    <n v="4"/>
    <s v="abril"/>
    <x v="0"/>
    <s v="Satisfied"/>
    <s v="No"/>
    <s v="Yes"/>
    <s v="Resolved"/>
    <n v="1"/>
    <n v="0"/>
    <n v="1"/>
    <n v="0"/>
    <n v="0"/>
    <n v="0"/>
    <n v="0"/>
  </r>
  <r>
    <s v="TKT-00370"/>
    <n v="18.190000000000001"/>
    <x v="440"/>
    <d v="2026-04-29T07:43:17"/>
    <x v="0"/>
    <x v="1"/>
    <s v="Email"/>
    <x v="1"/>
    <x v="2"/>
    <x v="3"/>
    <x v="2"/>
    <x v="10"/>
    <n v="47"/>
    <n v="4"/>
    <n v="1"/>
    <n v="8"/>
    <s v="No"/>
    <n v="240"/>
    <n v="48"/>
    <s v="Yes"/>
    <x v="0"/>
    <n v="2026"/>
    <n v="4"/>
    <s v="abril"/>
    <x v="0"/>
    <s v="Satisfied"/>
    <s v="Yes"/>
    <s v="Yes"/>
    <s v="Resolved"/>
    <n v="1"/>
    <n v="0"/>
    <n v="1"/>
    <n v="1"/>
    <n v="0"/>
    <n v="1"/>
    <n v="1"/>
  </r>
  <r>
    <s v="TKT-00243"/>
    <n v="28.07"/>
    <x v="441"/>
    <d v="2026-06-25T04:08:06"/>
    <x v="0"/>
    <x v="3"/>
    <s v="Chat"/>
    <x v="0"/>
    <x v="0"/>
    <x v="0"/>
    <x v="3"/>
    <x v="3"/>
    <n v="33"/>
    <n v="4"/>
    <n v="0"/>
    <n v="6"/>
    <s v="No"/>
    <n v="120"/>
    <n v="24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0511"/>
    <n v="27.11"/>
    <x v="442"/>
    <d v="2026-05-22T21:04:25"/>
    <x v="0"/>
    <x v="2"/>
    <s v="Email"/>
    <x v="2"/>
    <x v="1"/>
    <x v="2"/>
    <x v="1"/>
    <x v="5"/>
    <n v="14"/>
    <n v="4"/>
    <n v="0"/>
    <n v="2"/>
    <s v="No"/>
    <n v="30"/>
    <n v="8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245"/>
    <n v="124.62"/>
    <x v="443"/>
    <d v="2026-02-21T18:39:30"/>
    <x v="0"/>
    <x v="1"/>
    <s v="Email"/>
    <x v="1"/>
    <x v="1"/>
    <x v="1"/>
    <x v="1"/>
    <x v="7"/>
    <n v="163"/>
    <n v="4"/>
    <n v="0"/>
    <n v="4"/>
    <s v="No"/>
    <n v="240"/>
    <n v="48"/>
    <s v="Yes"/>
    <x v="1"/>
    <n v="2026"/>
    <n v="2"/>
    <s v="fevereiro"/>
    <x v="4"/>
    <s v="Satisfied"/>
    <s v="No"/>
    <s v="Yes"/>
    <s v="Resolved"/>
    <n v="1"/>
    <n v="0"/>
    <n v="1"/>
    <n v="0"/>
    <n v="0"/>
    <n v="1"/>
    <n v="0"/>
  </r>
  <r>
    <s v="TKT-00286"/>
    <n v="44.85"/>
    <x v="444"/>
    <d v="2026-01-19T21:03:14"/>
    <x v="0"/>
    <x v="2"/>
    <s v="Phone"/>
    <x v="0"/>
    <x v="1"/>
    <x v="3"/>
    <x v="1"/>
    <x v="7"/>
    <n v="31"/>
    <n v="4"/>
    <n v="0"/>
    <n v="10"/>
    <s v="Yes"/>
    <n v="30"/>
    <n v="8"/>
    <s v="No"/>
    <x v="1"/>
    <n v="2026"/>
    <n v="1"/>
    <s v="janeiro"/>
    <x v="1"/>
    <s v="Satisfied"/>
    <s v="No"/>
    <s v="Yes"/>
    <s v="Resolved"/>
    <n v="1"/>
    <n v="0"/>
    <n v="1"/>
    <n v="0"/>
    <n v="1"/>
    <n v="0"/>
    <n v="0"/>
  </r>
  <r>
    <s v="TKT-00091"/>
    <n v="4.05"/>
    <x v="445"/>
    <d v="2026-01-31T21:46:11"/>
    <x v="0"/>
    <x v="2"/>
    <s v="Email"/>
    <x v="0"/>
    <x v="0"/>
    <x v="2"/>
    <x v="4"/>
    <x v="0"/>
    <n v="103"/>
    <m/>
    <n v="0"/>
    <n v="6"/>
    <s v="No"/>
    <n v="30"/>
    <n v="8"/>
    <s v="No"/>
    <x v="0"/>
    <n v="2026"/>
    <n v="1"/>
    <s v="janeiro"/>
    <x v="1"/>
    <s v="No Response"/>
    <s v="No"/>
    <s v="No"/>
    <s v="Resolved"/>
    <n v="1"/>
    <n v="0"/>
    <n v="1"/>
    <n v="0"/>
    <n v="0"/>
    <n v="0"/>
    <n v="1"/>
  </r>
  <r>
    <s v="TKT-00105"/>
    <n v="4.66"/>
    <x v="446"/>
    <d v="2026-05-10T20:46:39"/>
    <x v="0"/>
    <x v="2"/>
    <s v="Web Form"/>
    <x v="2"/>
    <x v="1"/>
    <x v="0"/>
    <x v="0"/>
    <x v="6"/>
    <n v="21"/>
    <n v="5"/>
    <n v="0"/>
    <n v="3"/>
    <s v="No"/>
    <n v="30"/>
    <n v="8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0829"/>
    <n v="7.79"/>
    <x v="447"/>
    <d v="2026-04-07T21:07:23"/>
    <x v="0"/>
    <x v="2"/>
    <s v="Web Form"/>
    <x v="2"/>
    <x v="0"/>
    <x v="0"/>
    <x v="2"/>
    <x v="3"/>
    <n v="26"/>
    <n v="4"/>
    <n v="0"/>
    <n v="6"/>
    <s v="No"/>
    <n v="30"/>
    <n v="8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943"/>
    <n v="7.49"/>
    <x v="448"/>
    <d v="2026-04-09T13:15:15"/>
    <x v="0"/>
    <x v="2"/>
    <s v="Chat"/>
    <x v="1"/>
    <x v="1"/>
    <x v="0"/>
    <x v="2"/>
    <x v="3"/>
    <n v="82"/>
    <n v="4"/>
    <n v="2"/>
    <n v="9"/>
    <s v="No"/>
    <n v="30"/>
    <n v="8"/>
    <s v="No"/>
    <x v="0"/>
    <n v="2026"/>
    <n v="4"/>
    <s v="abril"/>
    <x v="0"/>
    <s v="Satisfied"/>
    <s v="Yes"/>
    <s v="Yes"/>
    <s v="Resolved"/>
    <n v="1"/>
    <n v="0"/>
    <n v="1"/>
    <n v="1"/>
    <n v="0"/>
    <n v="0"/>
    <n v="1"/>
  </r>
  <r>
    <s v="TKT-00361"/>
    <n v="24.65"/>
    <x v="449"/>
    <d v="2026-03-25T00:32:00"/>
    <x v="0"/>
    <x v="1"/>
    <s v="Phone"/>
    <x v="0"/>
    <x v="0"/>
    <x v="2"/>
    <x v="0"/>
    <x v="5"/>
    <n v="116"/>
    <n v="4"/>
    <n v="1"/>
    <n v="5"/>
    <s v="No"/>
    <n v="240"/>
    <n v="48"/>
    <s v="Yes"/>
    <x v="0"/>
    <n v="2026"/>
    <n v="3"/>
    <s v="março"/>
    <x v="7"/>
    <s v="Satisfied"/>
    <s v="Yes"/>
    <s v="Yes"/>
    <s v="Resolved"/>
    <n v="1"/>
    <n v="0"/>
    <n v="1"/>
    <n v="1"/>
    <n v="0"/>
    <n v="1"/>
    <n v="1"/>
  </r>
  <r>
    <s v="TKT-01032"/>
    <n v="32.33"/>
    <x v="450"/>
    <d v="2026-01-12T13:40:56"/>
    <x v="0"/>
    <x v="3"/>
    <s v="Web Form"/>
    <x v="0"/>
    <x v="1"/>
    <x v="0"/>
    <x v="1"/>
    <x v="8"/>
    <n v="50"/>
    <n v="4"/>
    <n v="2"/>
    <n v="8"/>
    <s v="No"/>
    <n v="120"/>
    <n v="24"/>
    <s v="Yes"/>
    <x v="1"/>
    <n v="2026"/>
    <n v="1"/>
    <s v="janeiro"/>
    <x v="1"/>
    <s v="Satisfied"/>
    <s v="Yes"/>
    <s v="Yes"/>
    <s v="Resolved"/>
    <n v="1"/>
    <n v="0"/>
    <n v="1"/>
    <n v="1"/>
    <n v="0"/>
    <n v="1"/>
    <n v="0"/>
  </r>
  <r>
    <s v="TKT-00317"/>
    <n v="8.94"/>
    <x v="451"/>
    <d v="2026-07-10T18:38:10"/>
    <x v="0"/>
    <x v="3"/>
    <s v="Email"/>
    <x v="3"/>
    <x v="1"/>
    <x v="3"/>
    <x v="2"/>
    <x v="7"/>
    <n v="113"/>
    <n v="4"/>
    <n v="0"/>
    <n v="2"/>
    <s v="No"/>
    <n v="120"/>
    <n v="24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1041"/>
    <n v="31.75"/>
    <x v="452"/>
    <d v="2026-05-02T08:46:50"/>
    <x v="0"/>
    <x v="3"/>
    <s v="Email"/>
    <x v="3"/>
    <x v="2"/>
    <x v="1"/>
    <x v="3"/>
    <x v="5"/>
    <n v="51"/>
    <n v="4"/>
    <n v="0"/>
    <n v="4"/>
    <s v="No"/>
    <n v="120"/>
    <n v="24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1108"/>
    <n v="28.58"/>
    <x v="453"/>
    <d v="2026-01-17T16:14:32"/>
    <x v="0"/>
    <x v="3"/>
    <s v="Chat"/>
    <x v="0"/>
    <x v="1"/>
    <x v="3"/>
    <x v="2"/>
    <x v="1"/>
    <n v="71"/>
    <n v="4"/>
    <n v="1"/>
    <n v="5"/>
    <s v="No"/>
    <n v="120"/>
    <n v="24"/>
    <s v="Yes"/>
    <x v="1"/>
    <n v="2026"/>
    <n v="1"/>
    <s v="janeiro"/>
    <x v="1"/>
    <s v="Satisfied"/>
    <s v="Yes"/>
    <s v="Yes"/>
    <s v="Resolved"/>
    <n v="1"/>
    <n v="0"/>
    <n v="1"/>
    <n v="1"/>
    <n v="0"/>
    <n v="1"/>
    <n v="0"/>
  </r>
  <r>
    <s v="TKT-00738"/>
    <n v="10.53"/>
    <x v="454"/>
    <d v="2026-03-11T19:51:02"/>
    <x v="0"/>
    <x v="2"/>
    <s v="Email"/>
    <x v="0"/>
    <x v="1"/>
    <x v="0"/>
    <x v="2"/>
    <x v="10"/>
    <n v="15"/>
    <n v="4"/>
    <n v="0"/>
    <n v="3"/>
    <s v="No"/>
    <n v="30"/>
    <n v="8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366"/>
    <n v="18.68"/>
    <x v="455"/>
    <d v="2026-06-11T10:25:47"/>
    <x v="0"/>
    <x v="1"/>
    <s v="Email"/>
    <x v="0"/>
    <x v="0"/>
    <x v="0"/>
    <x v="2"/>
    <x v="3"/>
    <n v="146"/>
    <n v="4"/>
    <n v="0"/>
    <n v="6"/>
    <s v="No"/>
    <n v="240"/>
    <n v="48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325"/>
    <n v="7.75"/>
    <x v="456"/>
    <d v="2026-01-29T07:30:56"/>
    <x v="0"/>
    <x v="3"/>
    <s v="Email"/>
    <x v="0"/>
    <x v="0"/>
    <x v="0"/>
    <x v="2"/>
    <x v="9"/>
    <n v="106"/>
    <n v="4"/>
    <n v="0"/>
    <n v="2"/>
    <s v="No"/>
    <n v="120"/>
    <n v="2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529"/>
    <n v="10.29"/>
    <x v="457"/>
    <d v="2026-03-13T21:47:21"/>
    <x v="0"/>
    <x v="3"/>
    <s v="Chat"/>
    <x v="1"/>
    <x v="1"/>
    <x v="2"/>
    <x v="0"/>
    <x v="5"/>
    <n v="111"/>
    <n v="4"/>
    <n v="0"/>
    <n v="12"/>
    <s v="Yes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1"/>
    <n v="1"/>
    <n v="1"/>
  </r>
  <r>
    <s v="TKT-00056"/>
    <n v="12.64"/>
    <x v="458"/>
    <d v="2026-01-24T19:24:23"/>
    <x v="0"/>
    <x v="3"/>
    <s v="Web Form"/>
    <x v="0"/>
    <x v="0"/>
    <x v="2"/>
    <x v="1"/>
    <x v="8"/>
    <n v="69"/>
    <n v="4"/>
    <n v="0"/>
    <n v="7"/>
    <s v="No"/>
    <n v="120"/>
    <n v="2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468"/>
    <n v="19.71"/>
    <x v="459"/>
    <d v="2026-08-29T23:14:24"/>
    <x v="0"/>
    <x v="1"/>
    <s v="Web Form"/>
    <x v="0"/>
    <x v="2"/>
    <x v="3"/>
    <x v="2"/>
    <x v="3"/>
    <n v="133"/>
    <n v="3"/>
    <n v="3"/>
    <n v="11"/>
    <s v="No"/>
    <n v="240"/>
    <n v="48"/>
    <s v="Yes"/>
    <x v="0"/>
    <n v="2026"/>
    <n v="8"/>
    <s v="agosto"/>
    <x v="3"/>
    <s v="Neutral"/>
    <s v="Yes"/>
    <s v="Yes"/>
    <s v="Resolved"/>
    <n v="1"/>
    <n v="0"/>
    <n v="1"/>
    <n v="1"/>
    <n v="0"/>
    <n v="1"/>
    <n v="1"/>
  </r>
  <r>
    <s v="TKT-00941"/>
    <n v="66.31"/>
    <x v="460"/>
    <d v="2026-04-26T14:01:24"/>
    <x v="0"/>
    <x v="3"/>
    <s v="Phone"/>
    <x v="0"/>
    <x v="2"/>
    <x v="2"/>
    <x v="5"/>
    <x v="0"/>
    <n v="80"/>
    <n v="3"/>
    <n v="0"/>
    <n v="3"/>
    <s v="No"/>
    <n v="120"/>
    <n v="24"/>
    <s v="Yes"/>
    <x v="1"/>
    <n v="2026"/>
    <n v="4"/>
    <s v="abril"/>
    <x v="0"/>
    <s v="Neutral"/>
    <s v="No"/>
    <s v="Yes"/>
    <s v="Resolved"/>
    <n v="1"/>
    <n v="0"/>
    <n v="1"/>
    <n v="0"/>
    <n v="0"/>
    <n v="1"/>
    <n v="0"/>
  </r>
  <r>
    <s v="TKT-00615"/>
    <n v="17.600000000000001"/>
    <x v="461"/>
    <d v="2026-04-19T21:55:43"/>
    <x v="0"/>
    <x v="3"/>
    <s v="Email"/>
    <x v="2"/>
    <x v="1"/>
    <x v="2"/>
    <x v="1"/>
    <x v="8"/>
    <n v="98"/>
    <n v="4"/>
    <n v="0"/>
    <n v="6"/>
    <s v="No"/>
    <n v="120"/>
    <n v="24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498"/>
    <n v="26.72"/>
    <x v="462"/>
    <d v="2026-03-10T22:22:15"/>
    <x v="0"/>
    <x v="3"/>
    <s v="Email"/>
    <x v="3"/>
    <x v="1"/>
    <x v="2"/>
    <x v="1"/>
    <x v="5"/>
    <n v="33"/>
    <n v="4"/>
    <n v="2"/>
    <n v="7"/>
    <s v="No"/>
    <n v="120"/>
    <n v="24"/>
    <s v="Yes"/>
    <x v="1"/>
    <n v="2026"/>
    <n v="3"/>
    <s v="março"/>
    <x v="7"/>
    <s v="Satisfied"/>
    <s v="Yes"/>
    <s v="Yes"/>
    <s v="Resolved"/>
    <n v="1"/>
    <n v="0"/>
    <n v="1"/>
    <n v="1"/>
    <n v="0"/>
    <n v="1"/>
    <n v="0"/>
  </r>
  <r>
    <s v="TKT-00493"/>
    <n v="25.42"/>
    <x v="463"/>
    <d v="2026-02-25T13:23:55"/>
    <x v="0"/>
    <x v="3"/>
    <s v="Email"/>
    <x v="0"/>
    <x v="0"/>
    <x v="2"/>
    <x v="1"/>
    <x v="10"/>
    <n v="156"/>
    <n v="4"/>
    <n v="1"/>
    <n v="5"/>
    <s v="No"/>
    <n v="120"/>
    <n v="24"/>
    <s v="No"/>
    <x v="1"/>
    <n v="2026"/>
    <n v="2"/>
    <s v="fevereiro"/>
    <x v="4"/>
    <s v="Satisfied"/>
    <s v="Yes"/>
    <s v="Yes"/>
    <s v="Resolved"/>
    <n v="1"/>
    <n v="0"/>
    <n v="1"/>
    <n v="1"/>
    <n v="0"/>
    <n v="0"/>
    <n v="0"/>
  </r>
  <r>
    <s v="TKT-00319"/>
    <n v="16.78"/>
    <x v="464"/>
    <d v="2026-01-15T12:57:40"/>
    <x v="0"/>
    <x v="2"/>
    <s v="Web Form"/>
    <x v="3"/>
    <x v="2"/>
    <x v="0"/>
    <x v="5"/>
    <x v="8"/>
    <n v="36"/>
    <n v="4"/>
    <n v="1"/>
    <n v="6"/>
    <s v="No"/>
    <n v="30"/>
    <n v="8"/>
    <s v="No"/>
    <x v="1"/>
    <n v="2026"/>
    <n v="1"/>
    <s v="janeiro"/>
    <x v="1"/>
    <s v="Satisfied"/>
    <s v="Yes"/>
    <s v="Yes"/>
    <s v="Resolved"/>
    <n v="1"/>
    <n v="0"/>
    <n v="1"/>
    <n v="1"/>
    <n v="0"/>
    <n v="0"/>
    <n v="0"/>
  </r>
  <r>
    <s v="TKT-00392"/>
    <n v="14.59"/>
    <x v="465"/>
    <d v="2026-05-18T09:50:10"/>
    <x v="0"/>
    <x v="2"/>
    <s v="Email"/>
    <x v="1"/>
    <x v="0"/>
    <x v="3"/>
    <x v="3"/>
    <x v="6"/>
    <n v="65"/>
    <n v="5"/>
    <n v="0"/>
    <n v="4"/>
    <s v="No"/>
    <n v="30"/>
    <n v="8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296"/>
    <n v="20.53"/>
    <x v="466"/>
    <d v="2026-05-15T04:42:56"/>
    <x v="0"/>
    <x v="1"/>
    <s v="Web Form"/>
    <x v="3"/>
    <x v="2"/>
    <x v="2"/>
    <x v="5"/>
    <x v="6"/>
    <n v="105"/>
    <n v="4"/>
    <n v="0"/>
    <n v="4"/>
    <s v="No"/>
    <n v="240"/>
    <n v="48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0008"/>
    <n v="13.95"/>
    <x v="467"/>
    <d v="2026-03-27T18:11:12"/>
    <x v="0"/>
    <x v="3"/>
    <s v="Email"/>
    <x v="0"/>
    <x v="1"/>
    <x v="0"/>
    <x v="0"/>
    <x v="5"/>
    <n v="72"/>
    <n v="4"/>
    <n v="0"/>
    <n v="2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276"/>
    <m/>
    <x v="468"/>
    <m/>
    <x v="1"/>
    <x v="2"/>
    <s v="Chat"/>
    <x v="0"/>
    <x v="1"/>
    <x v="1"/>
    <x v="2"/>
    <x v="2"/>
    <n v="65"/>
    <m/>
    <n v="0"/>
    <n v="9"/>
    <s v="Yes"/>
    <n v="30"/>
    <n v="8"/>
    <s v="No"/>
    <x v="2"/>
    <n v="2026"/>
    <n v="3"/>
    <s v="março"/>
    <x v="7"/>
    <s v="No Response"/>
    <s v="No"/>
    <s v="No"/>
    <s v="Open"/>
    <n v="1"/>
    <n v="1"/>
    <n v="0"/>
    <n v="0"/>
    <n v="1"/>
    <n v="0"/>
    <m/>
  </r>
  <r>
    <s v="TKT-01180"/>
    <n v="19.16"/>
    <x v="469"/>
    <d v="2026-06-05T12:46:18"/>
    <x v="0"/>
    <x v="3"/>
    <s v="Email"/>
    <x v="1"/>
    <x v="1"/>
    <x v="1"/>
    <x v="4"/>
    <x v="8"/>
    <n v="211"/>
    <n v="4"/>
    <n v="0"/>
    <n v="2"/>
    <s v="No"/>
    <n v="120"/>
    <n v="24"/>
    <s v="No"/>
    <x v="0"/>
    <n v="2026"/>
    <n v="6"/>
    <s v="junho"/>
    <x v="5"/>
    <s v="Satisfied"/>
    <s v="No"/>
    <s v="Yes"/>
    <s v="Resolved"/>
    <n v="1"/>
    <n v="0"/>
    <n v="1"/>
    <n v="0"/>
    <n v="0"/>
    <n v="0"/>
    <n v="1"/>
  </r>
  <r>
    <s v="TKT-00235"/>
    <n v="18.149999999999999"/>
    <x v="470"/>
    <d v="2026-04-01T03:21:56"/>
    <x v="0"/>
    <x v="2"/>
    <s v="Email"/>
    <x v="0"/>
    <x v="1"/>
    <x v="1"/>
    <x v="5"/>
    <x v="8"/>
    <n v="45"/>
    <n v="4"/>
    <n v="0"/>
    <n v="5"/>
    <s v="No"/>
    <n v="30"/>
    <n v="8"/>
    <s v="No"/>
    <x v="1"/>
    <n v="2026"/>
    <n v="3"/>
    <s v="março"/>
    <x v="7"/>
    <s v="Satisfied"/>
    <s v="No"/>
    <s v="Yes"/>
    <s v="Resolved"/>
    <n v="1"/>
    <n v="0"/>
    <n v="1"/>
    <n v="0"/>
    <n v="0"/>
    <n v="0"/>
    <n v="0"/>
  </r>
  <r>
    <s v="TKT-00830"/>
    <n v="33.46"/>
    <x v="471"/>
    <d v="2026-07-13T08:03:21"/>
    <x v="0"/>
    <x v="3"/>
    <s v="Email"/>
    <x v="2"/>
    <x v="1"/>
    <x v="2"/>
    <x v="1"/>
    <x v="2"/>
    <n v="72"/>
    <n v="4"/>
    <n v="0"/>
    <n v="2"/>
    <s v="No"/>
    <n v="120"/>
    <n v="24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0541"/>
    <n v="44.74"/>
    <x v="472"/>
    <d v="2026-03-03T22:48:26"/>
    <x v="0"/>
    <x v="3"/>
    <s v="Phone"/>
    <x v="1"/>
    <x v="2"/>
    <x v="2"/>
    <x v="1"/>
    <x v="7"/>
    <n v="134"/>
    <n v="3"/>
    <n v="1"/>
    <n v="10"/>
    <s v="Yes"/>
    <n v="120"/>
    <n v="24"/>
    <s v="No"/>
    <x v="1"/>
    <n v="2026"/>
    <n v="3"/>
    <s v="março"/>
    <x v="7"/>
    <s v="Neutral"/>
    <s v="Yes"/>
    <s v="Yes"/>
    <s v="Resolved"/>
    <n v="1"/>
    <n v="0"/>
    <n v="1"/>
    <n v="1"/>
    <n v="1"/>
    <n v="0"/>
    <n v="0"/>
  </r>
  <r>
    <s v="TKT-00628"/>
    <n v="3.64"/>
    <x v="473"/>
    <d v="2026-02-05T22:09:28"/>
    <x v="0"/>
    <x v="0"/>
    <s v="Email"/>
    <x v="3"/>
    <x v="1"/>
    <x v="3"/>
    <x v="4"/>
    <x v="9"/>
    <n v="31"/>
    <n v="5"/>
    <n v="0"/>
    <n v="2"/>
    <s v="No"/>
    <n v="15"/>
    <n v="4"/>
    <s v="No"/>
    <x v="0"/>
    <n v="2026"/>
    <n v="2"/>
    <s v="fevereiro"/>
    <x v="4"/>
    <s v="Satisfied"/>
    <s v="No"/>
    <s v="Yes"/>
    <s v="Resolved"/>
    <n v="1"/>
    <n v="0"/>
    <n v="1"/>
    <n v="0"/>
    <n v="0"/>
    <n v="0"/>
    <n v="1"/>
  </r>
  <r>
    <s v="TKT-00476"/>
    <n v="28.04"/>
    <x v="474"/>
    <d v="2026-07-28T08:27:06"/>
    <x v="0"/>
    <x v="3"/>
    <s v="Email"/>
    <x v="2"/>
    <x v="1"/>
    <x v="3"/>
    <x v="1"/>
    <x v="0"/>
    <n v="71"/>
    <n v="4"/>
    <n v="0"/>
    <n v="2"/>
    <s v="No"/>
    <n v="120"/>
    <n v="24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0397"/>
    <n v="26.55"/>
    <x v="475"/>
    <d v="2026-06-02T17:37:42"/>
    <x v="0"/>
    <x v="3"/>
    <s v="Web Form"/>
    <x v="1"/>
    <x v="1"/>
    <x v="1"/>
    <x v="0"/>
    <x v="9"/>
    <n v="202"/>
    <n v="3"/>
    <n v="1"/>
    <n v="7"/>
    <s v="No"/>
    <n v="120"/>
    <n v="24"/>
    <s v="No"/>
    <x v="1"/>
    <n v="2026"/>
    <n v="6"/>
    <s v="junho"/>
    <x v="5"/>
    <s v="Neutral"/>
    <s v="Yes"/>
    <s v="Yes"/>
    <s v="Resolved"/>
    <n v="1"/>
    <n v="0"/>
    <n v="1"/>
    <n v="1"/>
    <n v="0"/>
    <n v="0"/>
    <n v="0"/>
  </r>
  <r>
    <s v="TKT-00136"/>
    <n v="11.98"/>
    <x v="476"/>
    <d v="2026-04-24T22:15:40"/>
    <x v="0"/>
    <x v="2"/>
    <s v="Chat"/>
    <x v="4"/>
    <x v="1"/>
    <x v="2"/>
    <x v="2"/>
    <x v="6"/>
    <n v="18"/>
    <n v="5"/>
    <n v="0"/>
    <n v="2"/>
    <s v="No"/>
    <n v="30"/>
    <n v="8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517"/>
    <n v="45.8"/>
    <x v="477"/>
    <d v="2026-01-22T07:56:45"/>
    <x v="0"/>
    <x v="3"/>
    <s v="Chat"/>
    <x v="0"/>
    <x v="2"/>
    <x v="1"/>
    <x v="3"/>
    <x v="9"/>
    <n v="56"/>
    <n v="3"/>
    <n v="1"/>
    <n v="6"/>
    <s v="No"/>
    <n v="120"/>
    <n v="24"/>
    <s v="Yes"/>
    <x v="1"/>
    <n v="2026"/>
    <n v="1"/>
    <s v="janeiro"/>
    <x v="1"/>
    <s v="Neutral"/>
    <s v="Yes"/>
    <s v="Yes"/>
    <s v="Resolved"/>
    <n v="1"/>
    <n v="0"/>
    <n v="1"/>
    <n v="1"/>
    <n v="0"/>
    <n v="1"/>
    <n v="0"/>
  </r>
  <r>
    <s v="TKT-00436"/>
    <n v="12.93"/>
    <x v="478"/>
    <d v="2026-04-18T05:18:42"/>
    <x v="0"/>
    <x v="3"/>
    <s v="Email"/>
    <x v="2"/>
    <x v="0"/>
    <x v="3"/>
    <x v="3"/>
    <x v="8"/>
    <n v="154"/>
    <n v="4"/>
    <n v="0"/>
    <n v="5"/>
    <s v="No"/>
    <n v="120"/>
    <n v="24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0669"/>
    <n v="9.0500000000000007"/>
    <x v="479"/>
    <d v="2026-06-06T03:32:11"/>
    <x v="0"/>
    <x v="1"/>
    <s v="Email"/>
    <x v="2"/>
    <x v="1"/>
    <x v="1"/>
    <x v="2"/>
    <x v="10"/>
    <n v="181"/>
    <n v="4"/>
    <n v="0"/>
    <n v="7"/>
    <s v="No"/>
    <n v="240"/>
    <n v="48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446"/>
    <m/>
    <x v="480"/>
    <m/>
    <x v="2"/>
    <x v="2"/>
    <s v="Email"/>
    <x v="0"/>
    <x v="1"/>
    <x v="0"/>
    <x v="2"/>
    <x v="10"/>
    <n v="27"/>
    <m/>
    <n v="0"/>
    <n v="3"/>
    <s v="No"/>
    <n v="30"/>
    <n v="8"/>
    <s v="Yes"/>
    <x v="2"/>
    <n v="2026"/>
    <n v="3"/>
    <s v="março"/>
    <x v="7"/>
    <s v="No Response"/>
    <s v="No"/>
    <s v="No"/>
    <s v="Pending"/>
    <n v="1"/>
    <n v="1"/>
    <n v="0"/>
    <n v="0"/>
    <n v="0"/>
    <n v="1"/>
    <m/>
  </r>
  <r>
    <s v="TKT-00715"/>
    <n v="6.86"/>
    <x v="481"/>
    <d v="2026-04-01T09:08:24"/>
    <x v="0"/>
    <x v="2"/>
    <s v="Email"/>
    <x v="0"/>
    <x v="0"/>
    <x v="1"/>
    <x v="2"/>
    <x v="3"/>
    <n v="79"/>
    <n v="4"/>
    <n v="0"/>
    <n v="6"/>
    <s v="No"/>
    <n v="30"/>
    <n v="8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0708"/>
    <n v="22.13"/>
    <x v="482"/>
    <d v="2026-04-14T03:12:36"/>
    <x v="0"/>
    <x v="1"/>
    <s v="Chat"/>
    <x v="2"/>
    <x v="1"/>
    <x v="3"/>
    <x v="3"/>
    <x v="7"/>
    <n v="683"/>
    <n v="2"/>
    <n v="2"/>
    <n v="14"/>
    <s v="Yes"/>
    <n v="240"/>
    <n v="48"/>
    <s v="No"/>
    <x v="0"/>
    <n v="2026"/>
    <n v="4"/>
    <s v="abril"/>
    <x v="0"/>
    <s v="Dissatisfied"/>
    <s v="Yes"/>
    <s v="Yes"/>
    <s v="Resolved"/>
    <n v="1"/>
    <n v="0"/>
    <n v="1"/>
    <n v="1"/>
    <n v="1"/>
    <n v="0"/>
    <n v="1"/>
  </r>
  <r>
    <s v="TKT-00649"/>
    <n v="17.57"/>
    <x v="483"/>
    <d v="2026-05-21T17:08:26"/>
    <x v="0"/>
    <x v="1"/>
    <s v="Web Form"/>
    <x v="0"/>
    <x v="2"/>
    <x v="2"/>
    <x v="1"/>
    <x v="9"/>
    <n v="225"/>
    <n v="4"/>
    <n v="0"/>
    <n v="4"/>
    <s v="No"/>
    <n v="240"/>
    <n v="48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0042"/>
    <n v="77.510000000000005"/>
    <x v="484"/>
    <d v="2026-01-14T21:14:45"/>
    <x v="0"/>
    <x v="1"/>
    <s v="Web Form"/>
    <x v="0"/>
    <x v="0"/>
    <x v="1"/>
    <x v="5"/>
    <x v="5"/>
    <n v="265"/>
    <n v="3"/>
    <n v="0"/>
    <n v="2"/>
    <s v="No"/>
    <n v="240"/>
    <n v="48"/>
    <s v="No"/>
    <x v="1"/>
    <n v="2026"/>
    <n v="1"/>
    <s v="janeiro"/>
    <x v="1"/>
    <s v="Neutral"/>
    <s v="No"/>
    <s v="Yes"/>
    <s v="Resolved"/>
    <n v="1"/>
    <n v="0"/>
    <n v="1"/>
    <n v="0"/>
    <n v="0"/>
    <n v="0"/>
    <n v="0"/>
  </r>
  <r>
    <s v="TKT-00470"/>
    <n v="30.61"/>
    <x v="485"/>
    <d v="2026-02-10T02:25:34"/>
    <x v="0"/>
    <x v="1"/>
    <s v="Email"/>
    <x v="0"/>
    <x v="2"/>
    <x v="1"/>
    <x v="5"/>
    <x v="2"/>
    <n v="160"/>
    <n v="4"/>
    <n v="0"/>
    <n v="7"/>
    <s v="No"/>
    <n v="240"/>
    <n v="48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1084"/>
    <n v="48.54"/>
    <x v="486"/>
    <d v="2026-03-30T06:47:12"/>
    <x v="0"/>
    <x v="3"/>
    <s v="Chat"/>
    <x v="4"/>
    <x v="1"/>
    <x v="0"/>
    <x v="1"/>
    <x v="3"/>
    <n v="55"/>
    <n v="4"/>
    <n v="0"/>
    <n v="4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938"/>
    <n v="25.8"/>
    <x v="487"/>
    <d v="2026-02-03T03:52:09"/>
    <x v="0"/>
    <x v="3"/>
    <s v="Chat"/>
    <x v="0"/>
    <x v="2"/>
    <x v="3"/>
    <x v="3"/>
    <x v="3"/>
    <n v="203"/>
    <n v="4"/>
    <n v="0"/>
    <n v="6"/>
    <s v="No"/>
    <n v="120"/>
    <n v="24"/>
    <s v="No"/>
    <x v="1"/>
    <n v="2026"/>
    <n v="2"/>
    <s v="fevereiro"/>
    <x v="4"/>
    <s v="Satisfied"/>
    <s v="No"/>
    <s v="Yes"/>
    <s v="Resolved"/>
    <n v="1"/>
    <n v="0"/>
    <n v="1"/>
    <n v="0"/>
    <n v="0"/>
    <n v="0"/>
    <n v="0"/>
  </r>
  <r>
    <s v="TKT-00161"/>
    <n v="108.5"/>
    <x v="488"/>
    <d v="2026-05-04T02:50:07"/>
    <x v="0"/>
    <x v="1"/>
    <s v="Email"/>
    <x v="4"/>
    <x v="2"/>
    <x v="3"/>
    <x v="1"/>
    <x v="0"/>
    <n v="146"/>
    <n v="3"/>
    <n v="0"/>
    <n v="8"/>
    <s v="Yes"/>
    <n v="240"/>
    <n v="48"/>
    <s v="Yes"/>
    <x v="1"/>
    <n v="2026"/>
    <n v="4"/>
    <s v="abril"/>
    <x v="0"/>
    <s v="Neutral"/>
    <s v="No"/>
    <s v="Yes"/>
    <s v="Resolved"/>
    <n v="1"/>
    <n v="0"/>
    <n v="1"/>
    <n v="0"/>
    <n v="1"/>
    <n v="1"/>
    <n v="0"/>
  </r>
  <r>
    <s v="TKT-00728"/>
    <n v="44.83"/>
    <x v="489"/>
    <d v="2026-03-09T14:55:48"/>
    <x v="0"/>
    <x v="1"/>
    <s v="Email"/>
    <x v="2"/>
    <x v="2"/>
    <x v="3"/>
    <x v="4"/>
    <x v="5"/>
    <n v="116"/>
    <n v="4"/>
    <n v="0"/>
    <n v="7"/>
    <s v="No"/>
    <n v="240"/>
    <n v="48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445"/>
    <n v="13.45"/>
    <x v="490"/>
    <d v="2026-01-23T10:45:52"/>
    <x v="0"/>
    <x v="3"/>
    <s v="Email"/>
    <x v="1"/>
    <x v="0"/>
    <x v="3"/>
    <x v="0"/>
    <x v="5"/>
    <n v="337"/>
    <n v="3"/>
    <n v="1"/>
    <n v="9"/>
    <s v="No"/>
    <n v="120"/>
    <n v="24"/>
    <s v="No"/>
    <x v="0"/>
    <n v="2026"/>
    <n v="1"/>
    <s v="janeiro"/>
    <x v="1"/>
    <s v="Neutral"/>
    <s v="Yes"/>
    <s v="Yes"/>
    <s v="Resolved"/>
    <n v="1"/>
    <n v="0"/>
    <n v="1"/>
    <n v="1"/>
    <n v="0"/>
    <n v="0"/>
    <n v="1"/>
  </r>
  <r>
    <s v="TKT-00122"/>
    <n v="3.56"/>
    <x v="491"/>
    <d v="2026-04-08T06:56:50"/>
    <x v="0"/>
    <x v="0"/>
    <s v="Chat"/>
    <x v="1"/>
    <x v="1"/>
    <x v="2"/>
    <x v="1"/>
    <x v="1"/>
    <n v="42"/>
    <n v="5"/>
    <n v="0"/>
    <n v="2"/>
    <s v="No"/>
    <n v="15"/>
    <n v="4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0742"/>
    <n v="5.98"/>
    <x v="492"/>
    <d v="2026-06-22T14:55:50"/>
    <x v="0"/>
    <x v="2"/>
    <s v="Email"/>
    <x v="0"/>
    <x v="2"/>
    <x v="1"/>
    <x v="0"/>
    <x v="2"/>
    <n v="20"/>
    <n v="5"/>
    <n v="0"/>
    <n v="4"/>
    <s v="No"/>
    <n v="30"/>
    <n v="8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707"/>
    <n v="47.28"/>
    <x v="493"/>
    <d v="2026-06-23T00:32:49"/>
    <x v="0"/>
    <x v="1"/>
    <s v="Email"/>
    <x v="0"/>
    <x v="1"/>
    <x v="2"/>
    <x v="1"/>
    <x v="2"/>
    <n v="110"/>
    <n v="3"/>
    <n v="2"/>
    <n v="15"/>
    <s v="No"/>
    <n v="240"/>
    <n v="48"/>
    <s v="Yes"/>
    <x v="0"/>
    <n v="2026"/>
    <n v="6"/>
    <s v="junho"/>
    <x v="5"/>
    <s v="Neutral"/>
    <s v="Yes"/>
    <s v="Yes"/>
    <s v="Resolved"/>
    <n v="1"/>
    <n v="0"/>
    <n v="1"/>
    <n v="1"/>
    <n v="0"/>
    <n v="1"/>
    <n v="1"/>
  </r>
  <r>
    <s v="TKT-00093"/>
    <n v="8.4"/>
    <x v="494"/>
    <d v="2026-01-12T17:36:15"/>
    <x v="0"/>
    <x v="3"/>
    <s v="Web Form"/>
    <x v="0"/>
    <x v="1"/>
    <x v="3"/>
    <x v="0"/>
    <x v="8"/>
    <n v="206"/>
    <n v="4"/>
    <n v="0"/>
    <n v="6"/>
    <s v="No"/>
    <n v="120"/>
    <n v="24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0316"/>
    <n v="18.39"/>
    <x v="495"/>
    <d v="2026-05-13T02:24:08"/>
    <x v="0"/>
    <x v="2"/>
    <s v="Phone"/>
    <x v="4"/>
    <x v="2"/>
    <x v="3"/>
    <x v="2"/>
    <x v="7"/>
    <n v="47"/>
    <n v="4"/>
    <n v="0"/>
    <n v="10"/>
    <s v="Yes"/>
    <n v="30"/>
    <n v="8"/>
    <s v="No"/>
    <x v="1"/>
    <n v="2026"/>
    <n v="5"/>
    <s v="maio"/>
    <x v="2"/>
    <s v="Satisfied"/>
    <s v="No"/>
    <s v="Yes"/>
    <s v="Resolved"/>
    <n v="1"/>
    <n v="0"/>
    <n v="1"/>
    <n v="0"/>
    <n v="1"/>
    <n v="0"/>
    <n v="0"/>
  </r>
  <r>
    <s v="TKT-01018"/>
    <n v="14.01"/>
    <x v="496"/>
    <d v="2026-08-28T19:23:39"/>
    <x v="0"/>
    <x v="3"/>
    <s v="Email"/>
    <x v="3"/>
    <x v="0"/>
    <x v="0"/>
    <x v="0"/>
    <x v="9"/>
    <n v="338"/>
    <n v="4"/>
    <n v="0"/>
    <n v="2"/>
    <s v="No"/>
    <n v="120"/>
    <n v="24"/>
    <s v="No"/>
    <x v="0"/>
    <n v="2026"/>
    <n v="8"/>
    <s v="agosto"/>
    <x v="3"/>
    <s v="Satisfied"/>
    <s v="No"/>
    <s v="Yes"/>
    <s v="Resolved"/>
    <n v="1"/>
    <n v="0"/>
    <n v="1"/>
    <n v="0"/>
    <n v="0"/>
    <n v="0"/>
    <n v="1"/>
  </r>
  <r>
    <s v="TKT-00682"/>
    <n v="32.700000000000003"/>
    <x v="497"/>
    <d v="2026-03-18T05:20:00"/>
    <x v="0"/>
    <x v="3"/>
    <s v="Chat"/>
    <x v="3"/>
    <x v="2"/>
    <x v="2"/>
    <x v="5"/>
    <x v="9"/>
    <n v="63"/>
    <n v="4"/>
    <n v="0"/>
    <n v="3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330"/>
    <n v="12.42"/>
    <x v="498"/>
    <d v="2026-03-24T00:08:59"/>
    <x v="0"/>
    <x v="0"/>
    <s v="Chat"/>
    <x v="3"/>
    <x v="1"/>
    <x v="1"/>
    <x v="5"/>
    <x v="9"/>
    <n v="19"/>
    <n v="4"/>
    <n v="1"/>
    <n v="4"/>
    <s v="No"/>
    <n v="15"/>
    <n v="4"/>
    <s v="No"/>
    <x v="1"/>
    <n v="2026"/>
    <n v="3"/>
    <s v="março"/>
    <x v="7"/>
    <s v="Satisfied"/>
    <s v="Yes"/>
    <s v="Yes"/>
    <s v="Resolved"/>
    <n v="1"/>
    <n v="0"/>
    <n v="1"/>
    <n v="1"/>
    <n v="0"/>
    <n v="0"/>
    <n v="0"/>
  </r>
  <r>
    <s v="TKT-00921"/>
    <n v="29.68"/>
    <x v="499"/>
    <d v="2026-02-07T04:39:58"/>
    <x v="0"/>
    <x v="3"/>
    <s v="Email"/>
    <x v="2"/>
    <x v="2"/>
    <x v="2"/>
    <x v="3"/>
    <x v="5"/>
    <n v="123"/>
    <n v="4"/>
    <n v="1"/>
    <n v="8"/>
    <s v="No"/>
    <n v="120"/>
    <n v="24"/>
    <s v="No"/>
    <x v="1"/>
    <n v="2026"/>
    <n v="2"/>
    <s v="fevereiro"/>
    <x v="4"/>
    <s v="Satisfied"/>
    <s v="Yes"/>
    <s v="Yes"/>
    <s v="Resolved"/>
    <n v="1"/>
    <n v="0"/>
    <n v="1"/>
    <n v="1"/>
    <n v="0"/>
    <n v="0"/>
    <n v="0"/>
  </r>
  <r>
    <s v="TKT-00904"/>
    <n v="5.8"/>
    <x v="500"/>
    <d v="2026-05-03T02:16:17"/>
    <x v="0"/>
    <x v="0"/>
    <s v="Email"/>
    <x v="0"/>
    <x v="0"/>
    <x v="2"/>
    <x v="1"/>
    <x v="7"/>
    <n v="57"/>
    <n v="5"/>
    <n v="0"/>
    <n v="5"/>
    <s v="No"/>
    <n v="15"/>
    <n v="4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937"/>
    <n v="26.77"/>
    <x v="501"/>
    <d v="2026-07-13T12:40:06"/>
    <x v="0"/>
    <x v="1"/>
    <s v="Chat"/>
    <x v="2"/>
    <x v="1"/>
    <x v="1"/>
    <x v="1"/>
    <x v="7"/>
    <n v="218"/>
    <n v="4"/>
    <n v="0"/>
    <n v="7"/>
    <s v="No"/>
    <n v="240"/>
    <n v="48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561"/>
    <n v="80.81"/>
    <x v="502"/>
    <d v="2026-01-17T03:12:41"/>
    <x v="0"/>
    <x v="1"/>
    <s v="Web Form"/>
    <x v="0"/>
    <x v="1"/>
    <x v="1"/>
    <x v="1"/>
    <x v="6"/>
    <n v="447"/>
    <n v="2"/>
    <n v="0"/>
    <n v="4"/>
    <s v="Yes"/>
    <n v="240"/>
    <n v="48"/>
    <s v="No"/>
    <x v="1"/>
    <n v="2026"/>
    <n v="1"/>
    <s v="janeiro"/>
    <x v="1"/>
    <s v="Dissatisfied"/>
    <s v="No"/>
    <s v="Yes"/>
    <s v="Resolved"/>
    <n v="1"/>
    <n v="0"/>
    <n v="1"/>
    <n v="0"/>
    <n v="1"/>
    <n v="0"/>
    <n v="0"/>
  </r>
  <r>
    <s v="TKT-00875"/>
    <n v="29.02"/>
    <x v="503"/>
    <d v="2026-07-17T20:45:13"/>
    <x v="0"/>
    <x v="3"/>
    <s v="Chat"/>
    <x v="4"/>
    <x v="2"/>
    <x v="0"/>
    <x v="1"/>
    <x v="8"/>
    <n v="270"/>
    <n v="3"/>
    <n v="0"/>
    <n v="7"/>
    <s v="No"/>
    <n v="120"/>
    <n v="24"/>
    <s v="No"/>
    <x v="1"/>
    <n v="2026"/>
    <n v="7"/>
    <s v="julho"/>
    <x v="6"/>
    <s v="Neutral"/>
    <s v="No"/>
    <s v="Yes"/>
    <s v="Resolved"/>
    <n v="1"/>
    <n v="0"/>
    <n v="1"/>
    <n v="0"/>
    <n v="0"/>
    <n v="0"/>
    <n v="0"/>
  </r>
  <r>
    <s v="TKT-00051"/>
    <n v="29.52"/>
    <x v="504"/>
    <d v="2026-03-17T17:46:27"/>
    <x v="0"/>
    <x v="3"/>
    <s v="Chat"/>
    <x v="0"/>
    <x v="2"/>
    <x v="2"/>
    <x v="5"/>
    <x v="0"/>
    <n v="44"/>
    <n v="4"/>
    <n v="0"/>
    <n v="4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950"/>
    <n v="25.82"/>
    <x v="505"/>
    <d v="2026-05-03T13:08:56"/>
    <x v="0"/>
    <x v="3"/>
    <s v="Email"/>
    <x v="0"/>
    <x v="1"/>
    <x v="1"/>
    <x v="1"/>
    <x v="9"/>
    <n v="139"/>
    <n v="4"/>
    <n v="0"/>
    <n v="3"/>
    <s v="No"/>
    <n v="120"/>
    <n v="24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1020"/>
    <m/>
    <x v="506"/>
    <m/>
    <x v="2"/>
    <x v="1"/>
    <s v="Chat"/>
    <x v="2"/>
    <x v="2"/>
    <x v="2"/>
    <x v="0"/>
    <x v="2"/>
    <n v="179"/>
    <m/>
    <n v="0"/>
    <n v="4"/>
    <s v="Yes"/>
    <n v="240"/>
    <n v="48"/>
    <s v="Yes"/>
    <x v="2"/>
    <n v="2026"/>
    <n v="7"/>
    <s v="julho"/>
    <x v="6"/>
    <s v="No Response"/>
    <s v="No"/>
    <s v="No"/>
    <s v="Pending"/>
    <n v="1"/>
    <n v="1"/>
    <n v="0"/>
    <n v="0"/>
    <n v="1"/>
    <n v="1"/>
    <m/>
  </r>
  <r>
    <s v="TKT-00039"/>
    <n v="30.42"/>
    <x v="507"/>
    <d v="2026-06-18T15:49:09"/>
    <x v="0"/>
    <x v="3"/>
    <s v="Phone"/>
    <x v="4"/>
    <x v="2"/>
    <x v="1"/>
    <x v="1"/>
    <x v="9"/>
    <n v="147"/>
    <n v="4"/>
    <n v="0"/>
    <n v="2"/>
    <s v="No"/>
    <n v="120"/>
    <n v="24"/>
    <s v="No"/>
    <x v="1"/>
    <n v="2026"/>
    <n v="6"/>
    <s v="junho"/>
    <x v="5"/>
    <s v="Satisfied"/>
    <s v="No"/>
    <s v="Yes"/>
    <s v="Resolved"/>
    <n v="1"/>
    <n v="0"/>
    <n v="1"/>
    <n v="0"/>
    <n v="0"/>
    <n v="0"/>
    <n v="0"/>
  </r>
  <r>
    <s v="TKT-00907"/>
    <n v="9.81"/>
    <x v="508"/>
    <d v="2026-03-21T03:22:47"/>
    <x v="0"/>
    <x v="3"/>
    <s v="Email"/>
    <x v="0"/>
    <x v="1"/>
    <x v="1"/>
    <x v="2"/>
    <x v="10"/>
    <n v="92"/>
    <n v="4"/>
    <n v="0"/>
    <n v="5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349"/>
    <n v="34.65"/>
    <x v="509"/>
    <d v="2026-03-04T03:51:00"/>
    <x v="0"/>
    <x v="3"/>
    <s v="Chat"/>
    <x v="2"/>
    <x v="0"/>
    <x v="2"/>
    <x v="1"/>
    <x v="2"/>
    <n v="65"/>
    <n v="4"/>
    <n v="0"/>
    <n v="4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824"/>
    <n v="22.05"/>
    <x v="510"/>
    <d v="2026-01-28T06:47:46"/>
    <x v="0"/>
    <x v="3"/>
    <s v="Chat"/>
    <x v="1"/>
    <x v="2"/>
    <x v="0"/>
    <x v="0"/>
    <x v="1"/>
    <n v="58"/>
    <n v="4"/>
    <n v="0"/>
    <n v="7"/>
    <s v="No"/>
    <n v="120"/>
    <n v="2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137"/>
    <n v="67.569999999999993"/>
    <x v="511"/>
    <d v="2026-04-13T01:51:17"/>
    <x v="0"/>
    <x v="1"/>
    <s v="Chat"/>
    <x v="1"/>
    <x v="1"/>
    <x v="2"/>
    <x v="1"/>
    <x v="9"/>
    <n v="631"/>
    <n v="2"/>
    <n v="0"/>
    <n v="13"/>
    <s v="Yes"/>
    <n v="240"/>
    <n v="48"/>
    <s v="No"/>
    <x v="1"/>
    <n v="2026"/>
    <n v="4"/>
    <s v="abril"/>
    <x v="0"/>
    <s v="Dissatisfied"/>
    <s v="No"/>
    <s v="Yes"/>
    <s v="Resolved"/>
    <n v="1"/>
    <n v="0"/>
    <n v="1"/>
    <n v="0"/>
    <n v="1"/>
    <n v="0"/>
    <n v="0"/>
  </r>
  <r>
    <s v="TKT-00126"/>
    <n v="76.17"/>
    <x v="512"/>
    <d v="2026-02-17T06:48:00"/>
    <x v="0"/>
    <x v="3"/>
    <s v="Chat"/>
    <x v="0"/>
    <x v="1"/>
    <x v="3"/>
    <x v="2"/>
    <x v="3"/>
    <n v="114"/>
    <n v="3"/>
    <n v="0"/>
    <n v="7"/>
    <s v="No"/>
    <n v="120"/>
    <n v="24"/>
    <s v="Yes"/>
    <x v="1"/>
    <n v="2026"/>
    <n v="2"/>
    <s v="fevereiro"/>
    <x v="4"/>
    <s v="Neutral"/>
    <s v="No"/>
    <s v="Yes"/>
    <s v="Resolved"/>
    <n v="1"/>
    <n v="0"/>
    <n v="1"/>
    <n v="0"/>
    <n v="0"/>
    <n v="1"/>
    <n v="0"/>
  </r>
  <r>
    <s v="TKT-00504"/>
    <n v="20.65"/>
    <x v="513"/>
    <d v="2026-02-15T19:43:00"/>
    <x v="0"/>
    <x v="1"/>
    <s v="Email"/>
    <x v="0"/>
    <x v="2"/>
    <x v="2"/>
    <x v="2"/>
    <x v="9"/>
    <n v="138"/>
    <n v="3"/>
    <n v="1"/>
    <n v="13"/>
    <s v="Yes"/>
    <n v="240"/>
    <n v="48"/>
    <s v="Yes"/>
    <x v="0"/>
    <n v="2026"/>
    <n v="2"/>
    <s v="fevereiro"/>
    <x v="4"/>
    <s v="Neutral"/>
    <s v="Yes"/>
    <s v="Yes"/>
    <s v="Resolved"/>
    <n v="1"/>
    <n v="0"/>
    <n v="1"/>
    <n v="1"/>
    <n v="1"/>
    <n v="1"/>
    <n v="1"/>
  </r>
  <r>
    <s v="TKT-00132"/>
    <n v="66.83"/>
    <x v="514"/>
    <d v="2026-08-31T18:09:52"/>
    <x v="0"/>
    <x v="3"/>
    <s v="Chat"/>
    <x v="1"/>
    <x v="2"/>
    <x v="1"/>
    <x v="5"/>
    <x v="1"/>
    <n v="54"/>
    <n v="4"/>
    <n v="0"/>
    <n v="2"/>
    <s v="No"/>
    <n v="120"/>
    <n v="24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612"/>
    <n v="16.27"/>
    <x v="515"/>
    <d v="2026-01-07T12:25:02"/>
    <x v="0"/>
    <x v="3"/>
    <s v="Web Form"/>
    <x v="2"/>
    <x v="2"/>
    <x v="3"/>
    <x v="1"/>
    <x v="2"/>
    <n v="143"/>
    <n v="4"/>
    <n v="0"/>
    <n v="5"/>
    <s v="No"/>
    <n v="120"/>
    <n v="24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0110"/>
    <n v="32.79"/>
    <x v="516"/>
    <d v="2026-07-03T01:28:21"/>
    <x v="0"/>
    <x v="1"/>
    <s v="Web Form"/>
    <x v="0"/>
    <x v="0"/>
    <x v="0"/>
    <x v="2"/>
    <x v="10"/>
    <n v="279"/>
    <n v="3"/>
    <n v="0"/>
    <n v="4"/>
    <s v="No"/>
    <n v="240"/>
    <n v="48"/>
    <s v="No"/>
    <x v="0"/>
    <n v="2026"/>
    <n v="7"/>
    <s v="julho"/>
    <x v="6"/>
    <s v="Neutral"/>
    <s v="No"/>
    <s v="Yes"/>
    <s v="Resolved"/>
    <n v="1"/>
    <n v="0"/>
    <n v="1"/>
    <n v="0"/>
    <n v="0"/>
    <n v="0"/>
    <n v="1"/>
  </r>
  <r>
    <s v="TKT-00310"/>
    <n v="26.42"/>
    <x v="517"/>
    <d v="2026-02-22T03:24:10"/>
    <x v="0"/>
    <x v="1"/>
    <s v="Email"/>
    <x v="0"/>
    <x v="2"/>
    <x v="3"/>
    <x v="1"/>
    <x v="4"/>
    <n v="215"/>
    <n v="4"/>
    <n v="0"/>
    <n v="7"/>
    <s v="No"/>
    <n v="240"/>
    <n v="48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1153"/>
    <n v="10.7"/>
    <x v="518"/>
    <d v="2026-03-30T03:02:15"/>
    <x v="0"/>
    <x v="3"/>
    <s v="Web Form"/>
    <x v="1"/>
    <x v="0"/>
    <x v="1"/>
    <x v="2"/>
    <x v="3"/>
    <n v="213"/>
    <n v="4"/>
    <n v="0"/>
    <n v="5"/>
    <s v="No"/>
    <n v="120"/>
    <n v="24"/>
    <s v="No"/>
    <x v="0"/>
    <n v="2026"/>
    <n v="3"/>
    <s v="março"/>
    <x v="7"/>
    <s v="Satisfied"/>
    <s v="No"/>
    <s v="Yes"/>
    <s v="Resolved"/>
    <n v="1"/>
    <n v="0"/>
    <n v="1"/>
    <n v="0"/>
    <n v="0"/>
    <n v="0"/>
    <n v="1"/>
  </r>
  <r>
    <s v="TKT-00218"/>
    <n v="4.2"/>
    <x v="519"/>
    <d v="2026-06-04T01:08:01"/>
    <x v="0"/>
    <x v="2"/>
    <s v="Web Form"/>
    <x v="2"/>
    <x v="2"/>
    <x v="0"/>
    <x v="1"/>
    <x v="9"/>
    <n v="5"/>
    <n v="5"/>
    <n v="0"/>
    <n v="6"/>
    <s v="No"/>
    <n v="30"/>
    <n v="8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314"/>
    <n v="5.99"/>
    <x v="520"/>
    <d v="2026-04-25T18:59:10"/>
    <x v="0"/>
    <x v="2"/>
    <s v="Email"/>
    <x v="0"/>
    <x v="1"/>
    <x v="3"/>
    <x v="4"/>
    <x v="1"/>
    <n v="44"/>
    <n v="4"/>
    <n v="1"/>
    <n v="8"/>
    <s v="No"/>
    <n v="30"/>
    <n v="8"/>
    <s v="No"/>
    <x v="0"/>
    <n v="2026"/>
    <n v="4"/>
    <s v="abril"/>
    <x v="0"/>
    <s v="Satisfied"/>
    <s v="Yes"/>
    <s v="Yes"/>
    <s v="Resolved"/>
    <n v="1"/>
    <n v="0"/>
    <n v="1"/>
    <n v="1"/>
    <n v="0"/>
    <n v="0"/>
    <n v="1"/>
  </r>
  <r>
    <s v="TKT-00685"/>
    <n v="14.2"/>
    <x v="521"/>
    <d v="2026-03-01T00:32:04"/>
    <x v="0"/>
    <x v="2"/>
    <s v="Chat"/>
    <x v="4"/>
    <x v="1"/>
    <x v="3"/>
    <x v="1"/>
    <x v="9"/>
    <n v="102"/>
    <n v="4"/>
    <n v="1"/>
    <n v="8"/>
    <s v="No"/>
    <n v="30"/>
    <n v="8"/>
    <s v="No"/>
    <x v="1"/>
    <n v="2026"/>
    <n v="2"/>
    <s v="fevereiro"/>
    <x v="4"/>
    <s v="Satisfied"/>
    <s v="Yes"/>
    <s v="Yes"/>
    <s v="Resolved"/>
    <n v="1"/>
    <n v="0"/>
    <n v="1"/>
    <n v="1"/>
    <n v="0"/>
    <n v="0"/>
    <n v="0"/>
  </r>
  <r>
    <s v="TKT-00066"/>
    <n v="17.170000000000002"/>
    <x v="522"/>
    <d v="2026-02-11T16:18:24"/>
    <x v="0"/>
    <x v="2"/>
    <s v="Phone"/>
    <x v="4"/>
    <x v="2"/>
    <x v="2"/>
    <x v="3"/>
    <x v="2"/>
    <n v="42"/>
    <n v="4"/>
    <n v="1"/>
    <n v="7"/>
    <s v="No"/>
    <n v="30"/>
    <n v="8"/>
    <s v="No"/>
    <x v="1"/>
    <n v="2026"/>
    <n v="2"/>
    <s v="fevereiro"/>
    <x v="4"/>
    <s v="Satisfied"/>
    <s v="Yes"/>
    <s v="Yes"/>
    <s v="Resolved"/>
    <n v="1"/>
    <n v="0"/>
    <n v="1"/>
    <n v="1"/>
    <n v="0"/>
    <n v="0"/>
    <n v="0"/>
  </r>
  <r>
    <s v="TKT-01147"/>
    <n v="16.600000000000001"/>
    <x v="523"/>
    <d v="2026-05-10T06:33:08"/>
    <x v="0"/>
    <x v="1"/>
    <s v="Web Form"/>
    <x v="0"/>
    <x v="1"/>
    <x v="2"/>
    <x v="0"/>
    <x v="6"/>
    <n v="258"/>
    <n v="2"/>
    <n v="2"/>
    <n v="15"/>
    <s v="No"/>
    <n v="240"/>
    <n v="48"/>
    <s v="No"/>
    <x v="0"/>
    <n v="2026"/>
    <n v="5"/>
    <s v="maio"/>
    <x v="2"/>
    <s v="Dissatisfied"/>
    <s v="Yes"/>
    <s v="Yes"/>
    <s v="Resolved"/>
    <n v="1"/>
    <n v="0"/>
    <n v="1"/>
    <n v="1"/>
    <n v="0"/>
    <n v="0"/>
    <n v="1"/>
  </r>
  <r>
    <s v="TKT-00642"/>
    <n v="9.31"/>
    <x v="524"/>
    <d v="2026-05-15T23:55:45"/>
    <x v="0"/>
    <x v="3"/>
    <s v="Phone"/>
    <x v="1"/>
    <x v="1"/>
    <x v="1"/>
    <x v="1"/>
    <x v="7"/>
    <n v="135"/>
    <n v="4"/>
    <n v="0"/>
    <n v="11"/>
    <s v="Yes"/>
    <n v="120"/>
    <n v="24"/>
    <s v="No"/>
    <x v="0"/>
    <n v="2026"/>
    <n v="5"/>
    <s v="maio"/>
    <x v="2"/>
    <s v="Satisfied"/>
    <s v="No"/>
    <s v="Yes"/>
    <s v="Resolved"/>
    <n v="1"/>
    <n v="0"/>
    <n v="1"/>
    <n v="0"/>
    <n v="1"/>
    <n v="0"/>
    <n v="1"/>
  </r>
  <r>
    <s v="TKT-01089"/>
    <n v="56.5"/>
    <x v="525"/>
    <d v="2026-04-28T05:25:11"/>
    <x v="0"/>
    <x v="1"/>
    <s v="Phone"/>
    <x v="1"/>
    <x v="1"/>
    <x v="3"/>
    <x v="3"/>
    <x v="4"/>
    <n v="110"/>
    <n v="4"/>
    <n v="0"/>
    <n v="2"/>
    <s v="No"/>
    <n v="240"/>
    <n v="48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333"/>
    <n v="42.78"/>
    <x v="526"/>
    <d v="2026-01-20T11:57:48"/>
    <x v="0"/>
    <x v="3"/>
    <s v="Chat"/>
    <x v="2"/>
    <x v="1"/>
    <x v="3"/>
    <x v="1"/>
    <x v="5"/>
    <n v="206"/>
    <n v="4"/>
    <n v="0"/>
    <n v="5"/>
    <s v="No"/>
    <n v="120"/>
    <n v="24"/>
    <s v="No"/>
    <x v="1"/>
    <n v="2026"/>
    <n v="1"/>
    <s v="janeiro"/>
    <x v="1"/>
    <s v="Satisfied"/>
    <s v="No"/>
    <s v="Yes"/>
    <s v="Resolved"/>
    <n v="1"/>
    <n v="0"/>
    <n v="1"/>
    <n v="0"/>
    <n v="0"/>
    <n v="0"/>
    <n v="0"/>
  </r>
  <r>
    <s v="TKT-00936"/>
    <n v="49.91"/>
    <x v="527"/>
    <d v="2026-05-17T23:13:46"/>
    <x v="0"/>
    <x v="1"/>
    <s v="Web Form"/>
    <x v="0"/>
    <x v="2"/>
    <x v="3"/>
    <x v="1"/>
    <x v="7"/>
    <n v="147"/>
    <n v="4"/>
    <n v="0"/>
    <n v="5"/>
    <s v="No"/>
    <n v="240"/>
    <n v="48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869"/>
    <n v="29.78"/>
    <x v="528"/>
    <d v="2026-02-08T12:01:39"/>
    <x v="0"/>
    <x v="1"/>
    <s v="Chat"/>
    <x v="0"/>
    <x v="1"/>
    <x v="2"/>
    <x v="5"/>
    <x v="8"/>
    <n v="85"/>
    <n v="4"/>
    <n v="0"/>
    <n v="5"/>
    <s v="No"/>
    <n v="240"/>
    <n v="48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664"/>
    <n v="74.62"/>
    <x v="529"/>
    <d v="2026-05-28T17:02:00"/>
    <x v="0"/>
    <x v="3"/>
    <s v="Web Form"/>
    <x v="2"/>
    <x v="2"/>
    <x v="0"/>
    <x v="4"/>
    <x v="7"/>
    <n v="141"/>
    <n v="4"/>
    <n v="0"/>
    <n v="2"/>
    <s v="No"/>
    <n v="120"/>
    <n v="24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047"/>
    <n v="61.61"/>
    <x v="530"/>
    <d v="2026-07-15T22:29:45"/>
    <x v="0"/>
    <x v="1"/>
    <s v="Email"/>
    <x v="0"/>
    <x v="0"/>
    <x v="3"/>
    <x v="5"/>
    <x v="1"/>
    <n v="165"/>
    <n v="4"/>
    <n v="0"/>
    <n v="3"/>
    <s v="No"/>
    <n v="240"/>
    <n v="48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0802"/>
    <n v="73.2"/>
    <x v="531"/>
    <d v="2026-07-26T09:52:05"/>
    <x v="0"/>
    <x v="1"/>
    <s v="Phone"/>
    <x v="1"/>
    <x v="0"/>
    <x v="3"/>
    <x v="3"/>
    <x v="3"/>
    <n v="217"/>
    <n v="3"/>
    <n v="1"/>
    <n v="6"/>
    <s v="No"/>
    <n v="240"/>
    <n v="48"/>
    <s v="Yes"/>
    <x v="1"/>
    <n v="2026"/>
    <n v="7"/>
    <s v="julho"/>
    <x v="6"/>
    <s v="Neutral"/>
    <s v="Yes"/>
    <s v="Yes"/>
    <s v="Resolved"/>
    <n v="1"/>
    <n v="0"/>
    <n v="1"/>
    <n v="1"/>
    <n v="0"/>
    <n v="1"/>
    <n v="0"/>
  </r>
  <r>
    <s v="TKT-00548"/>
    <n v="28.1"/>
    <x v="532"/>
    <d v="2026-05-16T12:49:13"/>
    <x v="0"/>
    <x v="3"/>
    <s v="Email"/>
    <x v="3"/>
    <x v="1"/>
    <x v="2"/>
    <x v="2"/>
    <x v="7"/>
    <n v="85"/>
    <n v="4"/>
    <n v="0"/>
    <n v="7"/>
    <s v="No"/>
    <n v="120"/>
    <n v="24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578"/>
    <n v="95.91"/>
    <x v="533"/>
    <d v="2026-07-28T17:36:24"/>
    <x v="0"/>
    <x v="1"/>
    <s v="Web Form"/>
    <x v="0"/>
    <x v="0"/>
    <x v="1"/>
    <x v="5"/>
    <x v="9"/>
    <n v="92"/>
    <n v="4"/>
    <n v="0"/>
    <n v="6"/>
    <s v="No"/>
    <n v="240"/>
    <n v="48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0198"/>
    <n v="7.07"/>
    <x v="534"/>
    <d v="2026-07-11T15:43:02"/>
    <x v="0"/>
    <x v="2"/>
    <s v="Email"/>
    <x v="4"/>
    <x v="1"/>
    <x v="2"/>
    <x v="0"/>
    <x v="2"/>
    <n v="66"/>
    <n v="3"/>
    <n v="1"/>
    <n v="14"/>
    <s v="Yes"/>
    <n v="30"/>
    <n v="8"/>
    <s v="No"/>
    <x v="0"/>
    <n v="2026"/>
    <n v="7"/>
    <s v="julho"/>
    <x v="6"/>
    <s v="Neutral"/>
    <s v="Yes"/>
    <s v="Yes"/>
    <s v="Resolved"/>
    <n v="1"/>
    <n v="0"/>
    <n v="1"/>
    <n v="1"/>
    <n v="1"/>
    <n v="0"/>
    <n v="1"/>
  </r>
  <r>
    <s v="TKT-00624"/>
    <n v="16.82"/>
    <x v="535"/>
    <d v="2026-07-27T15:08:09"/>
    <x v="0"/>
    <x v="2"/>
    <s v="Email"/>
    <x v="4"/>
    <x v="1"/>
    <x v="1"/>
    <x v="3"/>
    <x v="0"/>
    <n v="7"/>
    <n v="4"/>
    <n v="0"/>
    <n v="4"/>
    <s v="No"/>
    <n v="30"/>
    <n v="8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1023"/>
    <n v="40.43"/>
    <x v="536"/>
    <d v="2026-03-23T11:17:38"/>
    <x v="0"/>
    <x v="1"/>
    <s v="Phone"/>
    <x v="4"/>
    <x v="2"/>
    <x v="3"/>
    <x v="1"/>
    <x v="9"/>
    <n v="113"/>
    <n v="4"/>
    <n v="0"/>
    <n v="5"/>
    <s v="No"/>
    <n v="240"/>
    <n v="48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050"/>
    <n v="34.97"/>
    <x v="537"/>
    <d v="2026-07-15T20:09:55"/>
    <x v="0"/>
    <x v="1"/>
    <s v="Chat"/>
    <x v="1"/>
    <x v="2"/>
    <x v="2"/>
    <x v="3"/>
    <x v="9"/>
    <n v="291"/>
    <n v="3"/>
    <n v="0"/>
    <n v="5"/>
    <s v="Yes"/>
    <n v="240"/>
    <n v="48"/>
    <s v="No"/>
    <x v="0"/>
    <n v="2026"/>
    <n v="7"/>
    <s v="julho"/>
    <x v="6"/>
    <s v="Neutral"/>
    <s v="No"/>
    <s v="Yes"/>
    <s v="Resolved"/>
    <n v="1"/>
    <n v="0"/>
    <n v="1"/>
    <n v="0"/>
    <n v="1"/>
    <n v="0"/>
    <n v="1"/>
  </r>
  <r>
    <s v="TKT-00249"/>
    <n v="7.24"/>
    <x v="538"/>
    <d v="2026-05-19T09:00:11"/>
    <x v="0"/>
    <x v="2"/>
    <s v="Chat"/>
    <x v="4"/>
    <x v="1"/>
    <x v="3"/>
    <x v="0"/>
    <x v="7"/>
    <n v="36"/>
    <n v="5"/>
    <n v="0"/>
    <n v="4"/>
    <s v="No"/>
    <n v="30"/>
    <n v="8"/>
    <s v="No"/>
    <x v="0"/>
    <n v="2026"/>
    <n v="5"/>
    <s v="maio"/>
    <x v="2"/>
    <s v="Satisfied"/>
    <s v="No"/>
    <s v="Yes"/>
    <s v="Resolved"/>
    <n v="1"/>
    <n v="0"/>
    <n v="1"/>
    <n v="0"/>
    <n v="0"/>
    <n v="0"/>
    <n v="1"/>
  </r>
  <r>
    <s v="TKT-00690"/>
    <n v="13.29"/>
    <x v="539"/>
    <d v="2026-08-12T08:15:14"/>
    <x v="0"/>
    <x v="3"/>
    <s v="Web Form"/>
    <x v="0"/>
    <x v="0"/>
    <x v="2"/>
    <x v="4"/>
    <x v="3"/>
    <n v="108"/>
    <n v="4"/>
    <n v="1"/>
    <n v="5"/>
    <s v="No"/>
    <n v="120"/>
    <n v="24"/>
    <s v="Yes"/>
    <x v="0"/>
    <n v="2026"/>
    <n v="8"/>
    <s v="agosto"/>
    <x v="3"/>
    <s v="Satisfied"/>
    <s v="Yes"/>
    <s v="Yes"/>
    <s v="Resolved"/>
    <n v="1"/>
    <n v="0"/>
    <n v="1"/>
    <n v="1"/>
    <n v="0"/>
    <n v="1"/>
    <n v="1"/>
  </r>
  <r>
    <s v="TKT-01175"/>
    <n v="15.51"/>
    <x v="540"/>
    <d v="2026-03-17T08:06:38"/>
    <x v="0"/>
    <x v="3"/>
    <s v="Email"/>
    <x v="4"/>
    <x v="1"/>
    <x v="1"/>
    <x v="1"/>
    <x v="6"/>
    <n v="111"/>
    <n v="4"/>
    <n v="1"/>
    <n v="10"/>
    <s v="No"/>
    <n v="120"/>
    <n v="24"/>
    <s v="Yes"/>
    <x v="0"/>
    <n v="2026"/>
    <n v="3"/>
    <s v="março"/>
    <x v="7"/>
    <s v="Satisfied"/>
    <s v="Yes"/>
    <s v="Yes"/>
    <s v="Resolved"/>
    <n v="1"/>
    <n v="0"/>
    <n v="1"/>
    <n v="1"/>
    <n v="0"/>
    <n v="1"/>
    <n v="1"/>
  </r>
  <r>
    <s v="TKT-00526"/>
    <n v="6.31"/>
    <x v="541"/>
    <d v="2026-04-14T02:12:46"/>
    <x v="0"/>
    <x v="1"/>
    <s v="Web Form"/>
    <x v="0"/>
    <x v="1"/>
    <x v="3"/>
    <x v="2"/>
    <x v="0"/>
    <n v="447"/>
    <n v="3"/>
    <n v="0"/>
    <n v="6"/>
    <s v="No"/>
    <n v="240"/>
    <n v="48"/>
    <s v="No"/>
    <x v="0"/>
    <n v="2026"/>
    <n v="4"/>
    <s v="abril"/>
    <x v="0"/>
    <s v="Neutral"/>
    <s v="No"/>
    <s v="Yes"/>
    <s v="Resolved"/>
    <n v="1"/>
    <n v="0"/>
    <n v="1"/>
    <n v="0"/>
    <n v="0"/>
    <n v="0"/>
    <n v="1"/>
  </r>
  <r>
    <s v="TKT-00456"/>
    <n v="10.32"/>
    <x v="542"/>
    <d v="2026-01-11T09:32:09"/>
    <x v="0"/>
    <x v="3"/>
    <s v="Chat"/>
    <x v="0"/>
    <x v="2"/>
    <x v="0"/>
    <x v="2"/>
    <x v="10"/>
    <n v="174"/>
    <n v="4"/>
    <n v="0"/>
    <n v="5"/>
    <s v="No"/>
    <n v="120"/>
    <n v="24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0036"/>
    <n v="3.92"/>
    <x v="543"/>
    <d v="2026-04-17T17:55:54"/>
    <x v="0"/>
    <x v="2"/>
    <s v="Chat"/>
    <x v="1"/>
    <x v="1"/>
    <x v="2"/>
    <x v="2"/>
    <x v="5"/>
    <n v="28"/>
    <n v="5"/>
    <n v="0"/>
    <n v="2"/>
    <s v="No"/>
    <n v="30"/>
    <n v="8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1128"/>
    <n v="27.22"/>
    <x v="544"/>
    <d v="2026-04-08T20:04:29"/>
    <x v="0"/>
    <x v="1"/>
    <s v="Email"/>
    <x v="1"/>
    <x v="1"/>
    <x v="0"/>
    <x v="1"/>
    <x v="8"/>
    <n v="382"/>
    <n v="2"/>
    <n v="3"/>
    <n v="13"/>
    <s v="No"/>
    <n v="240"/>
    <n v="48"/>
    <s v="No"/>
    <x v="0"/>
    <n v="2026"/>
    <n v="4"/>
    <s v="abril"/>
    <x v="0"/>
    <s v="Dissatisfied"/>
    <s v="Yes"/>
    <s v="Yes"/>
    <s v="Resolved"/>
    <n v="1"/>
    <n v="0"/>
    <n v="1"/>
    <n v="1"/>
    <n v="0"/>
    <n v="0"/>
    <n v="1"/>
  </r>
  <r>
    <s v="TKT-00917"/>
    <n v="19.25"/>
    <x v="545"/>
    <d v="2026-01-24T06:30:11"/>
    <x v="0"/>
    <x v="2"/>
    <s v="Web Form"/>
    <x v="0"/>
    <x v="2"/>
    <x v="1"/>
    <x v="1"/>
    <x v="2"/>
    <n v="27"/>
    <n v="4"/>
    <n v="0"/>
    <n v="7"/>
    <s v="No"/>
    <n v="30"/>
    <n v="8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444"/>
    <n v="12.14"/>
    <x v="546"/>
    <d v="2026-08-17T15:27:13"/>
    <x v="0"/>
    <x v="1"/>
    <s v="Email"/>
    <x v="1"/>
    <x v="1"/>
    <x v="0"/>
    <x v="2"/>
    <x v="1"/>
    <n v="323"/>
    <n v="3"/>
    <n v="0"/>
    <n v="5"/>
    <s v="No"/>
    <n v="240"/>
    <n v="48"/>
    <s v="No"/>
    <x v="0"/>
    <n v="2026"/>
    <n v="8"/>
    <s v="agosto"/>
    <x v="3"/>
    <s v="Neutral"/>
    <s v="No"/>
    <s v="Yes"/>
    <s v="Resolved"/>
    <n v="1"/>
    <n v="0"/>
    <n v="1"/>
    <n v="0"/>
    <n v="0"/>
    <n v="0"/>
    <n v="1"/>
  </r>
  <r>
    <s v="TKT-00399"/>
    <n v="5.3"/>
    <x v="547"/>
    <d v="2026-07-16T13:38:15"/>
    <x v="0"/>
    <x v="0"/>
    <s v="Phone"/>
    <x v="1"/>
    <x v="0"/>
    <x v="2"/>
    <x v="4"/>
    <x v="7"/>
    <n v="20"/>
    <n v="5"/>
    <n v="0"/>
    <n v="2"/>
    <s v="No"/>
    <n v="15"/>
    <n v="4"/>
    <s v="No"/>
    <x v="1"/>
    <n v="2026"/>
    <n v="7"/>
    <s v="julho"/>
    <x v="6"/>
    <s v="Satisfied"/>
    <s v="No"/>
    <s v="Yes"/>
    <s v="Resolved"/>
    <n v="1"/>
    <n v="0"/>
    <n v="1"/>
    <n v="0"/>
    <n v="0"/>
    <n v="0"/>
    <n v="0"/>
  </r>
  <r>
    <s v="TKT-01110"/>
    <n v="9.69"/>
    <x v="548"/>
    <d v="2026-07-01T09:33:33"/>
    <x v="0"/>
    <x v="1"/>
    <s v="Chat"/>
    <x v="0"/>
    <x v="1"/>
    <x v="2"/>
    <x v="2"/>
    <x v="8"/>
    <n v="248"/>
    <n v="4"/>
    <n v="0"/>
    <n v="5"/>
    <s v="No"/>
    <n v="240"/>
    <n v="48"/>
    <s v="No"/>
    <x v="0"/>
    <n v="2026"/>
    <n v="6"/>
    <s v="junho"/>
    <x v="5"/>
    <s v="Satisfied"/>
    <s v="No"/>
    <s v="Yes"/>
    <s v="Resolved"/>
    <n v="1"/>
    <n v="0"/>
    <n v="1"/>
    <n v="0"/>
    <n v="0"/>
    <n v="0"/>
    <n v="1"/>
  </r>
  <r>
    <s v="TKT-00241"/>
    <n v="14.58"/>
    <x v="549"/>
    <d v="2026-08-13T03:27:55"/>
    <x v="0"/>
    <x v="3"/>
    <s v="Phone"/>
    <x v="3"/>
    <x v="1"/>
    <x v="3"/>
    <x v="2"/>
    <x v="9"/>
    <n v="148"/>
    <n v="4"/>
    <n v="0"/>
    <n v="7"/>
    <s v="No"/>
    <n v="120"/>
    <n v="24"/>
    <s v="No"/>
    <x v="0"/>
    <n v="2026"/>
    <n v="8"/>
    <s v="agosto"/>
    <x v="3"/>
    <s v="Satisfied"/>
    <s v="No"/>
    <s v="Yes"/>
    <s v="Resolved"/>
    <n v="1"/>
    <n v="0"/>
    <n v="1"/>
    <n v="0"/>
    <n v="0"/>
    <n v="0"/>
    <n v="1"/>
  </r>
  <r>
    <s v="TKT-00673"/>
    <n v="8.98"/>
    <x v="550"/>
    <d v="2026-04-11T16:48:31"/>
    <x v="0"/>
    <x v="2"/>
    <s v="Email"/>
    <x v="0"/>
    <x v="0"/>
    <x v="1"/>
    <x v="1"/>
    <x v="1"/>
    <n v="79"/>
    <n v="4"/>
    <n v="0"/>
    <n v="2"/>
    <s v="No"/>
    <n v="30"/>
    <n v="8"/>
    <s v="No"/>
    <x v="1"/>
    <n v="2026"/>
    <n v="4"/>
    <s v="abril"/>
    <x v="0"/>
    <s v="Satisfied"/>
    <s v="No"/>
    <s v="Yes"/>
    <s v="Resolved"/>
    <n v="1"/>
    <n v="0"/>
    <n v="1"/>
    <n v="0"/>
    <n v="0"/>
    <n v="0"/>
    <n v="0"/>
  </r>
  <r>
    <s v="TKT-00677"/>
    <n v="9.25"/>
    <x v="551"/>
    <d v="2026-04-01T13:55:00"/>
    <x v="0"/>
    <x v="2"/>
    <s v="Chat"/>
    <x v="2"/>
    <x v="1"/>
    <x v="2"/>
    <x v="1"/>
    <x v="9"/>
    <n v="16"/>
    <n v="4"/>
    <n v="0"/>
    <n v="7"/>
    <s v="No"/>
    <n v="30"/>
    <n v="8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228"/>
    <n v="17.510000000000002"/>
    <x v="552"/>
    <d v="2026-07-19T22:05:38"/>
    <x v="0"/>
    <x v="3"/>
    <s v="Phone"/>
    <x v="1"/>
    <x v="2"/>
    <x v="0"/>
    <x v="3"/>
    <x v="8"/>
    <n v="132"/>
    <n v="4"/>
    <n v="0"/>
    <n v="7"/>
    <s v="No"/>
    <n v="120"/>
    <n v="24"/>
    <s v="No"/>
    <x v="0"/>
    <n v="2026"/>
    <n v="7"/>
    <s v="julho"/>
    <x v="6"/>
    <s v="Satisfied"/>
    <s v="No"/>
    <s v="Yes"/>
    <s v="Resolved"/>
    <n v="1"/>
    <n v="0"/>
    <n v="1"/>
    <n v="0"/>
    <n v="0"/>
    <n v="0"/>
    <n v="1"/>
  </r>
  <r>
    <s v="TKT-00915"/>
    <n v="14.65"/>
    <x v="553"/>
    <d v="2026-03-31T10:01:51"/>
    <x v="0"/>
    <x v="1"/>
    <s v="Email"/>
    <x v="0"/>
    <x v="2"/>
    <x v="2"/>
    <x v="0"/>
    <x v="3"/>
    <n v="407"/>
    <n v="3"/>
    <n v="0"/>
    <n v="2"/>
    <s v="No"/>
    <n v="240"/>
    <n v="48"/>
    <s v="No"/>
    <x v="0"/>
    <n v="2026"/>
    <n v="3"/>
    <s v="março"/>
    <x v="7"/>
    <s v="Neutral"/>
    <s v="No"/>
    <s v="Yes"/>
    <s v="Resolved"/>
    <n v="1"/>
    <n v="0"/>
    <n v="1"/>
    <n v="0"/>
    <n v="0"/>
    <n v="0"/>
    <n v="1"/>
  </r>
  <r>
    <s v="TKT-00996"/>
    <n v="23.3"/>
    <x v="554"/>
    <d v="2026-08-17T02:49:49"/>
    <x v="0"/>
    <x v="2"/>
    <s v="Chat"/>
    <x v="0"/>
    <x v="2"/>
    <x v="0"/>
    <x v="1"/>
    <x v="10"/>
    <n v="46"/>
    <n v="4"/>
    <n v="0"/>
    <n v="3"/>
    <s v="No"/>
    <n v="30"/>
    <n v="8"/>
    <s v="No"/>
    <x v="1"/>
    <n v="2026"/>
    <n v="8"/>
    <s v="agosto"/>
    <x v="3"/>
    <s v="Satisfied"/>
    <s v="No"/>
    <s v="Yes"/>
    <s v="Resolved"/>
    <n v="1"/>
    <n v="0"/>
    <n v="1"/>
    <n v="0"/>
    <n v="0"/>
    <n v="0"/>
    <n v="0"/>
  </r>
  <r>
    <s v="TKT-00432"/>
    <n v="52.65"/>
    <x v="555"/>
    <d v="2026-03-25T20:09:54"/>
    <x v="0"/>
    <x v="1"/>
    <s v="Phone"/>
    <x v="0"/>
    <x v="2"/>
    <x v="0"/>
    <x v="5"/>
    <x v="5"/>
    <n v="209"/>
    <n v="3"/>
    <n v="0"/>
    <n v="7"/>
    <s v="No"/>
    <n v="240"/>
    <n v="48"/>
    <s v="Yes"/>
    <x v="1"/>
    <n v="2026"/>
    <n v="3"/>
    <s v="março"/>
    <x v="7"/>
    <s v="Neutral"/>
    <s v="No"/>
    <s v="Yes"/>
    <s v="Resolved"/>
    <n v="1"/>
    <n v="0"/>
    <n v="1"/>
    <n v="0"/>
    <n v="0"/>
    <n v="1"/>
    <n v="0"/>
  </r>
  <r>
    <s v="TKT-00060"/>
    <n v="16.170000000000002"/>
    <x v="556"/>
    <d v="2026-05-04T12:05:29"/>
    <x v="0"/>
    <x v="2"/>
    <s v="Email"/>
    <x v="0"/>
    <x v="2"/>
    <x v="3"/>
    <x v="1"/>
    <x v="9"/>
    <n v="20"/>
    <n v="4"/>
    <n v="0"/>
    <n v="5"/>
    <s v="No"/>
    <n v="30"/>
    <n v="8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932"/>
    <n v="11.35"/>
    <x v="557"/>
    <d v="2026-06-21T16:20:00"/>
    <x v="0"/>
    <x v="2"/>
    <s v="Phone"/>
    <x v="1"/>
    <x v="1"/>
    <x v="3"/>
    <x v="1"/>
    <x v="6"/>
    <n v="31"/>
    <n v="4"/>
    <n v="0"/>
    <n v="2"/>
    <s v="No"/>
    <n v="30"/>
    <n v="8"/>
    <s v="No"/>
    <x v="1"/>
    <n v="2026"/>
    <n v="6"/>
    <s v="junho"/>
    <x v="5"/>
    <s v="Satisfied"/>
    <s v="No"/>
    <s v="Yes"/>
    <s v="Resolved"/>
    <n v="1"/>
    <n v="0"/>
    <n v="1"/>
    <n v="0"/>
    <n v="0"/>
    <n v="0"/>
    <n v="0"/>
  </r>
  <r>
    <s v="TKT-00357"/>
    <n v="15.98"/>
    <x v="558"/>
    <d v="2026-08-09T13:39:48"/>
    <x v="0"/>
    <x v="2"/>
    <s v="Chat"/>
    <x v="2"/>
    <x v="2"/>
    <x v="3"/>
    <x v="5"/>
    <x v="5"/>
    <n v="46"/>
    <n v="4"/>
    <n v="1"/>
    <n v="16"/>
    <s v="Yes"/>
    <n v="30"/>
    <n v="8"/>
    <s v="No"/>
    <x v="1"/>
    <n v="2026"/>
    <n v="8"/>
    <s v="agosto"/>
    <x v="3"/>
    <s v="Satisfied"/>
    <s v="Yes"/>
    <s v="Yes"/>
    <s v="Resolved"/>
    <n v="1"/>
    <n v="0"/>
    <n v="1"/>
    <n v="1"/>
    <n v="1"/>
    <n v="0"/>
    <n v="0"/>
  </r>
  <r>
    <s v="TKT-00693"/>
    <n v="21.7"/>
    <x v="559"/>
    <d v="2026-07-28T04:02:03"/>
    <x v="0"/>
    <x v="2"/>
    <s v="Web Form"/>
    <x v="0"/>
    <x v="0"/>
    <x v="2"/>
    <x v="5"/>
    <x v="3"/>
    <n v="25"/>
    <n v="4"/>
    <n v="1"/>
    <n v="8"/>
    <s v="No"/>
    <n v="30"/>
    <n v="8"/>
    <s v="Yes"/>
    <x v="1"/>
    <n v="2026"/>
    <n v="7"/>
    <s v="julho"/>
    <x v="6"/>
    <s v="Satisfied"/>
    <s v="Yes"/>
    <s v="Yes"/>
    <s v="Resolved"/>
    <n v="1"/>
    <n v="0"/>
    <n v="1"/>
    <n v="1"/>
    <n v="0"/>
    <n v="1"/>
    <n v="0"/>
  </r>
  <r>
    <s v="TKT-00422"/>
    <n v="37.450000000000003"/>
    <x v="560"/>
    <d v="2026-01-22T17:38:43"/>
    <x v="0"/>
    <x v="1"/>
    <s v="Web Form"/>
    <x v="3"/>
    <x v="2"/>
    <x v="3"/>
    <x v="3"/>
    <x v="10"/>
    <n v="252"/>
    <n v="3"/>
    <n v="0"/>
    <n v="3"/>
    <s v="No"/>
    <n v="240"/>
    <n v="48"/>
    <s v="No"/>
    <x v="0"/>
    <n v="2026"/>
    <n v="1"/>
    <s v="janeiro"/>
    <x v="1"/>
    <s v="Neutral"/>
    <s v="No"/>
    <s v="Yes"/>
    <s v="Resolved"/>
    <n v="1"/>
    <n v="0"/>
    <n v="1"/>
    <n v="0"/>
    <n v="0"/>
    <n v="0"/>
    <n v="1"/>
  </r>
  <r>
    <s v="TKT-00210"/>
    <n v="13.17"/>
    <x v="561"/>
    <d v="2026-02-01T18:16:59"/>
    <x v="0"/>
    <x v="4"/>
    <s v="Email"/>
    <x v="0"/>
    <x v="2"/>
    <x v="0"/>
    <x v="1"/>
    <x v="0"/>
    <n v="41"/>
    <n v="4"/>
    <n v="1"/>
    <n v="8"/>
    <s v="No"/>
    <m/>
    <m/>
    <m/>
    <x v="3"/>
    <n v="2026"/>
    <n v="2"/>
    <s v="fevereiro"/>
    <x v="4"/>
    <s v="Satisfied"/>
    <s v="Yes"/>
    <s v="Yes"/>
    <s v="Resolved"/>
    <n v="1"/>
    <n v="0"/>
    <n v="1"/>
    <n v="1"/>
    <n v="0"/>
    <m/>
    <m/>
  </r>
  <r>
    <s v="TKT-00879"/>
    <n v="13.24"/>
    <x v="562"/>
    <d v="2026-08-12T23:44:30"/>
    <x v="0"/>
    <x v="3"/>
    <s v="Email"/>
    <x v="4"/>
    <x v="1"/>
    <x v="3"/>
    <x v="1"/>
    <x v="7"/>
    <n v="139"/>
    <n v="4"/>
    <n v="0"/>
    <n v="7"/>
    <s v="No"/>
    <n v="120"/>
    <n v="24"/>
    <s v="No"/>
    <x v="0"/>
    <n v="2026"/>
    <n v="8"/>
    <s v="agosto"/>
    <x v="3"/>
    <s v="Satisfied"/>
    <s v="No"/>
    <s v="Yes"/>
    <s v="Resolved"/>
    <n v="1"/>
    <n v="0"/>
    <n v="1"/>
    <n v="0"/>
    <n v="0"/>
    <n v="0"/>
    <n v="1"/>
  </r>
  <r>
    <s v="TKT-00437"/>
    <n v="17.170000000000002"/>
    <x v="563"/>
    <d v="2026-01-31T05:34:05"/>
    <x v="0"/>
    <x v="3"/>
    <s v="Email"/>
    <x v="0"/>
    <x v="1"/>
    <x v="3"/>
    <x v="4"/>
    <x v="0"/>
    <n v="153"/>
    <n v="4"/>
    <n v="0"/>
    <n v="6"/>
    <s v="No"/>
    <n v="120"/>
    <n v="24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0659"/>
    <n v="80.849999999999994"/>
    <x v="564"/>
    <d v="2026-07-16T08:15:13"/>
    <x v="0"/>
    <x v="1"/>
    <s v="Email"/>
    <x v="0"/>
    <x v="2"/>
    <x v="0"/>
    <x v="1"/>
    <x v="8"/>
    <n v="285"/>
    <n v="3"/>
    <n v="0"/>
    <n v="5"/>
    <s v="No"/>
    <n v="240"/>
    <n v="48"/>
    <s v="No"/>
    <x v="1"/>
    <n v="2026"/>
    <n v="7"/>
    <s v="julho"/>
    <x v="6"/>
    <s v="Neutral"/>
    <s v="No"/>
    <s v="Yes"/>
    <s v="Resolved"/>
    <n v="1"/>
    <n v="0"/>
    <n v="1"/>
    <n v="0"/>
    <n v="0"/>
    <n v="0"/>
    <n v="0"/>
  </r>
  <r>
    <s v="TKT-00569"/>
    <n v="20.170000000000002"/>
    <x v="565"/>
    <d v="2026-06-12T03:16:06"/>
    <x v="0"/>
    <x v="3"/>
    <s v="Phone"/>
    <x v="2"/>
    <x v="0"/>
    <x v="0"/>
    <x v="2"/>
    <x v="3"/>
    <n v="83"/>
    <n v="4"/>
    <n v="0"/>
    <n v="5"/>
    <s v="No"/>
    <n v="120"/>
    <n v="24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1137"/>
    <n v="29.67"/>
    <x v="566"/>
    <d v="2026-05-03T22:18:00"/>
    <x v="0"/>
    <x v="1"/>
    <s v="Chat"/>
    <x v="0"/>
    <x v="1"/>
    <x v="0"/>
    <x v="4"/>
    <x v="3"/>
    <n v="338"/>
    <n v="3"/>
    <n v="0"/>
    <n v="2"/>
    <s v="No"/>
    <n v="240"/>
    <n v="48"/>
    <s v="No"/>
    <x v="0"/>
    <n v="2026"/>
    <n v="5"/>
    <s v="maio"/>
    <x v="2"/>
    <s v="Neutral"/>
    <s v="No"/>
    <s v="Yes"/>
    <s v="Resolved"/>
    <n v="1"/>
    <n v="0"/>
    <n v="1"/>
    <n v="0"/>
    <n v="0"/>
    <n v="0"/>
    <n v="1"/>
  </r>
  <r>
    <s v="TKT-00600"/>
    <n v="61.25"/>
    <x v="567"/>
    <d v="2026-05-30T06:54:45"/>
    <x v="0"/>
    <x v="1"/>
    <s v="Chat"/>
    <x v="3"/>
    <x v="1"/>
    <x v="0"/>
    <x v="3"/>
    <x v="10"/>
    <n v="121"/>
    <n v="4"/>
    <n v="0"/>
    <n v="2"/>
    <s v="No"/>
    <n v="240"/>
    <n v="48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1118"/>
    <n v="9.8000000000000007"/>
    <x v="568"/>
    <d v="2026-04-01T00:02:05"/>
    <x v="0"/>
    <x v="3"/>
    <s v="Web Form"/>
    <x v="4"/>
    <x v="0"/>
    <x v="0"/>
    <x v="2"/>
    <x v="1"/>
    <n v="40"/>
    <n v="4"/>
    <n v="0"/>
    <n v="7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234"/>
    <n v="32.25"/>
    <x v="569"/>
    <d v="2026-06-10T18:21:11"/>
    <x v="0"/>
    <x v="3"/>
    <s v="Email"/>
    <x v="3"/>
    <x v="2"/>
    <x v="3"/>
    <x v="1"/>
    <x v="3"/>
    <n v="63"/>
    <n v="4"/>
    <n v="1"/>
    <n v="9"/>
    <s v="No"/>
    <n v="120"/>
    <n v="24"/>
    <s v="Yes"/>
    <x v="1"/>
    <n v="2026"/>
    <n v="6"/>
    <s v="junho"/>
    <x v="5"/>
    <s v="Satisfied"/>
    <s v="Yes"/>
    <s v="Yes"/>
    <s v="Resolved"/>
    <n v="1"/>
    <n v="0"/>
    <n v="1"/>
    <n v="1"/>
    <n v="0"/>
    <n v="1"/>
    <n v="0"/>
  </r>
  <r>
    <s v="TKT-00779"/>
    <n v="39.89"/>
    <x v="570"/>
    <d v="2026-08-17T12:20:21"/>
    <x v="0"/>
    <x v="2"/>
    <s v="Phone"/>
    <x v="0"/>
    <x v="1"/>
    <x v="0"/>
    <x v="2"/>
    <x v="2"/>
    <n v="48"/>
    <n v="4"/>
    <n v="0"/>
    <n v="8"/>
    <s v="Yes"/>
    <n v="30"/>
    <n v="8"/>
    <s v="No"/>
    <x v="1"/>
    <n v="2026"/>
    <n v="8"/>
    <s v="agosto"/>
    <x v="3"/>
    <s v="Satisfied"/>
    <s v="No"/>
    <s v="Yes"/>
    <s v="Resolved"/>
    <n v="1"/>
    <n v="0"/>
    <n v="1"/>
    <n v="0"/>
    <n v="1"/>
    <n v="0"/>
    <n v="0"/>
  </r>
  <r>
    <s v="TKT-00261"/>
    <n v="4.58"/>
    <x v="571"/>
    <d v="2026-04-12T00:11:00"/>
    <x v="0"/>
    <x v="0"/>
    <s v="Email"/>
    <x v="3"/>
    <x v="1"/>
    <x v="3"/>
    <x v="5"/>
    <x v="5"/>
    <n v="12"/>
    <n v="5"/>
    <n v="0"/>
    <n v="2"/>
    <s v="No"/>
    <n v="15"/>
    <n v="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461"/>
    <n v="44.06"/>
    <x v="572"/>
    <d v="2026-05-14T18:16:29"/>
    <x v="0"/>
    <x v="1"/>
    <s v="Email"/>
    <x v="2"/>
    <x v="2"/>
    <x v="1"/>
    <x v="3"/>
    <x v="5"/>
    <n v="534"/>
    <n v="3"/>
    <n v="0"/>
    <n v="4"/>
    <s v="No"/>
    <n v="240"/>
    <n v="48"/>
    <s v="No"/>
    <x v="0"/>
    <n v="2026"/>
    <n v="5"/>
    <s v="maio"/>
    <x v="2"/>
    <s v="Neutral"/>
    <s v="No"/>
    <s v="Yes"/>
    <s v="Resolved"/>
    <n v="1"/>
    <n v="0"/>
    <n v="1"/>
    <n v="0"/>
    <n v="0"/>
    <n v="0"/>
    <n v="1"/>
  </r>
  <r>
    <s v="TKT-00608"/>
    <n v="15.39"/>
    <x v="573"/>
    <d v="2026-04-30T08:20:39"/>
    <x v="0"/>
    <x v="0"/>
    <s v="Phone"/>
    <x v="4"/>
    <x v="1"/>
    <x v="2"/>
    <x v="5"/>
    <x v="3"/>
    <n v="7"/>
    <n v="5"/>
    <n v="0"/>
    <n v="5"/>
    <s v="No"/>
    <n v="15"/>
    <n v="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170"/>
    <n v="4.13"/>
    <x v="574"/>
    <d v="2026-07-18T07:19:02"/>
    <x v="0"/>
    <x v="2"/>
    <s v="Web Form"/>
    <x v="1"/>
    <x v="0"/>
    <x v="3"/>
    <x v="2"/>
    <x v="2"/>
    <n v="58"/>
    <n v="5"/>
    <n v="0"/>
    <n v="3"/>
    <s v="No"/>
    <n v="30"/>
    <n v="8"/>
    <s v="No"/>
    <x v="0"/>
    <n v="2026"/>
    <n v="7"/>
    <s v="julho"/>
    <x v="6"/>
    <s v="Satisfied"/>
    <s v="No"/>
    <s v="Yes"/>
    <s v="Resolved"/>
    <n v="1"/>
    <n v="0"/>
    <n v="1"/>
    <n v="0"/>
    <n v="0"/>
    <n v="0"/>
    <n v="1"/>
  </r>
  <r>
    <s v="TKT-00974"/>
    <n v="41.29"/>
    <x v="575"/>
    <d v="2026-08-18T06:16:08"/>
    <x v="0"/>
    <x v="3"/>
    <s v="Web Form"/>
    <x v="0"/>
    <x v="1"/>
    <x v="0"/>
    <x v="1"/>
    <x v="9"/>
    <n v="48"/>
    <n v="4"/>
    <n v="0"/>
    <n v="7"/>
    <s v="No"/>
    <n v="120"/>
    <n v="24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1119"/>
    <n v="19.440000000000001"/>
    <x v="576"/>
    <d v="2026-08-09T06:15:19"/>
    <x v="0"/>
    <x v="2"/>
    <s v="Web Form"/>
    <x v="2"/>
    <x v="0"/>
    <x v="2"/>
    <x v="3"/>
    <x v="6"/>
    <n v="59"/>
    <n v="3"/>
    <n v="2"/>
    <n v="11"/>
    <s v="No"/>
    <n v="30"/>
    <n v="8"/>
    <s v="No"/>
    <x v="1"/>
    <n v="2026"/>
    <n v="8"/>
    <s v="agosto"/>
    <x v="3"/>
    <s v="Neutral"/>
    <s v="Yes"/>
    <s v="Yes"/>
    <s v="Resolved"/>
    <n v="1"/>
    <n v="0"/>
    <n v="1"/>
    <n v="1"/>
    <n v="0"/>
    <n v="0"/>
    <n v="0"/>
  </r>
  <r>
    <s v="TKT-00706"/>
    <n v="34.229999999999997"/>
    <x v="577"/>
    <d v="2026-05-22T07:49:34"/>
    <x v="0"/>
    <x v="3"/>
    <s v="Email"/>
    <x v="2"/>
    <x v="2"/>
    <x v="0"/>
    <x v="5"/>
    <x v="10"/>
    <n v="172"/>
    <n v="3"/>
    <n v="0"/>
    <n v="3"/>
    <s v="No"/>
    <n v="120"/>
    <n v="24"/>
    <s v="No"/>
    <x v="1"/>
    <n v="2026"/>
    <n v="5"/>
    <s v="maio"/>
    <x v="2"/>
    <s v="Neutral"/>
    <s v="No"/>
    <s v="Yes"/>
    <s v="Resolved"/>
    <n v="1"/>
    <n v="0"/>
    <n v="1"/>
    <n v="0"/>
    <n v="0"/>
    <n v="0"/>
    <n v="0"/>
  </r>
  <r>
    <s v="TKT-00977"/>
    <n v="21.38"/>
    <x v="578"/>
    <d v="2026-03-24T06:27:00"/>
    <x v="0"/>
    <x v="3"/>
    <s v="Email"/>
    <x v="0"/>
    <x v="2"/>
    <x v="0"/>
    <x v="2"/>
    <x v="10"/>
    <n v="651"/>
    <n v="4"/>
    <n v="0"/>
    <n v="6"/>
    <s v="No"/>
    <n v="120"/>
    <n v="24"/>
    <s v="No"/>
    <x v="0"/>
    <n v="2026"/>
    <n v="3"/>
    <s v="março"/>
    <x v="7"/>
    <s v="Satisfied"/>
    <s v="No"/>
    <s v="Yes"/>
    <s v="Resolved"/>
    <n v="1"/>
    <n v="0"/>
    <n v="1"/>
    <n v="0"/>
    <n v="0"/>
    <n v="0"/>
    <n v="1"/>
  </r>
  <r>
    <s v="TKT-00207"/>
    <n v="5.45"/>
    <x v="579"/>
    <d v="2026-04-01T06:46:12"/>
    <x v="0"/>
    <x v="2"/>
    <s v="Email"/>
    <x v="2"/>
    <x v="1"/>
    <x v="2"/>
    <x v="1"/>
    <x v="1"/>
    <n v="23"/>
    <n v="4"/>
    <n v="2"/>
    <n v="14"/>
    <s v="No"/>
    <n v="30"/>
    <n v="8"/>
    <s v="Yes"/>
    <x v="0"/>
    <n v="2026"/>
    <n v="4"/>
    <s v="abril"/>
    <x v="0"/>
    <s v="Satisfied"/>
    <s v="Yes"/>
    <s v="Yes"/>
    <s v="Resolved"/>
    <n v="1"/>
    <n v="0"/>
    <n v="1"/>
    <n v="1"/>
    <n v="0"/>
    <n v="1"/>
    <n v="1"/>
  </r>
  <r>
    <s v="TKT-00844"/>
    <n v="19.79"/>
    <x v="580"/>
    <d v="2026-08-07T09:55:11"/>
    <x v="0"/>
    <x v="3"/>
    <s v="Web Form"/>
    <x v="2"/>
    <x v="2"/>
    <x v="2"/>
    <x v="2"/>
    <x v="10"/>
    <n v="79"/>
    <n v="4"/>
    <n v="0"/>
    <n v="2"/>
    <s v="No"/>
    <n v="120"/>
    <n v="24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711"/>
    <n v="14.77"/>
    <x v="581"/>
    <d v="2026-07-13T10:35:23"/>
    <x v="0"/>
    <x v="3"/>
    <s v="Email"/>
    <x v="4"/>
    <x v="1"/>
    <x v="3"/>
    <x v="3"/>
    <x v="7"/>
    <n v="91"/>
    <n v="4"/>
    <n v="0"/>
    <n v="6"/>
    <s v="No"/>
    <n v="120"/>
    <n v="24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646"/>
    <n v="6.78"/>
    <x v="582"/>
    <d v="2026-08-11T11:09:54"/>
    <x v="0"/>
    <x v="2"/>
    <s v="Email"/>
    <x v="2"/>
    <x v="2"/>
    <x v="0"/>
    <x v="1"/>
    <x v="8"/>
    <n v="60"/>
    <n v="5"/>
    <n v="0"/>
    <n v="4"/>
    <s v="No"/>
    <n v="30"/>
    <n v="8"/>
    <s v="No"/>
    <x v="0"/>
    <n v="2026"/>
    <n v="8"/>
    <s v="agosto"/>
    <x v="3"/>
    <s v="Satisfied"/>
    <s v="No"/>
    <s v="Yes"/>
    <s v="Resolved"/>
    <n v="1"/>
    <n v="0"/>
    <n v="1"/>
    <n v="0"/>
    <n v="0"/>
    <n v="0"/>
    <n v="1"/>
  </r>
  <r>
    <s v="TKT-00002"/>
    <n v="3.2"/>
    <x v="583"/>
    <d v="2026-04-12T07:53:00"/>
    <x v="0"/>
    <x v="0"/>
    <s v="Web Form"/>
    <x v="2"/>
    <x v="1"/>
    <x v="3"/>
    <x v="2"/>
    <x v="10"/>
    <n v="31"/>
    <n v="4"/>
    <n v="0"/>
    <n v="3"/>
    <s v="No"/>
    <n v="15"/>
    <n v="4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0023"/>
    <n v="32.19"/>
    <x v="584"/>
    <d v="2026-06-20T17:55:32"/>
    <x v="0"/>
    <x v="1"/>
    <s v="Email"/>
    <x v="0"/>
    <x v="0"/>
    <x v="0"/>
    <x v="5"/>
    <x v="1"/>
    <n v="228"/>
    <n v="3"/>
    <n v="0"/>
    <n v="7"/>
    <s v="No"/>
    <n v="240"/>
    <n v="48"/>
    <s v="Yes"/>
    <x v="0"/>
    <n v="2026"/>
    <n v="6"/>
    <s v="junho"/>
    <x v="5"/>
    <s v="Neutral"/>
    <s v="No"/>
    <s v="Yes"/>
    <s v="Resolved"/>
    <n v="1"/>
    <n v="0"/>
    <n v="1"/>
    <n v="0"/>
    <n v="0"/>
    <n v="1"/>
    <n v="1"/>
  </r>
  <r>
    <s v="TKT-00555"/>
    <n v="9.9700000000000006"/>
    <x v="585"/>
    <d v="2026-04-30T14:23:00"/>
    <x v="0"/>
    <x v="3"/>
    <s v="Email"/>
    <x v="1"/>
    <x v="2"/>
    <x v="3"/>
    <x v="2"/>
    <x v="8"/>
    <n v="156"/>
    <n v="4"/>
    <n v="0"/>
    <n v="4"/>
    <s v="No"/>
    <n v="120"/>
    <n v="24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0157"/>
    <n v="32.619999999999997"/>
    <x v="586"/>
    <d v="2026-01-30T18:50:04"/>
    <x v="0"/>
    <x v="3"/>
    <s v="Email"/>
    <x v="1"/>
    <x v="0"/>
    <x v="1"/>
    <x v="1"/>
    <x v="3"/>
    <n v="39"/>
    <n v="4"/>
    <n v="0"/>
    <n v="3"/>
    <s v="No"/>
    <n v="120"/>
    <n v="24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842"/>
    <n v="22.9"/>
    <x v="587"/>
    <d v="2026-01-31T23:51:53"/>
    <x v="0"/>
    <x v="1"/>
    <s v="Web Form"/>
    <x v="3"/>
    <x v="0"/>
    <x v="3"/>
    <x v="2"/>
    <x v="10"/>
    <n v="206"/>
    <n v="4"/>
    <n v="0"/>
    <n v="4"/>
    <s v="No"/>
    <n v="240"/>
    <n v="48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488"/>
    <n v="19.600000000000001"/>
    <x v="588"/>
    <d v="2026-05-02T15:54:51"/>
    <x v="0"/>
    <x v="3"/>
    <s v="Web Form"/>
    <x v="0"/>
    <x v="2"/>
    <x v="3"/>
    <x v="2"/>
    <x v="5"/>
    <n v="102"/>
    <n v="4"/>
    <n v="0"/>
    <n v="7"/>
    <s v="No"/>
    <n v="120"/>
    <n v="24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0811"/>
    <n v="17.989999999999998"/>
    <x v="589"/>
    <d v="2026-07-02T01:21:30"/>
    <x v="0"/>
    <x v="1"/>
    <s v="Phone"/>
    <x v="2"/>
    <x v="1"/>
    <x v="3"/>
    <x v="2"/>
    <x v="9"/>
    <n v="240"/>
    <n v="4"/>
    <n v="0"/>
    <n v="6"/>
    <s v="No"/>
    <n v="240"/>
    <n v="48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413"/>
    <n v="20.47"/>
    <x v="590"/>
    <d v="2026-05-01T09:41:58"/>
    <x v="0"/>
    <x v="3"/>
    <s v="Email"/>
    <x v="0"/>
    <x v="2"/>
    <x v="1"/>
    <x v="2"/>
    <x v="8"/>
    <n v="45"/>
    <n v="4"/>
    <n v="0"/>
    <n v="4"/>
    <s v="No"/>
    <n v="120"/>
    <n v="24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680"/>
    <n v="34.450000000000003"/>
    <x v="591"/>
    <d v="2026-04-11T09:14:11"/>
    <x v="0"/>
    <x v="1"/>
    <s v="Chat"/>
    <x v="0"/>
    <x v="1"/>
    <x v="2"/>
    <x v="2"/>
    <x v="9"/>
    <n v="150"/>
    <n v="4"/>
    <n v="0"/>
    <n v="5"/>
    <s v="No"/>
    <n v="240"/>
    <n v="48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801"/>
    <n v="13.24"/>
    <x v="592"/>
    <d v="2026-07-03T14:56:23"/>
    <x v="0"/>
    <x v="3"/>
    <s v="Web Form"/>
    <x v="4"/>
    <x v="2"/>
    <x v="0"/>
    <x v="2"/>
    <x v="2"/>
    <n v="242"/>
    <n v="4"/>
    <n v="1"/>
    <n v="4"/>
    <s v="No"/>
    <n v="120"/>
    <n v="24"/>
    <s v="No"/>
    <x v="0"/>
    <n v="2026"/>
    <n v="7"/>
    <s v="julho"/>
    <x v="6"/>
    <s v="Satisfied"/>
    <s v="Yes"/>
    <s v="Yes"/>
    <s v="Resolved"/>
    <n v="1"/>
    <n v="0"/>
    <n v="1"/>
    <n v="1"/>
    <n v="0"/>
    <n v="0"/>
    <n v="1"/>
  </r>
  <r>
    <s v="TKT-00079"/>
    <n v="14.7"/>
    <x v="593"/>
    <d v="2026-01-23T20:32:47"/>
    <x v="0"/>
    <x v="3"/>
    <s v="Email"/>
    <x v="0"/>
    <x v="2"/>
    <x v="1"/>
    <x v="2"/>
    <x v="6"/>
    <n v="155"/>
    <n v="4"/>
    <n v="0"/>
    <n v="3"/>
    <s v="No"/>
    <n v="120"/>
    <n v="24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0428"/>
    <n v="9.52"/>
    <x v="594"/>
    <d v="2026-05-29T03:18:19"/>
    <x v="0"/>
    <x v="2"/>
    <s v="Email"/>
    <x v="4"/>
    <x v="2"/>
    <x v="3"/>
    <x v="1"/>
    <x v="0"/>
    <n v="32"/>
    <n v="4"/>
    <n v="0"/>
    <n v="5"/>
    <s v="No"/>
    <n v="30"/>
    <n v="8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733"/>
    <n v="38.880000000000003"/>
    <x v="595"/>
    <d v="2026-06-19T06:52:43"/>
    <x v="0"/>
    <x v="1"/>
    <s v="Chat"/>
    <x v="3"/>
    <x v="1"/>
    <x v="0"/>
    <x v="1"/>
    <x v="8"/>
    <n v="277"/>
    <n v="3"/>
    <n v="0"/>
    <n v="4"/>
    <s v="No"/>
    <n v="240"/>
    <n v="48"/>
    <s v="No"/>
    <x v="0"/>
    <n v="2026"/>
    <n v="6"/>
    <s v="junho"/>
    <x v="5"/>
    <s v="Neutral"/>
    <s v="No"/>
    <s v="Yes"/>
    <s v="Resolved"/>
    <n v="1"/>
    <n v="0"/>
    <n v="1"/>
    <n v="0"/>
    <n v="0"/>
    <n v="0"/>
    <n v="1"/>
  </r>
  <r>
    <s v="TKT-00153"/>
    <n v="37.159999999999997"/>
    <x v="596"/>
    <d v="2026-06-28T06:47:48"/>
    <x v="0"/>
    <x v="1"/>
    <s v="Email"/>
    <x v="2"/>
    <x v="0"/>
    <x v="1"/>
    <x v="1"/>
    <x v="3"/>
    <n v="352"/>
    <n v="3"/>
    <n v="0"/>
    <n v="3"/>
    <s v="No"/>
    <n v="240"/>
    <n v="48"/>
    <s v="No"/>
    <x v="0"/>
    <n v="2026"/>
    <n v="6"/>
    <s v="junho"/>
    <x v="5"/>
    <s v="Neutral"/>
    <s v="No"/>
    <s v="Yes"/>
    <s v="Resolved"/>
    <n v="1"/>
    <n v="0"/>
    <n v="1"/>
    <n v="0"/>
    <n v="0"/>
    <n v="0"/>
    <n v="1"/>
  </r>
  <r>
    <s v="TKT-00964"/>
    <n v="40.020000000000003"/>
    <x v="597"/>
    <d v="2026-05-27T04:35:15"/>
    <x v="0"/>
    <x v="3"/>
    <s v="Email"/>
    <x v="2"/>
    <x v="2"/>
    <x v="1"/>
    <x v="1"/>
    <x v="7"/>
    <n v="62"/>
    <n v="4"/>
    <n v="0"/>
    <n v="4"/>
    <s v="No"/>
    <n v="120"/>
    <n v="24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024"/>
    <n v="22.53"/>
    <x v="598"/>
    <d v="2026-01-13T17:36:47"/>
    <x v="0"/>
    <x v="3"/>
    <s v="Web Form"/>
    <x v="2"/>
    <x v="1"/>
    <x v="0"/>
    <x v="1"/>
    <x v="10"/>
    <n v="108"/>
    <n v="4"/>
    <n v="0"/>
    <n v="3"/>
    <s v="No"/>
    <n v="120"/>
    <n v="2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1121"/>
    <n v="7.63"/>
    <x v="599"/>
    <d v="2026-03-05T21:32:55"/>
    <x v="0"/>
    <x v="2"/>
    <s v="Chat"/>
    <x v="1"/>
    <x v="0"/>
    <x v="0"/>
    <x v="4"/>
    <x v="7"/>
    <n v="27"/>
    <n v="4"/>
    <n v="0"/>
    <n v="6"/>
    <s v="No"/>
    <n v="30"/>
    <n v="8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885"/>
    <n v="78.77"/>
    <x v="600"/>
    <d v="2026-02-16T05:15:02"/>
    <x v="0"/>
    <x v="1"/>
    <s v="Chat"/>
    <x v="3"/>
    <x v="1"/>
    <x v="3"/>
    <x v="1"/>
    <x v="10"/>
    <n v="314"/>
    <n v="3"/>
    <n v="0"/>
    <n v="5"/>
    <s v="No"/>
    <n v="240"/>
    <n v="48"/>
    <s v="No"/>
    <x v="1"/>
    <n v="2026"/>
    <n v="2"/>
    <s v="fevereiro"/>
    <x v="4"/>
    <s v="Neutral"/>
    <s v="No"/>
    <s v="Yes"/>
    <s v="Resolved"/>
    <n v="1"/>
    <n v="0"/>
    <n v="1"/>
    <n v="0"/>
    <n v="0"/>
    <n v="0"/>
    <n v="0"/>
  </r>
  <r>
    <s v="TKT-01017"/>
    <n v="2.71"/>
    <x v="601"/>
    <d v="2026-02-07T23:44:22"/>
    <x v="0"/>
    <x v="0"/>
    <s v="Email"/>
    <x v="2"/>
    <x v="1"/>
    <x v="1"/>
    <x v="2"/>
    <x v="3"/>
    <n v="11"/>
    <n v="4"/>
    <n v="0"/>
    <n v="6"/>
    <s v="No"/>
    <n v="15"/>
    <n v="4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490"/>
    <n v="17.73"/>
    <x v="602"/>
    <d v="2026-06-14T02:20:41"/>
    <x v="0"/>
    <x v="3"/>
    <s v="Email"/>
    <x v="0"/>
    <x v="1"/>
    <x v="1"/>
    <x v="3"/>
    <x v="1"/>
    <n v="121"/>
    <n v="4"/>
    <n v="0"/>
    <n v="4"/>
    <s v="No"/>
    <n v="120"/>
    <n v="24"/>
    <s v="No"/>
    <x v="0"/>
    <n v="2026"/>
    <n v="6"/>
    <s v="junho"/>
    <x v="5"/>
    <s v="Satisfied"/>
    <s v="No"/>
    <s v="Yes"/>
    <s v="Resolved"/>
    <n v="1"/>
    <n v="0"/>
    <n v="1"/>
    <n v="0"/>
    <n v="0"/>
    <n v="0"/>
    <n v="1"/>
  </r>
  <r>
    <s v="TKT-00995"/>
    <n v="96.2"/>
    <x v="603"/>
    <d v="2026-05-02T10:51:42"/>
    <x v="0"/>
    <x v="3"/>
    <s v="Chat"/>
    <x v="2"/>
    <x v="0"/>
    <x v="1"/>
    <x v="1"/>
    <x v="6"/>
    <n v="53"/>
    <n v="4"/>
    <n v="0"/>
    <n v="2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140"/>
    <n v="25.72"/>
    <x v="604"/>
    <d v="2026-08-01T03:49:24"/>
    <x v="0"/>
    <x v="3"/>
    <s v="Chat"/>
    <x v="1"/>
    <x v="2"/>
    <x v="3"/>
    <x v="5"/>
    <x v="0"/>
    <n v="40"/>
    <n v="4"/>
    <n v="0"/>
    <n v="7"/>
    <s v="No"/>
    <n v="120"/>
    <n v="24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1078"/>
    <n v="8"/>
    <x v="605"/>
    <d v="2026-07-10T08:21:50"/>
    <x v="0"/>
    <x v="2"/>
    <s v="Web Form"/>
    <x v="3"/>
    <x v="1"/>
    <x v="1"/>
    <x v="5"/>
    <x v="7"/>
    <n v="46"/>
    <n v="4"/>
    <n v="1"/>
    <n v="5"/>
    <s v="No"/>
    <n v="30"/>
    <n v="8"/>
    <s v="No"/>
    <x v="0"/>
    <n v="2026"/>
    <n v="7"/>
    <s v="julho"/>
    <x v="6"/>
    <s v="Satisfied"/>
    <s v="Yes"/>
    <s v="Yes"/>
    <s v="Resolved"/>
    <n v="1"/>
    <n v="0"/>
    <n v="1"/>
    <n v="1"/>
    <n v="0"/>
    <n v="0"/>
    <n v="1"/>
  </r>
  <r>
    <s v="TKT-00115"/>
    <n v="41.48"/>
    <x v="606"/>
    <d v="2026-07-04T06:13:42"/>
    <x v="0"/>
    <x v="3"/>
    <s v="Chat"/>
    <x v="1"/>
    <x v="1"/>
    <x v="1"/>
    <x v="5"/>
    <x v="8"/>
    <n v="91"/>
    <n v="4"/>
    <n v="0"/>
    <n v="3"/>
    <s v="No"/>
    <n v="120"/>
    <n v="24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0965"/>
    <n v="27.63"/>
    <x v="607"/>
    <d v="2026-06-27T15:13:40"/>
    <x v="0"/>
    <x v="1"/>
    <s v="Email"/>
    <x v="0"/>
    <x v="2"/>
    <x v="3"/>
    <x v="2"/>
    <x v="5"/>
    <n v="143"/>
    <n v="4"/>
    <n v="0"/>
    <n v="7"/>
    <s v="No"/>
    <n v="240"/>
    <n v="48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1178"/>
    <n v="6.94"/>
    <x v="608"/>
    <d v="2026-04-22T08:49:31"/>
    <x v="0"/>
    <x v="3"/>
    <s v="Email"/>
    <x v="0"/>
    <x v="2"/>
    <x v="3"/>
    <x v="2"/>
    <x v="10"/>
    <n v="58"/>
    <n v="4"/>
    <n v="0"/>
    <n v="7"/>
    <s v="No"/>
    <n v="120"/>
    <n v="24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251"/>
    <n v="4.16"/>
    <x v="609"/>
    <d v="2026-01-03T17:19:36"/>
    <x v="0"/>
    <x v="0"/>
    <s v="Web Form"/>
    <x v="1"/>
    <x v="2"/>
    <x v="3"/>
    <x v="1"/>
    <x v="1"/>
    <n v="23"/>
    <n v="5"/>
    <n v="0"/>
    <n v="4"/>
    <s v="No"/>
    <n v="15"/>
    <n v="4"/>
    <s v="No"/>
    <x v="1"/>
    <n v="2026"/>
    <n v="1"/>
    <s v="janeiro"/>
    <x v="1"/>
    <s v="Satisfied"/>
    <s v="No"/>
    <s v="Yes"/>
    <s v="Resolved"/>
    <n v="1"/>
    <n v="0"/>
    <n v="1"/>
    <n v="0"/>
    <n v="0"/>
    <n v="0"/>
    <n v="0"/>
  </r>
  <r>
    <s v="TKT-00577"/>
    <n v="3.29"/>
    <x v="610"/>
    <d v="2026-04-22T08:32:26"/>
    <x v="0"/>
    <x v="2"/>
    <s v="Email"/>
    <x v="0"/>
    <x v="2"/>
    <x v="0"/>
    <x v="2"/>
    <x v="0"/>
    <n v="24"/>
    <n v="4"/>
    <n v="0"/>
    <n v="5"/>
    <s v="No"/>
    <n v="30"/>
    <n v="8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146"/>
    <n v="13.56"/>
    <x v="611"/>
    <d v="2026-06-06T23:14:54"/>
    <x v="0"/>
    <x v="3"/>
    <s v="Chat"/>
    <x v="3"/>
    <x v="1"/>
    <x v="0"/>
    <x v="2"/>
    <x v="0"/>
    <n v="198"/>
    <n v="4"/>
    <n v="0"/>
    <n v="2"/>
    <s v="No"/>
    <n v="120"/>
    <n v="24"/>
    <s v="No"/>
    <x v="0"/>
    <n v="2026"/>
    <n v="6"/>
    <s v="junho"/>
    <x v="5"/>
    <s v="Satisfied"/>
    <s v="No"/>
    <s v="Yes"/>
    <s v="Resolved"/>
    <n v="1"/>
    <n v="0"/>
    <n v="1"/>
    <n v="0"/>
    <n v="0"/>
    <n v="0"/>
    <n v="1"/>
  </r>
  <r>
    <s v="TKT-00143"/>
    <n v="14.34"/>
    <x v="612"/>
    <d v="2026-03-02T12:41:14"/>
    <x v="0"/>
    <x v="3"/>
    <s v="Chat"/>
    <x v="0"/>
    <x v="2"/>
    <x v="2"/>
    <x v="5"/>
    <x v="0"/>
    <n v="102"/>
    <n v="4"/>
    <n v="0"/>
    <n v="2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254"/>
    <n v="49.83"/>
    <x v="613"/>
    <d v="2026-01-05T19:32:52"/>
    <x v="0"/>
    <x v="3"/>
    <s v="Email"/>
    <x v="4"/>
    <x v="2"/>
    <x v="3"/>
    <x v="3"/>
    <x v="10"/>
    <n v="75"/>
    <n v="4"/>
    <n v="0"/>
    <n v="7"/>
    <s v="No"/>
    <n v="120"/>
    <n v="24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887"/>
    <n v="75.37"/>
    <x v="614"/>
    <d v="2026-08-28T14:30:59"/>
    <x v="0"/>
    <x v="1"/>
    <s v="Chat"/>
    <x v="2"/>
    <x v="1"/>
    <x v="1"/>
    <x v="1"/>
    <x v="5"/>
    <n v="150"/>
    <n v="4"/>
    <n v="0"/>
    <n v="3"/>
    <s v="No"/>
    <n v="240"/>
    <n v="48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487"/>
    <n v="23.55"/>
    <x v="615"/>
    <d v="2026-07-27T03:18:07"/>
    <x v="0"/>
    <x v="2"/>
    <s v="Chat"/>
    <x v="3"/>
    <x v="1"/>
    <x v="3"/>
    <x v="5"/>
    <x v="6"/>
    <n v="56"/>
    <n v="4"/>
    <n v="0"/>
    <n v="4"/>
    <s v="No"/>
    <n v="30"/>
    <n v="8"/>
    <s v="No"/>
    <x v="1"/>
    <n v="2026"/>
    <n v="7"/>
    <s v="julho"/>
    <x v="6"/>
    <s v="Satisfied"/>
    <s v="No"/>
    <s v="Yes"/>
    <s v="Resolved"/>
    <n v="1"/>
    <n v="0"/>
    <n v="1"/>
    <n v="0"/>
    <n v="0"/>
    <n v="0"/>
    <n v="0"/>
  </r>
  <r>
    <s v="TKT-00462"/>
    <n v="73.56"/>
    <x v="616"/>
    <d v="2026-02-26T17:41:20"/>
    <x v="0"/>
    <x v="1"/>
    <s v="Email"/>
    <x v="1"/>
    <x v="1"/>
    <x v="3"/>
    <x v="3"/>
    <x v="1"/>
    <n v="304"/>
    <n v="3"/>
    <n v="0"/>
    <n v="3"/>
    <s v="No"/>
    <n v="240"/>
    <n v="48"/>
    <s v="No"/>
    <x v="1"/>
    <n v="2026"/>
    <n v="2"/>
    <s v="fevereiro"/>
    <x v="4"/>
    <s v="Neutral"/>
    <s v="No"/>
    <s v="Yes"/>
    <s v="Resolved"/>
    <n v="1"/>
    <n v="0"/>
    <n v="1"/>
    <n v="0"/>
    <n v="0"/>
    <n v="0"/>
    <n v="0"/>
  </r>
  <r>
    <s v="TKT-00458"/>
    <n v="6.8"/>
    <x v="617"/>
    <d v="2026-06-09T04:20:59"/>
    <x v="0"/>
    <x v="0"/>
    <s v="Web Form"/>
    <x v="1"/>
    <x v="2"/>
    <x v="2"/>
    <x v="4"/>
    <x v="3"/>
    <n v="32"/>
    <n v="5"/>
    <n v="0"/>
    <n v="4"/>
    <s v="No"/>
    <n v="15"/>
    <n v="4"/>
    <s v="No"/>
    <x v="1"/>
    <n v="2026"/>
    <n v="6"/>
    <s v="junho"/>
    <x v="5"/>
    <s v="Satisfied"/>
    <s v="No"/>
    <s v="Yes"/>
    <s v="Resolved"/>
    <n v="1"/>
    <n v="0"/>
    <n v="1"/>
    <n v="0"/>
    <n v="0"/>
    <n v="0"/>
    <n v="0"/>
  </r>
  <r>
    <s v="TKT-01109"/>
    <n v="45.75"/>
    <x v="618"/>
    <d v="2026-07-17T10:36:09"/>
    <x v="0"/>
    <x v="1"/>
    <s v="Chat"/>
    <x v="0"/>
    <x v="2"/>
    <x v="0"/>
    <x v="3"/>
    <x v="8"/>
    <n v="497"/>
    <n v="3"/>
    <n v="0"/>
    <n v="3"/>
    <s v="No"/>
    <n v="240"/>
    <n v="48"/>
    <s v="No"/>
    <x v="0"/>
    <n v="2026"/>
    <n v="7"/>
    <s v="julho"/>
    <x v="6"/>
    <s v="Neutral"/>
    <s v="No"/>
    <s v="Yes"/>
    <s v="Resolved"/>
    <n v="1"/>
    <n v="0"/>
    <n v="1"/>
    <n v="0"/>
    <n v="0"/>
    <n v="0"/>
    <n v="1"/>
  </r>
  <r>
    <s v="TKT-01033"/>
    <n v="23.37"/>
    <x v="619"/>
    <d v="2026-01-02T17:46:01"/>
    <x v="0"/>
    <x v="2"/>
    <s v="Phone"/>
    <x v="0"/>
    <x v="1"/>
    <x v="3"/>
    <x v="1"/>
    <x v="6"/>
    <n v="63"/>
    <n v="4"/>
    <n v="0"/>
    <n v="5"/>
    <s v="No"/>
    <n v="30"/>
    <n v="8"/>
    <s v="No"/>
    <x v="1"/>
    <n v="2026"/>
    <n v="1"/>
    <s v="janeiro"/>
    <x v="1"/>
    <s v="Satisfied"/>
    <s v="No"/>
    <s v="Yes"/>
    <s v="Resolved"/>
    <n v="1"/>
    <n v="0"/>
    <n v="1"/>
    <n v="0"/>
    <n v="0"/>
    <n v="0"/>
    <n v="0"/>
  </r>
  <r>
    <s v="TKT-00309"/>
    <n v="41.57"/>
    <x v="620"/>
    <d v="2026-06-03T22:47:19"/>
    <x v="0"/>
    <x v="3"/>
    <s v="Web Form"/>
    <x v="0"/>
    <x v="1"/>
    <x v="2"/>
    <x v="1"/>
    <x v="8"/>
    <n v="25"/>
    <n v="4"/>
    <n v="1"/>
    <n v="9"/>
    <s v="No"/>
    <n v="120"/>
    <n v="24"/>
    <s v="Yes"/>
    <x v="1"/>
    <n v="2026"/>
    <n v="6"/>
    <s v="junho"/>
    <x v="5"/>
    <s v="Satisfied"/>
    <s v="Yes"/>
    <s v="Yes"/>
    <s v="Resolved"/>
    <n v="1"/>
    <n v="0"/>
    <n v="1"/>
    <n v="1"/>
    <n v="0"/>
    <n v="1"/>
    <n v="0"/>
  </r>
  <r>
    <s v="TKT-01141"/>
    <n v="17.989999999999998"/>
    <x v="621"/>
    <d v="2026-06-18T23:31:28"/>
    <x v="0"/>
    <x v="3"/>
    <s v="Email"/>
    <x v="1"/>
    <x v="1"/>
    <x v="3"/>
    <x v="1"/>
    <x v="3"/>
    <n v="99"/>
    <n v="4"/>
    <n v="0"/>
    <n v="4"/>
    <s v="No"/>
    <n v="120"/>
    <n v="24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809"/>
    <n v="65.510000000000005"/>
    <x v="622"/>
    <d v="2026-02-02T04:05:43"/>
    <x v="0"/>
    <x v="1"/>
    <s v="Phone"/>
    <x v="4"/>
    <x v="0"/>
    <x v="1"/>
    <x v="3"/>
    <x v="3"/>
    <n v="169"/>
    <n v="3"/>
    <n v="0"/>
    <n v="3"/>
    <s v="No"/>
    <n v="240"/>
    <n v="48"/>
    <s v="Yes"/>
    <x v="1"/>
    <n v="2026"/>
    <n v="1"/>
    <s v="janeiro"/>
    <x v="1"/>
    <s v="Neutral"/>
    <s v="No"/>
    <s v="Yes"/>
    <s v="Resolved"/>
    <n v="1"/>
    <n v="0"/>
    <n v="1"/>
    <n v="0"/>
    <n v="0"/>
    <n v="1"/>
    <n v="0"/>
  </r>
  <r>
    <s v="TKT-01060"/>
    <n v="30.93"/>
    <x v="623"/>
    <d v="2026-08-24T12:30:02"/>
    <x v="0"/>
    <x v="1"/>
    <s v="Email"/>
    <x v="0"/>
    <x v="1"/>
    <x v="0"/>
    <x v="1"/>
    <x v="1"/>
    <n v="88"/>
    <n v="4"/>
    <n v="0"/>
    <n v="7"/>
    <s v="No"/>
    <n v="240"/>
    <n v="48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221"/>
    <n v="45.17"/>
    <x v="624"/>
    <d v="2026-02-26T20:25:19"/>
    <x v="0"/>
    <x v="3"/>
    <s v="Chat"/>
    <x v="0"/>
    <x v="1"/>
    <x v="0"/>
    <x v="3"/>
    <x v="1"/>
    <n v="62"/>
    <n v="4"/>
    <n v="0"/>
    <n v="7"/>
    <s v="No"/>
    <n v="120"/>
    <n v="24"/>
    <s v="Yes"/>
    <x v="1"/>
    <n v="2026"/>
    <n v="2"/>
    <s v="fevereiro"/>
    <x v="4"/>
    <s v="Satisfied"/>
    <s v="No"/>
    <s v="Yes"/>
    <s v="Resolved"/>
    <n v="1"/>
    <n v="0"/>
    <n v="1"/>
    <n v="0"/>
    <n v="0"/>
    <n v="1"/>
    <n v="0"/>
  </r>
  <r>
    <s v="TKT-00672"/>
    <n v="39.380000000000003"/>
    <x v="625"/>
    <d v="2026-01-27T18:32:52"/>
    <x v="0"/>
    <x v="3"/>
    <s v="Email"/>
    <x v="1"/>
    <x v="1"/>
    <x v="1"/>
    <x v="3"/>
    <x v="6"/>
    <n v="134"/>
    <n v="4"/>
    <n v="1"/>
    <n v="6"/>
    <s v="No"/>
    <n v="120"/>
    <n v="24"/>
    <s v="No"/>
    <x v="1"/>
    <n v="2026"/>
    <n v="1"/>
    <s v="janeiro"/>
    <x v="1"/>
    <s v="Satisfied"/>
    <s v="Yes"/>
    <s v="Yes"/>
    <s v="Resolved"/>
    <n v="1"/>
    <n v="0"/>
    <n v="1"/>
    <n v="1"/>
    <n v="0"/>
    <n v="0"/>
    <n v="0"/>
  </r>
  <r>
    <s v="TKT-00514"/>
    <n v="14.23"/>
    <x v="626"/>
    <d v="2026-08-25T11:35:50"/>
    <x v="0"/>
    <x v="2"/>
    <s v="Email"/>
    <x v="0"/>
    <x v="2"/>
    <x v="2"/>
    <x v="3"/>
    <x v="0"/>
    <n v="34"/>
    <n v="4"/>
    <n v="1"/>
    <n v="7"/>
    <s v="No"/>
    <n v="30"/>
    <n v="8"/>
    <s v="No"/>
    <x v="1"/>
    <n v="2026"/>
    <n v="8"/>
    <s v="agosto"/>
    <x v="3"/>
    <s v="Satisfied"/>
    <s v="Yes"/>
    <s v="Yes"/>
    <s v="Resolved"/>
    <n v="1"/>
    <n v="0"/>
    <n v="1"/>
    <n v="1"/>
    <n v="0"/>
    <n v="0"/>
    <n v="0"/>
  </r>
  <r>
    <s v="TKT-00081"/>
    <n v="35.200000000000003"/>
    <x v="627"/>
    <d v="2026-06-05T10:56:15"/>
    <x v="0"/>
    <x v="3"/>
    <s v="Email"/>
    <x v="4"/>
    <x v="2"/>
    <x v="2"/>
    <x v="3"/>
    <x v="2"/>
    <n v="65"/>
    <n v="4"/>
    <n v="0"/>
    <n v="4"/>
    <s v="No"/>
    <n v="120"/>
    <n v="24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0503"/>
    <n v="18.48"/>
    <x v="628"/>
    <d v="2026-02-11T06:32:54"/>
    <x v="0"/>
    <x v="3"/>
    <s v="Email"/>
    <x v="4"/>
    <x v="0"/>
    <x v="0"/>
    <x v="3"/>
    <x v="5"/>
    <n v="190"/>
    <n v="4"/>
    <n v="0"/>
    <n v="6"/>
    <s v="No"/>
    <n v="120"/>
    <n v="24"/>
    <s v="No"/>
    <x v="0"/>
    <n v="2026"/>
    <n v="2"/>
    <s v="fevereiro"/>
    <x v="4"/>
    <s v="Satisfied"/>
    <s v="No"/>
    <s v="Yes"/>
    <s v="Resolved"/>
    <n v="1"/>
    <n v="0"/>
    <n v="1"/>
    <n v="0"/>
    <n v="0"/>
    <n v="0"/>
    <n v="1"/>
  </r>
  <r>
    <s v="TKT-00282"/>
    <n v="19.68"/>
    <x v="629"/>
    <d v="2026-01-15T00:15:44"/>
    <x v="0"/>
    <x v="2"/>
    <s v="Chat"/>
    <x v="2"/>
    <x v="2"/>
    <x v="2"/>
    <x v="5"/>
    <x v="2"/>
    <n v="78"/>
    <n v="4"/>
    <n v="1"/>
    <n v="7"/>
    <s v="No"/>
    <n v="30"/>
    <n v="8"/>
    <s v="No"/>
    <x v="1"/>
    <n v="2026"/>
    <n v="1"/>
    <s v="janeiro"/>
    <x v="1"/>
    <s v="Satisfied"/>
    <s v="Yes"/>
    <s v="Yes"/>
    <s v="Resolved"/>
    <n v="1"/>
    <n v="0"/>
    <n v="1"/>
    <n v="1"/>
    <n v="0"/>
    <n v="0"/>
    <n v="0"/>
  </r>
  <r>
    <s v="TKT-00666"/>
    <n v="3.15"/>
    <x v="630"/>
    <d v="2026-06-17T08:59:04"/>
    <x v="0"/>
    <x v="2"/>
    <s v="Web Form"/>
    <x v="1"/>
    <x v="2"/>
    <x v="2"/>
    <x v="0"/>
    <x v="3"/>
    <n v="59"/>
    <n v="4"/>
    <n v="0"/>
    <n v="4"/>
    <s v="No"/>
    <n v="30"/>
    <n v="8"/>
    <s v="No"/>
    <x v="0"/>
    <n v="2026"/>
    <n v="6"/>
    <s v="junho"/>
    <x v="5"/>
    <s v="Satisfied"/>
    <s v="No"/>
    <s v="Yes"/>
    <s v="Resolved"/>
    <n v="1"/>
    <n v="0"/>
    <n v="1"/>
    <n v="0"/>
    <n v="0"/>
    <n v="0"/>
    <n v="1"/>
  </r>
  <r>
    <s v="TKT-01162"/>
    <n v="18.16"/>
    <x v="631"/>
    <d v="2026-05-14T06:37:21"/>
    <x v="0"/>
    <x v="1"/>
    <s v="Chat"/>
    <x v="3"/>
    <x v="2"/>
    <x v="3"/>
    <x v="0"/>
    <x v="9"/>
    <n v="101"/>
    <n v="4"/>
    <n v="0"/>
    <n v="6"/>
    <s v="No"/>
    <n v="240"/>
    <n v="48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0806"/>
    <n v="20.91"/>
    <x v="632"/>
    <d v="2026-06-18T09:49:40"/>
    <x v="0"/>
    <x v="2"/>
    <s v="Email"/>
    <x v="0"/>
    <x v="1"/>
    <x v="0"/>
    <x v="3"/>
    <x v="0"/>
    <n v="29"/>
    <n v="4"/>
    <n v="0"/>
    <n v="7"/>
    <s v="No"/>
    <n v="30"/>
    <n v="8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1076"/>
    <n v="30.28"/>
    <x v="633"/>
    <d v="2026-02-11T22:13:57"/>
    <x v="0"/>
    <x v="1"/>
    <s v="Email"/>
    <x v="2"/>
    <x v="2"/>
    <x v="1"/>
    <x v="1"/>
    <x v="3"/>
    <n v="185"/>
    <n v="3"/>
    <n v="1"/>
    <n v="8"/>
    <s v="No"/>
    <n v="240"/>
    <n v="48"/>
    <s v="Yes"/>
    <x v="0"/>
    <n v="2026"/>
    <n v="2"/>
    <s v="fevereiro"/>
    <x v="4"/>
    <s v="Neutral"/>
    <s v="Yes"/>
    <s v="Yes"/>
    <s v="Resolved"/>
    <n v="1"/>
    <n v="0"/>
    <n v="1"/>
    <n v="1"/>
    <n v="0"/>
    <n v="1"/>
    <n v="1"/>
  </r>
  <r>
    <s v="TKT-00485"/>
    <n v="144.62"/>
    <x v="634"/>
    <d v="2026-03-25T06:14:13"/>
    <x v="0"/>
    <x v="1"/>
    <s v="Chat"/>
    <x v="2"/>
    <x v="2"/>
    <x v="1"/>
    <x v="1"/>
    <x v="5"/>
    <n v="89"/>
    <n v="3"/>
    <n v="0"/>
    <n v="6"/>
    <s v="No"/>
    <n v="240"/>
    <n v="48"/>
    <s v="Yes"/>
    <x v="1"/>
    <n v="2026"/>
    <n v="3"/>
    <s v="março"/>
    <x v="7"/>
    <s v="Neutral"/>
    <s v="No"/>
    <s v="Yes"/>
    <s v="Resolved"/>
    <n v="1"/>
    <n v="0"/>
    <n v="1"/>
    <n v="0"/>
    <n v="0"/>
    <n v="1"/>
    <n v="0"/>
  </r>
  <r>
    <s v="TKT-00670"/>
    <n v="6.56"/>
    <x v="635"/>
    <d v="2026-01-08T23:27:40"/>
    <x v="0"/>
    <x v="2"/>
    <s v="Chat"/>
    <x v="0"/>
    <x v="1"/>
    <x v="2"/>
    <x v="2"/>
    <x v="6"/>
    <n v="34"/>
    <n v="5"/>
    <n v="0"/>
    <n v="4"/>
    <s v="No"/>
    <n v="30"/>
    <n v="8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1063"/>
    <n v="6.8"/>
    <x v="636"/>
    <d v="2026-07-02T13:13:47"/>
    <x v="0"/>
    <x v="0"/>
    <s v="Web Form"/>
    <x v="0"/>
    <x v="0"/>
    <x v="1"/>
    <x v="2"/>
    <x v="10"/>
    <n v="37"/>
    <n v="4"/>
    <n v="0"/>
    <n v="9"/>
    <s v="Yes"/>
    <n v="15"/>
    <n v="4"/>
    <s v="No"/>
    <x v="1"/>
    <n v="2026"/>
    <n v="7"/>
    <s v="julho"/>
    <x v="6"/>
    <s v="Satisfied"/>
    <s v="No"/>
    <s v="Yes"/>
    <s v="Resolved"/>
    <n v="1"/>
    <n v="0"/>
    <n v="1"/>
    <n v="0"/>
    <n v="1"/>
    <n v="0"/>
    <n v="0"/>
  </r>
  <r>
    <s v="TKT-00264"/>
    <n v="44.49"/>
    <x v="637"/>
    <d v="2026-01-31T10:15:22"/>
    <x v="0"/>
    <x v="3"/>
    <s v="Chat"/>
    <x v="1"/>
    <x v="0"/>
    <x v="3"/>
    <x v="3"/>
    <x v="6"/>
    <n v="259"/>
    <n v="4"/>
    <n v="0"/>
    <n v="4"/>
    <s v="No"/>
    <n v="120"/>
    <n v="24"/>
    <s v="No"/>
    <x v="1"/>
    <n v="2026"/>
    <n v="1"/>
    <s v="janeiro"/>
    <x v="1"/>
    <s v="Satisfied"/>
    <s v="No"/>
    <s v="Yes"/>
    <s v="Resolved"/>
    <n v="1"/>
    <n v="0"/>
    <n v="1"/>
    <n v="0"/>
    <n v="0"/>
    <n v="0"/>
    <n v="0"/>
  </r>
  <r>
    <s v="TKT-00277"/>
    <n v="8.14"/>
    <x v="638"/>
    <d v="2026-01-22T04:09:24"/>
    <x v="0"/>
    <x v="0"/>
    <s v="Chat"/>
    <x v="0"/>
    <x v="0"/>
    <x v="0"/>
    <x v="1"/>
    <x v="10"/>
    <n v="12"/>
    <n v="5"/>
    <n v="0"/>
    <n v="3"/>
    <s v="No"/>
    <n v="15"/>
    <n v="4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201"/>
    <n v="13.14"/>
    <x v="639"/>
    <d v="2026-02-25T08:39:29"/>
    <x v="0"/>
    <x v="1"/>
    <s v="Email"/>
    <x v="3"/>
    <x v="2"/>
    <x v="0"/>
    <x v="0"/>
    <x v="1"/>
    <n v="111"/>
    <n v="4"/>
    <n v="0"/>
    <n v="7"/>
    <s v="No"/>
    <n v="240"/>
    <n v="48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072"/>
    <n v="15.12"/>
    <x v="640"/>
    <d v="2026-06-09T21:37:03"/>
    <x v="0"/>
    <x v="1"/>
    <s v="Chat"/>
    <x v="4"/>
    <x v="1"/>
    <x v="0"/>
    <x v="2"/>
    <x v="2"/>
    <n v="67"/>
    <n v="5"/>
    <n v="0"/>
    <n v="3"/>
    <s v="No"/>
    <n v="240"/>
    <n v="48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404"/>
    <n v="10.77"/>
    <x v="641"/>
    <d v="2026-05-21T17:23:56"/>
    <x v="0"/>
    <x v="2"/>
    <s v="Web Form"/>
    <x v="2"/>
    <x v="2"/>
    <x v="1"/>
    <x v="1"/>
    <x v="10"/>
    <n v="19"/>
    <n v="4"/>
    <n v="0"/>
    <n v="2"/>
    <s v="No"/>
    <n v="30"/>
    <n v="8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350"/>
    <n v="10.69"/>
    <x v="642"/>
    <d v="2026-05-15T05:23:35"/>
    <x v="0"/>
    <x v="2"/>
    <s v="Phone"/>
    <x v="0"/>
    <x v="2"/>
    <x v="2"/>
    <x v="5"/>
    <x v="5"/>
    <n v="80"/>
    <n v="4"/>
    <n v="0"/>
    <n v="7"/>
    <s v="No"/>
    <n v="30"/>
    <n v="8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979"/>
    <n v="15.84"/>
    <x v="643"/>
    <d v="2026-06-28T08:34:13"/>
    <x v="0"/>
    <x v="2"/>
    <s v="Email"/>
    <x v="0"/>
    <x v="2"/>
    <x v="2"/>
    <x v="4"/>
    <x v="10"/>
    <n v="37"/>
    <n v="5"/>
    <n v="0"/>
    <n v="7"/>
    <s v="No"/>
    <n v="30"/>
    <n v="8"/>
    <s v="No"/>
    <x v="1"/>
    <n v="2026"/>
    <n v="6"/>
    <s v="junho"/>
    <x v="5"/>
    <s v="Satisfied"/>
    <s v="No"/>
    <s v="Yes"/>
    <s v="Resolved"/>
    <n v="1"/>
    <n v="0"/>
    <n v="1"/>
    <n v="0"/>
    <n v="0"/>
    <n v="0"/>
    <n v="0"/>
  </r>
  <r>
    <s v="TKT-01154"/>
    <n v="8.9"/>
    <x v="644"/>
    <d v="2026-08-27T07:55:08"/>
    <x v="0"/>
    <x v="2"/>
    <s v="Web Form"/>
    <x v="2"/>
    <x v="1"/>
    <x v="2"/>
    <x v="0"/>
    <x v="0"/>
    <n v="23"/>
    <n v="5"/>
    <n v="0"/>
    <n v="7"/>
    <s v="No"/>
    <n v="30"/>
    <n v="8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457"/>
    <n v="32.950000000000003"/>
    <x v="645"/>
    <d v="2026-02-09T13:30:59"/>
    <x v="0"/>
    <x v="1"/>
    <s v="Web Form"/>
    <x v="0"/>
    <x v="1"/>
    <x v="0"/>
    <x v="2"/>
    <x v="5"/>
    <n v="137"/>
    <n v="4"/>
    <n v="0"/>
    <n v="3"/>
    <s v="No"/>
    <n v="240"/>
    <n v="48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648"/>
    <n v="58.59"/>
    <x v="646"/>
    <d v="2026-09-01T12:11:14"/>
    <x v="0"/>
    <x v="1"/>
    <s v="Email"/>
    <x v="3"/>
    <x v="1"/>
    <x v="2"/>
    <x v="5"/>
    <x v="6"/>
    <n v="151"/>
    <n v="4"/>
    <n v="0"/>
    <n v="7"/>
    <s v="No"/>
    <n v="240"/>
    <n v="48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877"/>
    <n v="16.690000000000001"/>
    <x v="647"/>
    <d v="2026-04-09T14:37:36"/>
    <x v="0"/>
    <x v="3"/>
    <s v="Email"/>
    <x v="3"/>
    <x v="1"/>
    <x v="2"/>
    <x v="2"/>
    <x v="2"/>
    <n v="51"/>
    <n v="4"/>
    <n v="1"/>
    <n v="8"/>
    <s v="No"/>
    <n v="120"/>
    <n v="24"/>
    <s v="Yes"/>
    <x v="0"/>
    <n v="2026"/>
    <n v="4"/>
    <s v="abril"/>
    <x v="0"/>
    <s v="Satisfied"/>
    <s v="Yes"/>
    <s v="Yes"/>
    <s v="Resolved"/>
    <n v="1"/>
    <n v="0"/>
    <n v="1"/>
    <n v="1"/>
    <n v="0"/>
    <n v="1"/>
    <n v="1"/>
  </r>
  <r>
    <s v="TKT-00607"/>
    <n v="27.03"/>
    <x v="648"/>
    <d v="2026-02-28T10:02:37"/>
    <x v="0"/>
    <x v="3"/>
    <s v="Chat"/>
    <x v="0"/>
    <x v="2"/>
    <x v="0"/>
    <x v="5"/>
    <x v="9"/>
    <n v="84"/>
    <n v="4"/>
    <n v="0"/>
    <n v="3"/>
    <s v="No"/>
    <n v="120"/>
    <n v="24"/>
    <s v="Yes"/>
    <x v="1"/>
    <n v="2026"/>
    <n v="2"/>
    <s v="fevereiro"/>
    <x v="4"/>
    <s v="Satisfied"/>
    <s v="No"/>
    <s v="Yes"/>
    <s v="Resolved"/>
    <n v="1"/>
    <n v="0"/>
    <n v="1"/>
    <n v="0"/>
    <n v="0"/>
    <n v="1"/>
    <n v="0"/>
  </r>
  <r>
    <s v="TKT-00776"/>
    <n v="32.08"/>
    <x v="649"/>
    <d v="2026-03-11T12:20:00"/>
    <x v="0"/>
    <x v="3"/>
    <s v="Chat"/>
    <x v="2"/>
    <x v="1"/>
    <x v="3"/>
    <x v="3"/>
    <x v="2"/>
    <n v="72"/>
    <n v="3"/>
    <n v="2"/>
    <n v="9"/>
    <s v="No"/>
    <n v="120"/>
    <n v="24"/>
    <s v="Yes"/>
    <x v="1"/>
    <n v="2026"/>
    <n v="3"/>
    <s v="março"/>
    <x v="7"/>
    <s v="Neutral"/>
    <s v="Yes"/>
    <s v="Yes"/>
    <s v="Resolved"/>
    <n v="1"/>
    <n v="0"/>
    <n v="1"/>
    <n v="1"/>
    <n v="0"/>
    <n v="1"/>
    <n v="0"/>
  </r>
  <r>
    <s v="TKT-00662"/>
    <m/>
    <x v="650"/>
    <m/>
    <x v="1"/>
    <x v="3"/>
    <s v="Chat"/>
    <x v="4"/>
    <x v="1"/>
    <x v="1"/>
    <x v="1"/>
    <x v="2"/>
    <n v="72"/>
    <m/>
    <n v="0"/>
    <n v="3"/>
    <s v="No"/>
    <n v="120"/>
    <n v="24"/>
    <s v="Yes"/>
    <x v="2"/>
    <n v="2026"/>
    <n v="6"/>
    <s v="junho"/>
    <x v="5"/>
    <s v="No Response"/>
    <s v="No"/>
    <s v="No"/>
    <s v="Open"/>
    <n v="1"/>
    <n v="1"/>
    <n v="0"/>
    <n v="0"/>
    <n v="0"/>
    <n v="1"/>
    <m/>
  </r>
  <r>
    <s v="TKT-00655"/>
    <n v="12.38"/>
    <x v="651"/>
    <d v="2026-03-03T02:43:54"/>
    <x v="0"/>
    <x v="3"/>
    <s v="Chat"/>
    <x v="3"/>
    <x v="1"/>
    <x v="3"/>
    <x v="2"/>
    <x v="2"/>
    <n v="118"/>
    <n v="4"/>
    <n v="0"/>
    <n v="6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260"/>
    <n v="12.68"/>
    <x v="652"/>
    <d v="2026-01-08T12:52:46"/>
    <x v="0"/>
    <x v="2"/>
    <s v="Email"/>
    <x v="3"/>
    <x v="2"/>
    <x v="0"/>
    <x v="1"/>
    <x v="1"/>
    <n v="29"/>
    <n v="5"/>
    <n v="0"/>
    <n v="2"/>
    <s v="No"/>
    <n v="30"/>
    <n v="8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739"/>
    <n v="46.59"/>
    <x v="653"/>
    <d v="2026-08-16T20:40:34"/>
    <x v="0"/>
    <x v="3"/>
    <s v="Chat"/>
    <x v="2"/>
    <x v="1"/>
    <x v="3"/>
    <x v="5"/>
    <x v="5"/>
    <n v="92"/>
    <n v="4"/>
    <n v="0"/>
    <n v="3"/>
    <s v="No"/>
    <n v="120"/>
    <n v="24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847"/>
    <n v="9.6300000000000008"/>
    <x v="654"/>
    <d v="2026-03-11T07:17:33"/>
    <x v="0"/>
    <x v="1"/>
    <s v="Chat"/>
    <x v="3"/>
    <x v="2"/>
    <x v="3"/>
    <x v="0"/>
    <x v="2"/>
    <n v="55"/>
    <n v="4"/>
    <n v="0"/>
    <n v="4"/>
    <s v="No"/>
    <n v="240"/>
    <n v="48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851"/>
    <n v="8.8000000000000007"/>
    <x v="655"/>
    <d v="2026-03-31T15:51:05"/>
    <x v="0"/>
    <x v="3"/>
    <s v="Chat"/>
    <x v="2"/>
    <x v="2"/>
    <x v="2"/>
    <x v="2"/>
    <x v="7"/>
    <n v="132"/>
    <n v="4"/>
    <n v="0"/>
    <n v="5"/>
    <s v="No"/>
    <n v="120"/>
    <n v="24"/>
    <s v="No"/>
    <x v="0"/>
    <n v="2026"/>
    <n v="3"/>
    <s v="março"/>
    <x v="7"/>
    <s v="Satisfied"/>
    <s v="No"/>
    <s v="Yes"/>
    <s v="Resolved"/>
    <n v="1"/>
    <n v="0"/>
    <n v="1"/>
    <n v="0"/>
    <n v="0"/>
    <n v="0"/>
    <n v="1"/>
  </r>
  <r>
    <s v="TKT-00038"/>
    <n v="16.91"/>
    <x v="656"/>
    <d v="2026-04-14T03:07:47"/>
    <x v="0"/>
    <x v="3"/>
    <s v="Email"/>
    <x v="1"/>
    <x v="0"/>
    <x v="0"/>
    <x v="3"/>
    <x v="3"/>
    <n v="179"/>
    <n v="4"/>
    <n v="1"/>
    <n v="6"/>
    <s v="No"/>
    <n v="120"/>
    <n v="24"/>
    <s v="No"/>
    <x v="0"/>
    <n v="2026"/>
    <n v="4"/>
    <s v="abril"/>
    <x v="0"/>
    <s v="Satisfied"/>
    <s v="Yes"/>
    <s v="Yes"/>
    <s v="Resolved"/>
    <n v="1"/>
    <n v="0"/>
    <n v="1"/>
    <n v="1"/>
    <n v="0"/>
    <n v="0"/>
    <n v="1"/>
  </r>
  <r>
    <s v="TKT-00482"/>
    <n v="28.7"/>
    <x v="657"/>
    <d v="2026-01-04T07:10:00"/>
    <x v="0"/>
    <x v="1"/>
    <s v="Email"/>
    <x v="0"/>
    <x v="2"/>
    <x v="1"/>
    <x v="0"/>
    <x v="4"/>
    <n v="261"/>
    <n v="4"/>
    <n v="0"/>
    <n v="2"/>
    <s v="No"/>
    <n v="240"/>
    <n v="48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0676"/>
    <n v="20.52"/>
    <x v="658"/>
    <d v="2026-04-22T17:00:00"/>
    <x v="0"/>
    <x v="3"/>
    <s v="Email"/>
    <x v="2"/>
    <x v="1"/>
    <x v="1"/>
    <x v="1"/>
    <x v="5"/>
    <n v="105"/>
    <n v="4"/>
    <n v="0"/>
    <n v="2"/>
    <s v="No"/>
    <n v="120"/>
    <n v="24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375"/>
    <n v="4.4400000000000004"/>
    <x v="659"/>
    <d v="2026-05-10T14:56:12"/>
    <x v="0"/>
    <x v="0"/>
    <s v="Phone"/>
    <x v="3"/>
    <x v="2"/>
    <x v="1"/>
    <x v="2"/>
    <x v="4"/>
    <n v="65"/>
    <n v="5"/>
    <n v="0"/>
    <n v="5"/>
    <s v="No"/>
    <n v="15"/>
    <n v="4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332"/>
    <n v="38.75"/>
    <x v="660"/>
    <d v="2026-07-17T08:03:16"/>
    <x v="0"/>
    <x v="1"/>
    <s v="Chat"/>
    <x v="0"/>
    <x v="2"/>
    <x v="0"/>
    <x v="3"/>
    <x v="1"/>
    <n v="117"/>
    <n v="3"/>
    <n v="1"/>
    <n v="10"/>
    <s v="No"/>
    <n v="240"/>
    <n v="48"/>
    <s v="Yes"/>
    <x v="0"/>
    <n v="2026"/>
    <n v="7"/>
    <s v="julho"/>
    <x v="6"/>
    <s v="Neutral"/>
    <s v="Yes"/>
    <s v="Yes"/>
    <s v="Resolved"/>
    <n v="1"/>
    <n v="0"/>
    <n v="1"/>
    <n v="1"/>
    <n v="0"/>
    <n v="1"/>
    <n v="1"/>
  </r>
  <r>
    <s v="TKT-00653"/>
    <n v="5.99"/>
    <x v="661"/>
    <d v="2026-02-16T18:29:23"/>
    <x v="0"/>
    <x v="2"/>
    <s v="Phone"/>
    <x v="0"/>
    <x v="1"/>
    <x v="3"/>
    <x v="2"/>
    <x v="2"/>
    <n v="54"/>
    <n v="4"/>
    <n v="0"/>
    <n v="7"/>
    <s v="No"/>
    <n v="30"/>
    <n v="8"/>
    <s v="No"/>
    <x v="0"/>
    <n v="2026"/>
    <n v="2"/>
    <s v="fevereiro"/>
    <x v="4"/>
    <s v="Satisfied"/>
    <s v="No"/>
    <s v="Yes"/>
    <s v="Resolved"/>
    <n v="1"/>
    <n v="0"/>
    <n v="1"/>
    <n v="0"/>
    <n v="0"/>
    <n v="0"/>
    <n v="1"/>
  </r>
  <r>
    <s v="TKT-00278"/>
    <n v="27.37"/>
    <x v="662"/>
    <d v="2026-03-14T23:40:19"/>
    <x v="0"/>
    <x v="3"/>
    <s v="Email"/>
    <x v="0"/>
    <x v="1"/>
    <x v="1"/>
    <x v="1"/>
    <x v="0"/>
    <n v="77"/>
    <n v="4"/>
    <n v="0"/>
    <n v="3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956"/>
    <n v="6.81"/>
    <x v="663"/>
    <d v="2026-02-14T10:02:25"/>
    <x v="0"/>
    <x v="3"/>
    <s v="Email"/>
    <x v="2"/>
    <x v="1"/>
    <x v="0"/>
    <x v="0"/>
    <x v="7"/>
    <n v="96"/>
    <n v="4"/>
    <n v="1"/>
    <n v="4"/>
    <s v="No"/>
    <n v="120"/>
    <n v="24"/>
    <s v="Yes"/>
    <x v="0"/>
    <n v="2026"/>
    <n v="2"/>
    <s v="fevereiro"/>
    <x v="4"/>
    <s v="Satisfied"/>
    <s v="Yes"/>
    <s v="Yes"/>
    <s v="Resolved"/>
    <n v="1"/>
    <n v="0"/>
    <n v="1"/>
    <n v="1"/>
    <n v="0"/>
    <n v="1"/>
    <n v="1"/>
  </r>
  <r>
    <s v="TKT-00125"/>
    <n v="37.229999999999997"/>
    <x v="664"/>
    <d v="2026-03-25T21:30:41"/>
    <x v="0"/>
    <x v="1"/>
    <s v="Phone"/>
    <x v="2"/>
    <x v="1"/>
    <x v="1"/>
    <x v="1"/>
    <x v="10"/>
    <n v="228"/>
    <n v="3"/>
    <n v="0"/>
    <n v="4"/>
    <s v="No"/>
    <n v="240"/>
    <n v="48"/>
    <s v="Yes"/>
    <x v="0"/>
    <n v="2026"/>
    <n v="3"/>
    <s v="março"/>
    <x v="7"/>
    <s v="Neutral"/>
    <s v="No"/>
    <s v="Yes"/>
    <s v="Resolved"/>
    <n v="1"/>
    <n v="0"/>
    <n v="1"/>
    <n v="0"/>
    <n v="0"/>
    <n v="1"/>
    <n v="1"/>
  </r>
  <r>
    <s v="TKT-00745"/>
    <n v="5.44"/>
    <x v="665"/>
    <d v="2026-04-23T18:38:36"/>
    <x v="0"/>
    <x v="0"/>
    <s v="Phone"/>
    <x v="0"/>
    <x v="0"/>
    <x v="2"/>
    <x v="2"/>
    <x v="3"/>
    <n v="12"/>
    <n v="4"/>
    <n v="0"/>
    <n v="5"/>
    <s v="No"/>
    <n v="15"/>
    <n v="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573"/>
    <m/>
    <x v="666"/>
    <m/>
    <x v="2"/>
    <x v="1"/>
    <s v="Email"/>
    <x v="4"/>
    <x v="2"/>
    <x v="3"/>
    <x v="3"/>
    <x v="9"/>
    <n v="373"/>
    <m/>
    <n v="0"/>
    <n v="5"/>
    <s v="No"/>
    <n v="240"/>
    <n v="48"/>
    <s v="No"/>
    <x v="2"/>
    <n v="2026"/>
    <n v="1"/>
    <s v="janeiro"/>
    <x v="1"/>
    <s v="No Response"/>
    <s v="No"/>
    <s v="No"/>
    <s v="Pending"/>
    <n v="1"/>
    <n v="1"/>
    <n v="0"/>
    <n v="0"/>
    <n v="0"/>
    <n v="0"/>
    <m/>
  </r>
  <r>
    <s v="TKT-00217"/>
    <n v="37.49"/>
    <x v="667"/>
    <d v="2026-01-19T06:16:25"/>
    <x v="0"/>
    <x v="3"/>
    <s v="Chat"/>
    <x v="0"/>
    <x v="2"/>
    <x v="3"/>
    <x v="1"/>
    <x v="7"/>
    <n v="58"/>
    <n v="4"/>
    <n v="0"/>
    <n v="3"/>
    <s v="No"/>
    <n v="120"/>
    <n v="24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689"/>
    <n v="1.82"/>
    <x v="668"/>
    <d v="2026-07-14T04:35:25"/>
    <x v="0"/>
    <x v="0"/>
    <s v="Chat"/>
    <x v="0"/>
    <x v="1"/>
    <x v="1"/>
    <x v="0"/>
    <x v="3"/>
    <n v="18"/>
    <n v="5"/>
    <n v="0"/>
    <n v="7"/>
    <s v="No"/>
    <n v="15"/>
    <n v="4"/>
    <s v="No"/>
    <x v="0"/>
    <n v="2026"/>
    <n v="7"/>
    <s v="julho"/>
    <x v="6"/>
    <s v="Satisfied"/>
    <s v="No"/>
    <s v="Yes"/>
    <s v="Resolved"/>
    <n v="1"/>
    <n v="0"/>
    <n v="1"/>
    <n v="0"/>
    <n v="0"/>
    <n v="0"/>
    <n v="1"/>
  </r>
  <r>
    <s v="TKT-00439"/>
    <n v="17.690000000000001"/>
    <x v="669"/>
    <d v="2026-03-08T07:47:12"/>
    <x v="0"/>
    <x v="2"/>
    <s v="Phone"/>
    <x v="4"/>
    <x v="1"/>
    <x v="0"/>
    <x v="4"/>
    <x v="5"/>
    <n v="16"/>
    <n v="4"/>
    <n v="0"/>
    <n v="6"/>
    <s v="Yes"/>
    <n v="30"/>
    <n v="8"/>
    <s v="Yes"/>
    <x v="1"/>
    <n v="2026"/>
    <n v="3"/>
    <s v="março"/>
    <x v="7"/>
    <s v="Satisfied"/>
    <s v="No"/>
    <s v="Yes"/>
    <s v="Resolved"/>
    <n v="1"/>
    <n v="0"/>
    <n v="1"/>
    <n v="0"/>
    <n v="1"/>
    <n v="1"/>
    <n v="0"/>
  </r>
  <r>
    <s v="TKT-00774"/>
    <n v="68.709999999999994"/>
    <x v="670"/>
    <d v="2026-04-24T06:28:48"/>
    <x v="0"/>
    <x v="1"/>
    <s v="Chat"/>
    <x v="0"/>
    <x v="2"/>
    <x v="2"/>
    <x v="5"/>
    <x v="6"/>
    <n v="132"/>
    <n v="3"/>
    <n v="0"/>
    <n v="5"/>
    <s v="No"/>
    <n v="240"/>
    <n v="48"/>
    <s v="Yes"/>
    <x v="1"/>
    <n v="2026"/>
    <n v="4"/>
    <s v="abril"/>
    <x v="0"/>
    <s v="Neutral"/>
    <s v="No"/>
    <s v="Yes"/>
    <s v="Resolved"/>
    <n v="1"/>
    <n v="0"/>
    <n v="1"/>
    <n v="0"/>
    <n v="0"/>
    <n v="1"/>
    <n v="0"/>
  </r>
  <r>
    <s v="TKT-00632"/>
    <n v="96.77"/>
    <x v="671"/>
    <d v="2026-06-29T15:00:14"/>
    <x v="0"/>
    <x v="3"/>
    <s v="Email"/>
    <x v="0"/>
    <x v="2"/>
    <x v="1"/>
    <x v="5"/>
    <x v="2"/>
    <n v="134"/>
    <n v="4"/>
    <n v="0"/>
    <n v="7"/>
    <s v="No"/>
    <n v="120"/>
    <n v="24"/>
    <s v="No"/>
    <x v="1"/>
    <n v="2026"/>
    <n v="6"/>
    <s v="junho"/>
    <x v="5"/>
    <s v="Satisfied"/>
    <s v="No"/>
    <s v="Yes"/>
    <s v="Resolved"/>
    <n v="1"/>
    <n v="0"/>
    <n v="1"/>
    <n v="0"/>
    <n v="0"/>
    <n v="0"/>
    <n v="0"/>
  </r>
  <r>
    <s v="TKT-00021"/>
    <n v="36.03"/>
    <x v="672"/>
    <d v="2026-03-11T13:54:39"/>
    <x v="0"/>
    <x v="3"/>
    <s v="Email"/>
    <x v="1"/>
    <x v="2"/>
    <x v="2"/>
    <x v="1"/>
    <x v="8"/>
    <n v="36"/>
    <n v="4"/>
    <n v="0"/>
    <n v="5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010"/>
    <n v="11.93"/>
    <x v="673"/>
    <d v="2026-05-07T07:14:30"/>
    <x v="0"/>
    <x v="1"/>
    <s v="Email"/>
    <x v="2"/>
    <x v="2"/>
    <x v="2"/>
    <x v="3"/>
    <x v="10"/>
    <n v="316"/>
    <n v="4"/>
    <n v="0"/>
    <n v="6"/>
    <s v="No"/>
    <n v="240"/>
    <n v="48"/>
    <s v="No"/>
    <x v="0"/>
    <n v="2026"/>
    <n v="5"/>
    <s v="maio"/>
    <x v="2"/>
    <s v="Satisfied"/>
    <s v="No"/>
    <s v="Yes"/>
    <s v="Resolved"/>
    <n v="1"/>
    <n v="0"/>
    <n v="1"/>
    <n v="0"/>
    <n v="0"/>
    <n v="0"/>
    <n v="1"/>
  </r>
  <r>
    <s v="TKT-00763"/>
    <n v="11.48"/>
    <x v="674"/>
    <d v="2026-04-05T20:04:59"/>
    <x v="0"/>
    <x v="3"/>
    <s v="Email"/>
    <x v="0"/>
    <x v="1"/>
    <x v="1"/>
    <x v="0"/>
    <x v="3"/>
    <n v="112"/>
    <n v="4"/>
    <n v="1"/>
    <n v="7"/>
    <s v="No"/>
    <n v="120"/>
    <n v="24"/>
    <s v="Yes"/>
    <x v="0"/>
    <n v="2026"/>
    <n v="4"/>
    <s v="abril"/>
    <x v="0"/>
    <s v="Satisfied"/>
    <s v="Yes"/>
    <s v="Yes"/>
    <s v="Resolved"/>
    <n v="1"/>
    <n v="0"/>
    <n v="1"/>
    <n v="1"/>
    <n v="0"/>
    <n v="1"/>
    <n v="1"/>
  </r>
  <r>
    <s v="TKT-00729"/>
    <n v="15.92"/>
    <x v="675"/>
    <d v="2026-06-25T17:39:11"/>
    <x v="0"/>
    <x v="1"/>
    <s v="Phone"/>
    <x v="2"/>
    <x v="2"/>
    <x v="2"/>
    <x v="2"/>
    <x v="2"/>
    <n v="252"/>
    <n v="4"/>
    <n v="0"/>
    <n v="3"/>
    <s v="No"/>
    <n v="240"/>
    <n v="48"/>
    <s v="No"/>
    <x v="0"/>
    <n v="2026"/>
    <n v="6"/>
    <s v="junho"/>
    <x v="5"/>
    <s v="Satisfied"/>
    <s v="No"/>
    <s v="Yes"/>
    <s v="Resolved"/>
    <n v="1"/>
    <n v="0"/>
    <n v="1"/>
    <n v="0"/>
    <n v="0"/>
    <n v="0"/>
    <n v="1"/>
  </r>
  <r>
    <s v="TKT-00222"/>
    <n v="13.16"/>
    <x v="676"/>
    <d v="2026-05-04T10:14:34"/>
    <x v="0"/>
    <x v="2"/>
    <s v="Email"/>
    <x v="4"/>
    <x v="1"/>
    <x v="2"/>
    <x v="3"/>
    <x v="1"/>
    <n v="38"/>
    <n v="5"/>
    <n v="0"/>
    <n v="3"/>
    <s v="No"/>
    <n v="30"/>
    <n v="8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013"/>
    <n v="20.92"/>
    <x v="677"/>
    <d v="2026-02-19T23:31:26"/>
    <x v="0"/>
    <x v="1"/>
    <s v="Chat"/>
    <x v="0"/>
    <x v="0"/>
    <x v="3"/>
    <x v="2"/>
    <x v="8"/>
    <n v="194"/>
    <n v="4"/>
    <n v="0"/>
    <n v="7"/>
    <s v="No"/>
    <n v="240"/>
    <n v="48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184"/>
    <n v="34.44"/>
    <x v="678"/>
    <d v="2026-07-24T02:08:08"/>
    <x v="0"/>
    <x v="1"/>
    <s v="Chat"/>
    <x v="3"/>
    <x v="1"/>
    <x v="3"/>
    <x v="2"/>
    <x v="0"/>
    <n v="99"/>
    <n v="4"/>
    <n v="0"/>
    <n v="7"/>
    <s v="No"/>
    <n v="240"/>
    <n v="48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1111"/>
    <n v="4.8499999999999996"/>
    <x v="679"/>
    <d v="2026-01-09T13:57:53"/>
    <x v="0"/>
    <x v="3"/>
    <s v="Phone"/>
    <x v="3"/>
    <x v="1"/>
    <x v="0"/>
    <x v="0"/>
    <x v="2"/>
    <n v="35"/>
    <n v="5"/>
    <n v="0"/>
    <n v="3"/>
    <s v="No"/>
    <n v="120"/>
    <n v="2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406"/>
    <m/>
    <x v="680"/>
    <m/>
    <x v="1"/>
    <x v="3"/>
    <s v="Email"/>
    <x v="0"/>
    <x v="1"/>
    <x v="2"/>
    <x v="4"/>
    <x v="3"/>
    <n v="157"/>
    <m/>
    <n v="0"/>
    <n v="4"/>
    <s v="No"/>
    <n v="120"/>
    <n v="24"/>
    <s v="No"/>
    <x v="2"/>
    <n v="2026"/>
    <n v="1"/>
    <s v="janeiro"/>
    <x v="1"/>
    <s v="No Response"/>
    <s v="No"/>
    <s v="No"/>
    <s v="Open"/>
    <n v="1"/>
    <n v="1"/>
    <n v="0"/>
    <n v="0"/>
    <n v="0"/>
    <n v="0"/>
    <m/>
  </r>
  <r>
    <s v="TKT-00102"/>
    <n v="4.84"/>
    <x v="681"/>
    <d v="2026-03-15T15:51:32"/>
    <x v="0"/>
    <x v="2"/>
    <s v="Phone"/>
    <x v="2"/>
    <x v="1"/>
    <x v="1"/>
    <x v="0"/>
    <x v="0"/>
    <n v="85"/>
    <n v="5"/>
    <n v="0"/>
    <n v="5"/>
    <s v="No"/>
    <n v="30"/>
    <n v="8"/>
    <s v="No"/>
    <x v="0"/>
    <n v="2026"/>
    <n v="3"/>
    <s v="março"/>
    <x v="7"/>
    <s v="Satisfied"/>
    <s v="No"/>
    <s v="Yes"/>
    <s v="Resolved"/>
    <n v="1"/>
    <n v="0"/>
    <n v="1"/>
    <n v="0"/>
    <n v="0"/>
    <n v="0"/>
    <n v="1"/>
  </r>
  <r>
    <s v="TKT-00092"/>
    <m/>
    <x v="682"/>
    <m/>
    <x v="2"/>
    <x v="3"/>
    <s v="Phone"/>
    <x v="0"/>
    <x v="1"/>
    <x v="3"/>
    <x v="5"/>
    <x v="5"/>
    <n v="152"/>
    <m/>
    <n v="0"/>
    <n v="3"/>
    <s v="No"/>
    <n v="120"/>
    <n v="24"/>
    <s v="No"/>
    <x v="2"/>
    <n v="2026"/>
    <n v="3"/>
    <s v="março"/>
    <x v="7"/>
    <s v="No Response"/>
    <s v="No"/>
    <s v="No"/>
    <s v="Pending"/>
    <n v="1"/>
    <n v="1"/>
    <n v="0"/>
    <n v="0"/>
    <n v="0"/>
    <n v="0"/>
    <m/>
  </r>
  <r>
    <s v="TKT-00804"/>
    <n v="19.25"/>
    <x v="683"/>
    <d v="2026-07-04T05:49:50"/>
    <x v="0"/>
    <x v="3"/>
    <s v="Email"/>
    <x v="3"/>
    <x v="1"/>
    <x v="3"/>
    <x v="2"/>
    <x v="1"/>
    <n v="256"/>
    <n v="4"/>
    <n v="0"/>
    <n v="7"/>
    <s v="No"/>
    <n v="120"/>
    <n v="24"/>
    <s v="No"/>
    <x v="0"/>
    <n v="2026"/>
    <n v="7"/>
    <s v="julho"/>
    <x v="6"/>
    <s v="Satisfied"/>
    <s v="No"/>
    <s v="Yes"/>
    <s v="Resolved"/>
    <n v="1"/>
    <n v="0"/>
    <n v="1"/>
    <n v="0"/>
    <n v="0"/>
    <n v="0"/>
    <n v="1"/>
  </r>
  <r>
    <s v="TKT-01022"/>
    <n v="11.49"/>
    <x v="684"/>
    <d v="2026-05-18T08:23:18"/>
    <x v="0"/>
    <x v="3"/>
    <s v="Email"/>
    <x v="4"/>
    <x v="1"/>
    <x v="3"/>
    <x v="2"/>
    <x v="5"/>
    <n v="77"/>
    <m/>
    <n v="1"/>
    <n v="7"/>
    <s v="No"/>
    <n v="120"/>
    <n v="24"/>
    <s v="Yes"/>
    <x v="0"/>
    <n v="2026"/>
    <n v="5"/>
    <s v="maio"/>
    <x v="2"/>
    <s v="No Response"/>
    <s v="Yes"/>
    <s v="No"/>
    <s v="Resolved"/>
    <n v="1"/>
    <n v="0"/>
    <n v="1"/>
    <n v="1"/>
    <n v="0"/>
    <n v="1"/>
    <n v="1"/>
  </r>
  <r>
    <s v="TKT-00594"/>
    <n v="4.46"/>
    <x v="685"/>
    <d v="2026-05-07T21:10:24"/>
    <x v="0"/>
    <x v="0"/>
    <s v="Chat"/>
    <x v="2"/>
    <x v="2"/>
    <x v="0"/>
    <x v="0"/>
    <x v="0"/>
    <n v="27"/>
    <n v="5"/>
    <n v="0"/>
    <n v="3"/>
    <s v="No"/>
    <n v="15"/>
    <n v="4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878"/>
    <n v="28.53"/>
    <x v="686"/>
    <d v="2026-01-20T23:40:53"/>
    <x v="0"/>
    <x v="3"/>
    <s v="Web Form"/>
    <x v="3"/>
    <x v="1"/>
    <x v="1"/>
    <x v="5"/>
    <x v="6"/>
    <n v="74"/>
    <n v="4"/>
    <n v="0"/>
    <n v="4"/>
    <s v="No"/>
    <n v="120"/>
    <n v="24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012"/>
    <n v="30.04"/>
    <x v="687"/>
    <d v="2026-04-21T11:39:23"/>
    <x v="0"/>
    <x v="3"/>
    <s v="Email"/>
    <x v="0"/>
    <x v="0"/>
    <x v="3"/>
    <x v="3"/>
    <x v="2"/>
    <n v="79"/>
    <n v="4"/>
    <n v="0"/>
    <n v="6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289"/>
    <n v="39.85"/>
    <x v="688"/>
    <d v="2026-05-25T05:48:01"/>
    <x v="0"/>
    <x v="1"/>
    <s v="Chat"/>
    <x v="4"/>
    <x v="2"/>
    <x v="2"/>
    <x v="3"/>
    <x v="1"/>
    <n v="104"/>
    <n v="4"/>
    <n v="0"/>
    <n v="7"/>
    <s v="No"/>
    <n v="240"/>
    <n v="48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0535"/>
    <n v="83.01"/>
    <x v="689"/>
    <d v="2026-03-03T04:26:28"/>
    <x v="0"/>
    <x v="3"/>
    <s v="Email"/>
    <x v="0"/>
    <x v="1"/>
    <x v="0"/>
    <x v="3"/>
    <x v="2"/>
    <n v="87"/>
    <n v="4"/>
    <n v="0"/>
    <n v="7"/>
    <s v="No"/>
    <n v="120"/>
    <n v="24"/>
    <s v="Yes"/>
    <x v="1"/>
    <n v="2026"/>
    <n v="2"/>
    <s v="fevereiro"/>
    <x v="4"/>
    <s v="Satisfied"/>
    <s v="No"/>
    <s v="Yes"/>
    <s v="Resolved"/>
    <n v="1"/>
    <n v="0"/>
    <n v="1"/>
    <n v="0"/>
    <n v="0"/>
    <n v="1"/>
    <n v="0"/>
  </r>
  <r>
    <s v="TKT-00699"/>
    <n v="19.420000000000002"/>
    <x v="690"/>
    <d v="2026-08-17T06:47:15"/>
    <x v="0"/>
    <x v="3"/>
    <s v="Phone"/>
    <x v="2"/>
    <x v="1"/>
    <x v="3"/>
    <x v="2"/>
    <x v="8"/>
    <n v="70"/>
    <n v="4"/>
    <n v="0"/>
    <n v="3"/>
    <s v="No"/>
    <n v="120"/>
    <n v="24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620"/>
    <n v="94.64"/>
    <x v="691"/>
    <d v="2026-02-01T01:31:08"/>
    <x v="0"/>
    <x v="3"/>
    <s v="Email"/>
    <x v="0"/>
    <x v="2"/>
    <x v="0"/>
    <x v="5"/>
    <x v="1"/>
    <n v="63"/>
    <n v="4"/>
    <n v="0"/>
    <n v="4"/>
    <s v="No"/>
    <n v="120"/>
    <n v="24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214"/>
    <n v="9.0299999999999994"/>
    <x v="692"/>
    <d v="2026-03-31T16:50:00"/>
    <x v="0"/>
    <x v="1"/>
    <s v="Web Form"/>
    <x v="4"/>
    <x v="1"/>
    <x v="2"/>
    <x v="0"/>
    <x v="1"/>
    <n v="1016"/>
    <n v="4"/>
    <n v="0"/>
    <n v="2"/>
    <s v="No"/>
    <n v="240"/>
    <n v="48"/>
    <s v="No"/>
    <x v="0"/>
    <n v="2026"/>
    <n v="3"/>
    <s v="março"/>
    <x v="7"/>
    <s v="Satisfied"/>
    <s v="No"/>
    <s v="Yes"/>
    <s v="Resolved"/>
    <n v="1"/>
    <n v="0"/>
    <n v="1"/>
    <n v="0"/>
    <n v="0"/>
    <n v="0"/>
    <n v="1"/>
  </r>
  <r>
    <s v="TKT-00168"/>
    <n v="10.72"/>
    <x v="693"/>
    <d v="2026-04-17T10:43:59"/>
    <x v="0"/>
    <x v="2"/>
    <s v="Phone"/>
    <x v="0"/>
    <x v="2"/>
    <x v="1"/>
    <x v="2"/>
    <x v="8"/>
    <n v="42"/>
    <n v="4"/>
    <n v="0"/>
    <n v="3"/>
    <s v="No"/>
    <n v="30"/>
    <n v="8"/>
    <s v="No"/>
    <x v="1"/>
    <n v="2026"/>
    <n v="4"/>
    <s v="abril"/>
    <x v="0"/>
    <s v="Satisfied"/>
    <s v="No"/>
    <s v="Yes"/>
    <s v="Resolved"/>
    <n v="1"/>
    <n v="0"/>
    <n v="1"/>
    <n v="0"/>
    <n v="0"/>
    <n v="0"/>
    <n v="0"/>
  </r>
  <r>
    <s v="TKT-00726"/>
    <n v="10.66"/>
    <x v="694"/>
    <d v="2026-05-24T03:27:25"/>
    <x v="0"/>
    <x v="3"/>
    <s v="Email"/>
    <x v="0"/>
    <x v="0"/>
    <x v="0"/>
    <x v="2"/>
    <x v="3"/>
    <n v="92"/>
    <n v="4"/>
    <n v="0"/>
    <n v="3"/>
    <s v="No"/>
    <n v="120"/>
    <n v="24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0911"/>
    <n v="24.63"/>
    <x v="695"/>
    <d v="2026-04-24T18:57:46"/>
    <x v="0"/>
    <x v="3"/>
    <s v="Chat"/>
    <x v="0"/>
    <x v="2"/>
    <x v="3"/>
    <x v="4"/>
    <x v="6"/>
    <n v="56"/>
    <n v="4"/>
    <n v="0"/>
    <n v="2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891"/>
    <n v="62.16"/>
    <x v="696"/>
    <d v="2026-01-29T19:51:21"/>
    <x v="0"/>
    <x v="1"/>
    <s v="Web Form"/>
    <x v="0"/>
    <x v="2"/>
    <x v="1"/>
    <x v="4"/>
    <x v="0"/>
    <n v="104"/>
    <n v="3"/>
    <n v="0"/>
    <n v="7"/>
    <s v="No"/>
    <n v="240"/>
    <n v="48"/>
    <s v="Yes"/>
    <x v="1"/>
    <n v="2026"/>
    <n v="1"/>
    <s v="janeiro"/>
    <x v="1"/>
    <s v="Neutral"/>
    <s v="No"/>
    <s v="Yes"/>
    <s v="Resolved"/>
    <n v="1"/>
    <n v="0"/>
    <n v="1"/>
    <n v="0"/>
    <n v="0"/>
    <n v="1"/>
    <n v="0"/>
  </r>
  <r>
    <s v="TKT-01113"/>
    <n v="18.87"/>
    <x v="697"/>
    <d v="2026-03-05T08:06:19"/>
    <x v="0"/>
    <x v="3"/>
    <s v="Web Form"/>
    <x v="4"/>
    <x v="0"/>
    <x v="2"/>
    <x v="0"/>
    <x v="7"/>
    <n v="103"/>
    <n v="4"/>
    <n v="0"/>
    <n v="5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772"/>
    <n v="10.18"/>
    <x v="698"/>
    <d v="2026-02-13T02:24:48"/>
    <x v="0"/>
    <x v="3"/>
    <s v="Web Form"/>
    <x v="0"/>
    <x v="1"/>
    <x v="1"/>
    <x v="1"/>
    <x v="9"/>
    <n v="52"/>
    <n v="5"/>
    <n v="0"/>
    <n v="5"/>
    <s v="No"/>
    <n v="120"/>
    <n v="24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647"/>
    <n v="64.900000000000006"/>
    <x v="699"/>
    <d v="2026-05-28T02:59:47"/>
    <x v="0"/>
    <x v="3"/>
    <s v="Email"/>
    <x v="1"/>
    <x v="0"/>
    <x v="3"/>
    <x v="5"/>
    <x v="10"/>
    <n v="242"/>
    <n v="3"/>
    <n v="0"/>
    <n v="5"/>
    <s v="No"/>
    <n v="120"/>
    <n v="24"/>
    <s v="No"/>
    <x v="1"/>
    <n v="2026"/>
    <n v="5"/>
    <s v="maio"/>
    <x v="2"/>
    <s v="Neutral"/>
    <s v="No"/>
    <s v="Yes"/>
    <s v="Resolved"/>
    <n v="1"/>
    <n v="0"/>
    <n v="1"/>
    <n v="0"/>
    <n v="0"/>
    <n v="0"/>
    <n v="0"/>
  </r>
  <r>
    <s v="TKT-00398"/>
    <n v="22.73"/>
    <x v="700"/>
    <d v="2026-05-25T00:16:31"/>
    <x v="0"/>
    <x v="3"/>
    <s v="Email"/>
    <x v="2"/>
    <x v="1"/>
    <x v="0"/>
    <x v="3"/>
    <x v="9"/>
    <n v="153"/>
    <n v="4"/>
    <n v="0"/>
    <n v="7"/>
    <s v="No"/>
    <n v="120"/>
    <n v="24"/>
    <s v="No"/>
    <x v="0"/>
    <n v="2026"/>
    <n v="5"/>
    <s v="maio"/>
    <x v="2"/>
    <s v="Satisfied"/>
    <s v="No"/>
    <s v="Yes"/>
    <s v="Resolved"/>
    <n v="1"/>
    <n v="0"/>
    <n v="1"/>
    <n v="0"/>
    <n v="0"/>
    <n v="0"/>
    <n v="1"/>
  </r>
  <r>
    <s v="TKT-00753"/>
    <n v="3.11"/>
    <x v="701"/>
    <d v="2026-01-18T17:16:42"/>
    <x v="0"/>
    <x v="0"/>
    <s v="Chat"/>
    <x v="0"/>
    <x v="2"/>
    <x v="3"/>
    <x v="2"/>
    <x v="6"/>
    <n v="18"/>
    <n v="4"/>
    <n v="0"/>
    <n v="6"/>
    <s v="No"/>
    <n v="15"/>
    <n v="4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1122"/>
    <n v="31.73"/>
    <x v="702"/>
    <d v="2026-06-04T10:44:44"/>
    <x v="0"/>
    <x v="3"/>
    <s v="Email"/>
    <x v="0"/>
    <x v="1"/>
    <x v="1"/>
    <x v="5"/>
    <x v="7"/>
    <n v="81"/>
    <n v="4"/>
    <n v="0"/>
    <n v="3"/>
    <s v="No"/>
    <n v="120"/>
    <n v="24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0080"/>
    <n v="46.13"/>
    <x v="703"/>
    <d v="2026-07-06T17:26:48"/>
    <x v="0"/>
    <x v="1"/>
    <s v="Web Form"/>
    <x v="3"/>
    <x v="2"/>
    <x v="3"/>
    <x v="3"/>
    <x v="0"/>
    <n v="93"/>
    <n v="4"/>
    <n v="0"/>
    <n v="2"/>
    <s v="No"/>
    <n v="240"/>
    <n v="48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315"/>
    <n v="13.39"/>
    <x v="704"/>
    <d v="2026-06-02T20:21:18"/>
    <x v="0"/>
    <x v="3"/>
    <s v="Phone"/>
    <x v="0"/>
    <x v="1"/>
    <x v="1"/>
    <x v="2"/>
    <x v="3"/>
    <n v="118"/>
    <n v="4"/>
    <n v="0"/>
    <n v="5"/>
    <s v="No"/>
    <n v="120"/>
    <n v="24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209"/>
    <n v="5.31"/>
    <x v="705"/>
    <d v="2026-08-31T21:09:25"/>
    <x v="0"/>
    <x v="0"/>
    <s v="Email"/>
    <x v="0"/>
    <x v="2"/>
    <x v="1"/>
    <x v="4"/>
    <x v="8"/>
    <n v="16"/>
    <n v="4"/>
    <n v="0"/>
    <n v="2"/>
    <s v="No"/>
    <n v="15"/>
    <n v="4"/>
    <s v="No"/>
    <x v="1"/>
    <n v="2026"/>
    <n v="8"/>
    <s v="agosto"/>
    <x v="3"/>
    <s v="Satisfied"/>
    <s v="No"/>
    <s v="Yes"/>
    <s v="Resolved"/>
    <n v="1"/>
    <n v="0"/>
    <n v="1"/>
    <n v="0"/>
    <n v="0"/>
    <n v="0"/>
    <n v="0"/>
  </r>
  <r>
    <s v="TKT-00894"/>
    <n v="3.47"/>
    <x v="706"/>
    <d v="2026-08-07T14:38:58"/>
    <x v="0"/>
    <x v="3"/>
    <s v="Web Form"/>
    <x v="0"/>
    <x v="1"/>
    <x v="1"/>
    <x v="2"/>
    <x v="0"/>
    <n v="114"/>
    <n v="4"/>
    <n v="0"/>
    <n v="5"/>
    <s v="No"/>
    <n v="120"/>
    <n v="24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590"/>
    <n v="35.049999999999997"/>
    <x v="707"/>
    <d v="2026-07-29T01:50:43"/>
    <x v="0"/>
    <x v="1"/>
    <s v="Email"/>
    <x v="0"/>
    <x v="1"/>
    <x v="1"/>
    <x v="1"/>
    <x v="2"/>
    <n v="398"/>
    <n v="3"/>
    <n v="0"/>
    <n v="2"/>
    <s v="No"/>
    <n v="240"/>
    <n v="48"/>
    <s v="No"/>
    <x v="0"/>
    <n v="2026"/>
    <n v="7"/>
    <s v="julho"/>
    <x v="6"/>
    <s v="Neutral"/>
    <s v="No"/>
    <s v="Yes"/>
    <s v="Resolved"/>
    <n v="1"/>
    <n v="0"/>
    <n v="1"/>
    <n v="0"/>
    <n v="0"/>
    <n v="0"/>
    <n v="1"/>
  </r>
  <r>
    <s v="TKT-00224"/>
    <n v="60.46"/>
    <x v="708"/>
    <d v="2026-08-23T22:17:22"/>
    <x v="0"/>
    <x v="1"/>
    <s v="Web Form"/>
    <x v="3"/>
    <x v="1"/>
    <x v="2"/>
    <x v="3"/>
    <x v="9"/>
    <n v="265"/>
    <n v="2"/>
    <n v="1"/>
    <n v="8"/>
    <s v="No"/>
    <n v="240"/>
    <n v="48"/>
    <s v="No"/>
    <x v="1"/>
    <n v="2026"/>
    <n v="8"/>
    <s v="agosto"/>
    <x v="3"/>
    <s v="Dissatisfied"/>
    <s v="Yes"/>
    <s v="Yes"/>
    <s v="Resolved"/>
    <n v="1"/>
    <n v="0"/>
    <n v="1"/>
    <n v="1"/>
    <n v="0"/>
    <n v="0"/>
    <n v="0"/>
  </r>
  <r>
    <s v="TKT-00231"/>
    <n v="44.49"/>
    <x v="709"/>
    <d v="2026-03-15T15:20:12"/>
    <x v="0"/>
    <x v="3"/>
    <s v="Email"/>
    <x v="3"/>
    <x v="1"/>
    <x v="2"/>
    <x v="1"/>
    <x v="5"/>
    <n v="306"/>
    <n v="3"/>
    <n v="0"/>
    <n v="7"/>
    <s v="No"/>
    <n v="120"/>
    <n v="24"/>
    <s v="No"/>
    <x v="1"/>
    <n v="2026"/>
    <n v="3"/>
    <s v="março"/>
    <x v="7"/>
    <s v="Neutral"/>
    <s v="No"/>
    <s v="Yes"/>
    <s v="Resolved"/>
    <n v="1"/>
    <n v="0"/>
    <n v="1"/>
    <n v="0"/>
    <n v="0"/>
    <n v="0"/>
    <n v="0"/>
  </r>
  <r>
    <s v="TKT-01117"/>
    <n v="115.22"/>
    <x v="710"/>
    <d v="2026-06-21T08:50:19"/>
    <x v="0"/>
    <x v="3"/>
    <s v="Chat"/>
    <x v="0"/>
    <x v="1"/>
    <x v="1"/>
    <x v="4"/>
    <x v="10"/>
    <n v="91"/>
    <n v="3"/>
    <n v="1"/>
    <n v="8"/>
    <s v="No"/>
    <n v="120"/>
    <n v="24"/>
    <s v="Yes"/>
    <x v="1"/>
    <n v="2026"/>
    <n v="6"/>
    <s v="junho"/>
    <x v="5"/>
    <s v="Neutral"/>
    <s v="Yes"/>
    <s v="Yes"/>
    <s v="Resolved"/>
    <n v="1"/>
    <n v="0"/>
    <n v="1"/>
    <n v="1"/>
    <n v="0"/>
    <n v="1"/>
    <n v="0"/>
  </r>
  <r>
    <s v="TKT-00177"/>
    <n v="52.17"/>
    <x v="711"/>
    <d v="2026-01-14T12:47:08"/>
    <x v="0"/>
    <x v="1"/>
    <s v="Chat"/>
    <x v="4"/>
    <x v="2"/>
    <x v="3"/>
    <x v="5"/>
    <x v="3"/>
    <n v="78"/>
    <n v="4"/>
    <n v="0"/>
    <n v="2"/>
    <s v="No"/>
    <n v="240"/>
    <n v="48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860"/>
    <n v="42.55"/>
    <x v="712"/>
    <d v="2026-02-16T00:48:49"/>
    <x v="0"/>
    <x v="1"/>
    <s v="Email"/>
    <x v="0"/>
    <x v="2"/>
    <x v="0"/>
    <x v="1"/>
    <x v="5"/>
    <n v="247"/>
    <n v="3"/>
    <n v="0"/>
    <n v="2"/>
    <s v="No"/>
    <n v="240"/>
    <n v="48"/>
    <s v="No"/>
    <x v="0"/>
    <n v="2026"/>
    <n v="2"/>
    <s v="fevereiro"/>
    <x v="4"/>
    <s v="Neutral"/>
    <s v="No"/>
    <s v="Yes"/>
    <s v="Resolved"/>
    <n v="1"/>
    <n v="0"/>
    <n v="1"/>
    <n v="0"/>
    <n v="0"/>
    <n v="0"/>
    <n v="1"/>
  </r>
  <r>
    <s v="TKT-00867"/>
    <n v="21.65"/>
    <x v="713"/>
    <d v="2026-06-23T15:08:15"/>
    <x v="0"/>
    <x v="3"/>
    <s v="Web Form"/>
    <x v="1"/>
    <x v="0"/>
    <x v="0"/>
    <x v="5"/>
    <x v="2"/>
    <n v="80"/>
    <n v="4"/>
    <n v="0"/>
    <n v="3"/>
    <s v="No"/>
    <n v="120"/>
    <n v="24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418"/>
    <n v="39.369999999999997"/>
    <x v="714"/>
    <d v="2026-05-09T15:47:02"/>
    <x v="0"/>
    <x v="1"/>
    <s v="Email"/>
    <x v="1"/>
    <x v="2"/>
    <x v="2"/>
    <x v="1"/>
    <x v="0"/>
    <n v="281"/>
    <n v="3"/>
    <n v="0"/>
    <n v="6"/>
    <s v="No"/>
    <n v="240"/>
    <n v="48"/>
    <s v="No"/>
    <x v="0"/>
    <n v="2026"/>
    <n v="5"/>
    <s v="maio"/>
    <x v="2"/>
    <s v="Neutral"/>
    <s v="No"/>
    <s v="Yes"/>
    <s v="Resolved"/>
    <n v="1"/>
    <n v="0"/>
    <n v="1"/>
    <n v="0"/>
    <n v="0"/>
    <n v="0"/>
    <n v="1"/>
  </r>
  <r>
    <s v="TKT-00547"/>
    <n v="17.37"/>
    <x v="715"/>
    <d v="2026-08-04T14:48:20"/>
    <x v="0"/>
    <x v="2"/>
    <s v="Email"/>
    <x v="2"/>
    <x v="2"/>
    <x v="3"/>
    <x v="1"/>
    <x v="9"/>
    <n v="21"/>
    <n v="4"/>
    <n v="0"/>
    <n v="7"/>
    <s v="No"/>
    <n v="30"/>
    <n v="8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720"/>
    <n v="15.64"/>
    <x v="716"/>
    <d v="2026-01-11T20:20:10"/>
    <x v="0"/>
    <x v="3"/>
    <s v="Chat"/>
    <x v="4"/>
    <x v="2"/>
    <x v="0"/>
    <x v="5"/>
    <x v="10"/>
    <n v="102"/>
    <n v="4"/>
    <n v="0"/>
    <n v="7"/>
    <s v="No"/>
    <n v="120"/>
    <n v="2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1085"/>
    <n v="35.340000000000003"/>
    <x v="717"/>
    <d v="2026-01-24T10:57:23"/>
    <x v="0"/>
    <x v="3"/>
    <s v="Email"/>
    <x v="3"/>
    <x v="2"/>
    <x v="0"/>
    <x v="1"/>
    <x v="6"/>
    <n v="191"/>
    <n v="3"/>
    <n v="1"/>
    <n v="8"/>
    <s v="No"/>
    <n v="120"/>
    <n v="24"/>
    <s v="No"/>
    <x v="1"/>
    <n v="2026"/>
    <n v="1"/>
    <s v="janeiro"/>
    <x v="1"/>
    <s v="Neutral"/>
    <s v="Yes"/>
    <s v="Yes"/>
    <s v="Resolved"/>
    <n v="1"/>
    <n v="0"/>
    <n v="1"/>
    <n v="1"/>
    <n v="0"/>
    <n v="0"/>
    <n v="0"/>
  </r>
  <r>
    <s v="TKT-00442"/>
    <n v="32.33"/>
    <x v="718"/>
    <d v="2026-02-09T01:27:34"/>
    <x v="0"/>
    <x v="3"/>
    <s v="Email"/>
    <x v="2"/>
    <x v="1"/>
    <x v="3"/>
    <x v="4"/>
    <x v="8"/>
    <n v="202"/>
    <n v="4"/>
    <n v="0"/>
    <n v="7"/>
    <s v="No"/>
    <n v="120"/>
    <n v="24"/>
    <s v="No"/>
    <x v="1"/>
    <n v="2026"/>
    <n v="2"/>
    <s v="fevereiro"/>
    <x v="4"/>
    <s v="Satisfied"/>
    <s v="No"/>
    <s v="Yes"/>
    <s v="Resolved"/>
    <n v="1"/>
    <n v="0"/>
    <n v="1"/>
    <n v="0"/>
    <n v="0"/>
    <n v="0"/>
    <n v="0"/>
  </r>
  <r>
    <s v="TKT-00501"/>
    <n v="35.94"/>
    <x v="719"/>
    <d v="2026-02-01T04:00:08"/>
    <x v="0"/>
    <x v="3"/>
    <s v="Chat"/>
    <x v="1"/>
    <x v="1"/>
    <x v="1"/>
    <x v="3"/>
    <x v="1"/>
    <n v="154"/>
    <n v="3"/>
    <n v="1"/>
    <n v="7"/>
    <s v="No"/>
    <n v="120"/>
    <n v="24"/>
    <s v="No"/>
    <x v="1"/>
    <n v="2026"/>
    <n v="1"/>
    <s v="janeiro"/>
    <x v="1"/>
    <s v="Neutral"/>
    <s v="Yes"/>
    <s v="Yes"/>
    <s v="Resolved"/>
    <n v="1"/>
    <n v="0"/>
    <n v="1"/>
    <n v="1"/>
    <n v="0"/>
    <n v="0"/>
    <n v="0"/>
  </r>
  <r>
    <s v="TKT-00509"/>
    <n v="19.07"/>
    <x v="720"/>
    <d v="2026-02-22T13:05:22"/>
    <x v="0"/>
    <x v="2"/>
    <s v="Email"/>
    <x v="2"/>
    <x v="2"/>
    <x v="1"/>
    <x v="1"/>
    <x v="1"/>
    <n v="30"/>
    <n v="4"/>
    <n v="1"/>
    <n v="4"/>
    <s v="No"/>
    <n v="30"/>
    <n v="8"/>
    <s v="Yes"/>
    <x v="1"/>
    <n v="2026"/>
    <n v="2"/>
    <s v="fevereiro"/>
    <x v="4"/>
    <s v="Satisfied"/>
    <s v="Yes"/>
    <s v="Yes"/>
    <s v="Resolved"/>
    <n v="1"/>
    <n v="0"/>
    <n v="1"/>
    <n v="1"/>
    <n v="0"/>
    <n v="1"/>
    <n v="0"/>
  </r>
  <r>
    <s v="TKT-00935"/>
    <n v="25.25"/>
    <x v="721"/>
    <d v="2026-01-16T08:31:18"/>
    <x v="0"/>
    <x v="3"/>
    <s v="Chat"/>
    <x v="1"/>
    <x v="1"/>
    <x v="2"/>
    <x v="3"/>
    <x v="2"/>
    <n v="105"/>
    <n v="4"/>
    <n v="0"/>
    <n v="4"/>
    <s v="No"/>
    <n v="120"/>
    <n v="24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644"/>
    <n v="37.93"/>
    <x v="722"/>
    <d v="2026-03-21T01:58:48"/>
    <x v="0"/>
    <x v="3"/>
    <s v="Email"/>
    <x v="4"/>
    <x v="1"/>
    <x v="1"/>
    <x v="1"/>
    <x v="10"/>
    <n v="234"/>
    <n v="4"/>
    <n v="0"/>
    <n v="4"/>
    <s v="No"/>
    <n v="120"/>
    <n v="24"/>
    <s v="No"/>
    <x v="1"/>
    <n v="2026"/>
    <n v="3"/>
    <s v="março"/>
    <x v="7"/>
    <s v="Satisfied"/>
    <s v="No"/>
    <s v="Yes"/>
    <s v="Resolved"/>
    <n v="1"/>
    <n v="0"/>
    <n v="1"/>
    <n v="0"/>
    <n v="0"/>
    <n v="0"/>
    <n v="0"/>
  </r>
  <r>
    <s v="TKT-00203"/>
    <n v="8.73"/>
    <x v="723"/>
    <d v="2026-08-09T10:01:42"/>
    <x v="0"/>
    <x v="3"/>
    <s v="Chat"/>
    <x v="1"/>
    <x v="1"/>
    <x v="3"/>
    <x v="0"/>
    <x v="2"/>
    <n v="46"/>
    <n v="4"/>
    <n v="0"/>
    <n v="2"/>
    <s v="No"/>
    <n v="120"/>
    <n v="24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1116"/>
    <n v="5.04"/>
    <x v="724"/>
    <d v="2026-08-09T02:21:16"/>
    <x v="0"/>
    <x v="2"/>
    <s v="Email"/>
    <x v="3"/>
    <x v="1"/>
    <x v="2"/>
    <x v="2"/>
    <x v="10"/>
    <n v="22"/>
    <n v="4"/>
    <n v="1"/>
    <n v="8"/>
    <s v="No"/>
    <n v="30"/>
    <n v="8"/>
    <s v="Yes"/>
    <x v="0"/>
    <n v="2026"/>
    <n v="8"/>
    <s v="agosto"/>
    <x v="3"/>
    <s v="Satisfied"/>
    <s v="Yes"/>
    <s v="Yes"/>
    <s v="Resolved"/>
    <n v="1"/>
    <n v="0"/>
    <n v="1"/>
    <n v="1"/>
    <n v="0"/>
    <n v="1"/>
    <n v="1"/>
  </r>
  <r>
    <s v="TKT-00134"/>
    <n v="15.44"/>
    <x v="725"/>
    <d v="2026-05-28T20:31:40"/>
    <x v="0"/>
    <x v="3"/>
    <s v="Chat"/>
    <x v="2"/>
    <x v="2"/>
    <x v="3"/>
    <x v="1"/>
    <x v="5"/>
    <n v="86"/>
    <n v="5"/>
    <n v="0"/>
    <n v="3"/>
    <s v="No"/>
    <n v="120"/>
    <n v="24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0015"/>
    <n v="20"/>
    <x v="726"/>
    <d v="2026-02-09T18:06:08"/>
    <x v="0"/>
    <x v="3"/>
    <s v="Email"/>
    <x v="3"/>
    <x v="1"/>
    <x v="2"/>
    <x v="4"/>
    <x v="9"/>
    <n v="97"/>
    <n v="4"/>
    <n v="0"/>
    <n v="3"/>
    <s v="No"/>
    <n v="120"/>
    <n v="24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058"/>
    <n v="23.92"/>
    <x v="397"/>
    <d v="2026-01-31T14:54:07"/>
    <x v="0"/>
    <x v="1"/>
    <s v="Web Form"/>
    <x v="3"/>
    <x v="0"/>
    <x v="0"/>
    <x v="1"/>
    <x v="7"/>
    <n v="222"/>
    <n v="4"/>
    <n v="0"/>
    <n v="6"/>
    <s v="No"/>
    <n v="240"/>
    <n v="48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014"/>
    <n v="7.6"/>
    <x v="727"/>
    <d v="2026-05-11T10:24:15"/>
    <x v="0"/>
    <x v="2"/>
    <s v="Email"/>
    <x v="2"/>
    <x v="2"/>
    <x v="3"/>
    <x v="4"/>
    <x v="1"/>
    <n v="7"/>
    <n v="4"/>
    <n v="1"/>
    <n v="8"/>
    <s v="No"/>
    <n v="30"/>
    <n v="8"/>
    <s v="Yes"/>
    <x v="0"/>
    <n v="2026"/>
    <n v="5"/>
    <s v="maio"/>
    <x v="2"/>
    <s v="Satisfied"/>
    <s v="Yes"/>
    <s v="Yes"/>
    <s v="Resolved"/>
    <n v="1"/>
    <n v="0"/>
    <n v="1"/>
    <n v="1"/>
    <n v="0"/>
    <n v="1"/>
    <n v="1"/>
  </r>
  <r>
    <s v="TKT-00148"/>
    <n v="33.67"/>
    <x v="728"/>
    <d v="2026-05-25T08:14:59"/>
    <x v="0"/>
    <x v="3"/>
    <s v="Chat"/>
    <x v="4"/>
    <x v="2"/>
    <x v="3"/>
    <x v="1"/>
    <x v="2"/>
    <n v="75"/>
    <n v="4"/>
    <n v="0"/>
    <n v="5"/>
    <s v="No"/>
    <n v="120"/>
    <n v="24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208"/>
    <n v="47.94"/>
    <x v="729"/>
    <d v="2026-08-12T22:55:07"/>
    <x v="0"/>
    <x v="1"/>
    <s v="Email"/>
    <x v="1"/>
    <x v="2"/>
    <x v="0"/>
    <x v="1"/>
    <x v="10"/>
    <n v="257"/>
    <n v="3"/>
    <n v="0"/>
    <n v="6"/>
    <s v="No"/>
    <n v="240"/>
    <n v="48"/>
    <s v="No"/>
    <x v="0"/>
    <n v="2026"/>
    <n v="8"/>
    <s v="agosto"/>
    <x v="3"/>
    <s v="Neutral"/>
    <s v="No"/>
    <s v="Yes"/>
    <s v="Resolved"/>
    <n v="1"/>
    <n v="0"/>
    <n v="1"/>
    <n v="0"/>
    <n v="0"/>
    <n v="0"/>
    <n v="1"/>
  </r>
  <r>
    <s v="TKT-01135"/>
    <n v="11.8"/>
    <x v="730"/>
    <d v="2026-07-12T13:10:52"/>
    <x v="0"/>
    <x v="2"/>
    <s v="Phone"/>
    <x v="1"/>
    <x v="2"/>
    <x v="3"/>
    <x v="4"/>
    <x v="6"/>
    <n v="52"/>
    <n v="5"/>
    <n v="0"/>
    <n v="4"/>
    <s v="No"/>
    <n v="30"/>
    <n v="8"/>
    <s v="No"/>
    <x v="1"/>
    <n v="2026"/>
    <n v="7"/>
    <s v="julho"/>
    <x v="6"/>
    <s v="Satisfied"/>
    <s v="No"/>
    <s v="Yes"/>
    <s v="Resolved"/>
    <n v="1"/>
    <n v="0"/>
    <n v="1"/>
    <n v="0"/>
    <n v="0"/>
    <n v="0"/>
    <n v="0"/>
  </r>
  <r>
    <s v="TKT-00512"/>
    <n v="98.86"/>
    <x v="731"/>
    <d v="2026-06-24T11:52:36"/>
    <x v="0"/>
    <x v="1"/>
    <s v="Email"/>
    <x v="0"/>
    <x v="2"/>
    <x v="2"/>
    <x v="1"/>
    <x v="9"/>
    <n v="530"/>
    <n v="2"/>
    <n v="0"/>
    <n v="11"/>
    <s v="Yes"/>
    <n v="240"/>
    <n v="48"/>
    <s v="No"/>
    <x v="1"/>
    <n v="2026"/>
    <n v="6"/>
    <s v="junho"/>
    <x v="5"/>
    <s v="Dissatisfied"/>
    <s v="No"/>
    <s v="Yes"/>
    <s v="Resolved"/>
    <n v="1"/>
    <n v="0"/>
    <n v="1"/>
    <n v="0"/>
    <n v="1"/>
    <n v="0"/>
    <n v="0"/>
  </r>
  <r>
    <s v="TKT-00364"/>
    <n v="26.07"/>
    <x v="732"/>
    <d v="2026-06-20T07:05:09"/>
    <x v="0"/>
    <x v="1"/>
    <s v="Chat"/>
    <x v="3"/>
    <x v="2"/>
    <x v="2"/>
    <x v="0"/>
    <x v="8"/>
    <n v="404"/>
    <n v="3"/>
    <n v="0"/>
    <n v="4"/>
    <s v="No"/>
    <n v="240"/>
    <n v="48"/>
    <s v="No"/>
    <x v="0"/>
    <n v="2026"/>
    <n v="6"/>
    <s v="junho"/>
    <x v="5"/>
    <s v="Neutral"/>
    <s v="No"/>
    <s v="Yes"/>
    <s v="Resolved"/>
    <n v="1"/>
    <n v="0"/>
    <n v="1"/>
    <n v="0"/>
    <n v="0"/>
    <n v="0"/>
    <n v="1"/>
  </r>
  <r>
    <s v="TKT-00193"/>
    <n v="27.59"/>
    <x v="733"/>
    <d v="2026-06-16T06:31:07"/>
    <x v="0"/>
    <x v="3"/>
    <s v="Phone"/>
    <x v="3"/>
    <x v="0"/>
    <x v="0"/>
    <x v="4"/>
    <x v="4"/>
    <n v="72"/>
    <n v="4"/>
    <n v="0"/>
    <n v="2"/>
    <s v="No"/>
    <n v="120"/>
    <n v="24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0220"/>
    <n v="19.13"/>
    <x v="734"/>
    <d v="2026-08-12T10:32:44"/>
    <x v="0"/>
    <x v="3"/>
    <s v="Web Form"/>
    <x v="1"/>
    <x v="2"/>
    <x v="1"/>
    <x v="0"/>
    <x v="2"/>
    <n v="45"/>
    <n v="4"/>
    <n v="1"/>
    <n v="6"/>
    <s v="No"/>
    <n v="120"/>
    <n v="24"/>
    <s v="Yes"/>
    <x v="0"/>
    <n v="2026"/>
    <n v="8"/>
    <s v="agosto"/>
    <x v="3"/>
    <s v="Satisfied"/>
    <s v="Yes"/>
    <s v="Yes"/>
    <s v="Resolved"/>
    <n v="1"/>
    <n v="0"/>
    <n v="1"/>
    <n v="1"/>
    <n v="0"/>
    <n v="1"/>
    <n v="1"/>
  </r>
  <r>
    <s v="TKT-00029"/>
    <n v="36.08"/>
    <x v="735"/>
    <d v="2026-03-08T08:01:43"/>
    <x v="0"/>
    <x v="3"/>
    <s v="Chat"/>
    <x v="0"/>
    <x v="1"/>
    <x v="0"/>
    <x v="4"/>
    <x v="1"/>
    <n v="56"/>
    <n v="4"/>
    <n v="0"/>
    <n v="3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997"/>
    <n v="46.88"/>
    <x v="736"/>
    <d v="2026-05-16T00:40:32"/>
    <x v="0"/>
    <x v="1"/>
    <s v="Email"/>
    <x v="0"/>
    <x v="1"/>
    <x v="3"/>
    <x v="1"/>
    <x v="9"/>
    <n v="402"/>
    <n v="3"/>
    <n v="0"/>
    <n v="4"/>
    <s v="No"/>
    <n v="240"/>
    <n v="48"/>
    <s v="No"/>
    <x v="0"/>
    <n v="2026"/>
    <n v="5"/>
    <s v="maio"/>
    <x v="2"/>
    <s v="Neutral"/>
    <s v="No"/>
    <s v="Yes"/>
    <s v="Resolved"/>
    <n v="1"/>
    <n v="0"/>
    <n v="1"/>
    <n v="0"/>
    <n v="0"/>
    <n v="0"/>
    <n v="1"/>
  </r>
  <r>
    <s v="TKT-00531"/>
    <n v="21.45"/>
    <x v="737"/>
    <d v="2026-06-01T13:46:04"/>
    <x v="0"/>
    <x v="2"/>
    <s v="Email"/>
    <x v="0"/>
    <x v="2"/>
    <x v="3"/>
    <x v="4"/>
    <x v="5"/>
    <n v="17"/>
    <n v="4"/>
    <n v="0"/>
    <n v="5"/>
    <s v="No"/>
    <n v="30"/>
    <n v="8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006"/>
    <n v="5.57"/>
    <x v="738"/>
    <d v="2026-02-07T09:01:18"/>
    <x v="0"/>
    <x v="3"/>
    <s v="Web Form"/>
    <x v="4"/>
    <x v="0"/>
    <x v="3"/>
    <x v="0"/>
    <x v="1"/>
    <n v="71"/>
    <n v="4"/>
    <n v="0"/>
    <n v="7"/>
    <s v="No"/>
    <n v="120"/>
    <n v="24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1044"/>
    <n v="11.26"/>
    <x v="739"/>
    <d v="2026-01-27T12:02:37"/>
    <x v="0"/>
    <x v="3"/>
    <s v="Email"/>
    <x v="4"/>
    <x v="2"/>
    <x v="2"/>
    <x v="0"/>
    <x v="9"/>
    <n v="63"/>
    <n v="5"/>
    <n v="0"/>
    <n v="3"/>
    <s v="No"/>
    <n v="120"/>
    <n v="2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339"/>
    <n v="3.6"/>
    <x v="740"/>
    <d v="2026-08-05T21:56:07"/>
    <x v="0"/>
    <x v="2"/>
    <s v="Email"/>
    <x v="0"/>
    <x v="0"/>
    <x v="0"/>
    <x v="0"/>
    <x v="9"/>
    <n v="19"/>
    <n v="5"/>
    <n v="0"/>
    <n v="5"/>
    <s v="No"/>
    <n v="30"/>
    <n v="8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868"/>
    <n v="2.78"/>
    <x v="741"/>
    <d v="2026-04-29T20:03:43"/>
    <x v="0"/>
    <x v="0"/>
    <s v="Email"/>
    <x v="2"/>
    <x v="1"/>
    <x v="1"/>
    <x v="2"/>
    <x v="9"/>
    <n v="22"/>
    <n v="4"/>
    <n v="0"/>
    <n v="4"/>
    <s v="No"/>
    <n v="15"/>
    <n v="4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0566"/>
    <n v="6.98"/>
    <x v="742"/>
    <d v="2026-08-19T23:47:32"/>
    <x v="0"/>
    <x v="2"/>
    <s v="Email"/>
    <x v="4"/>
    <x v="1"/>
    <x v="2"/>
    <x v="1"/>
    <x v="5"/>
    <n v="113"/>
    <n v="4"/>
    <n v="0"/>
    <n v="5"/>
    <s v="No"/>
    <n v="30"/>
    <n v="8"/>
    <s v="No"/>
    <x v="0"/>
    <n v="2026"/>
    <n v="8"/>
    <s v="agosto"/>
    <x v="3"/>
    <s v="Satisfied"/>
    <s v="No"/>
    <s v="Yes"/>
    <s v="Resolved"/>
    <n v="1"/>
    <n v="0"/>
    <n v="1"/>
    <n v="0"/>
    <n v="0"/>
    <n v="0"/>
    <n v="1"/>
  </r>
  <r>
    <s v="TKT-00071"/>
    <n v="45.75"/>
    <x v="743"/>
    <d v="2026-07-05T07:25:55"/>
    <x v="0"/>
    <x v="1"/>
    <s v="Email"/>
    <x v="2"/>
    <x v="2"/>
    <x v="0"/>
    <x v="3"/>
    <x v="8"/>
    <n v="292"/>
    <n v="3"/>
    <n v="0"/>
    <n v="3"/>
    <s v="No"/>
    <n v="240"/>
    <n v="48"/>
    <s v="No"/>
    <x v="0"/>
    <n v="2026"/>
    <n v="7"/>
    <s v="julho"/>
    <x v="6"/>
    <s v="Neutral"/>
    <s v="No"/>
    <s v="Yes"/>
    <s v="Resolved"/>
    <n v="1"/>
    <n v="0"/>
    <n v="1"/>
    <n v="0"/>
    <n v="0"/>
    <n v="0"/>
    <n v="1"/>
  </r>
  <r>
    <s v="TKT-01001"/>
    <n v="26.44"/>
    <x v="744"/>
    <d v="2026-05-13T12:33:08"/>
    <x v="0"/>
    <x v="3"/>
    <s v="Email"/>
    <x v="0"/>
    <x v="0"/>
    <x v="2"/>
    <x v="1"/>
    <x v="5"/>
    <n v="83"/>
    <n v="4"/>
    <n v="0"/>
    <n v="6"/>
    <s v="No"/>
    <n v="120"/>
    <n v="24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625"/>
    <n v="9.91"/>
    <x v="745"/>
    <d v="2026-02-24T17:52:28"/>
    <x v="0"/>
    <x v="2"/>
    <s v="Chat"/>
    <x v="2"/>
    <x v="2"/>
    <x v="2"/>
    <x v="3"/>
    <x v="6"/>
    <n v="53"/>
    <n v="5"/>
    <n v="0"/>
    <n v="3"/>
    <s v="No"/>
    <n v="30"/>
    <n v="8"/>
    <s v="No"/>
    <x v="1"/>
    <n v="2026"/>
    <n v="2"/>
    <s v="fevereiro"/>
    <x v="4"/>
    <s v="Satisfied"/>
    <s v="No"/>
    <s v="Yes"/>
    <s v="Resolved"/>
    <n v="1"/>
    <n v="0"/>
    <n v="1"/>
    <n v="0"/>
    <n v="0"/>
    <n v="0"/>
    <n v="0"/>
  </r>
  <r>
    <s v="TKT-00441"/>
    <n v="29.69"/>
    <x v="746"/>
    <d v="2026-08-27T17:04:16"/>
    <x v="0"/>
    <x v="1"/>
    <s v="Email"/>
    <x v="1"/>
    <x v="0"/>
    <x v="1"/>
    <x v="1"/>
    <x v="0"/>
    <n v="317"/>
    <n v="3"/>
    <n v="0"/>
    <n v="3"/>
    <s v="No"/>
    <n v="240"/>
    <n v="48"/>
    <s v="No"/>
    <x v="0"/>
    <n v="2026"/>
    <n v="8"/>
    <s v="agosto"/>
    <x v="3"/>
    <s v="Neutral"/>
    <s v="No"/>
    <s v="Yes"/>
    <s v="Resolved"/>
    <n v="1"/>
    <n v="0"/>
    <n v="1"/>
    <n v="0"/>
    <n v="0"/>
    <n v="0"/>
    <n v="1"/>
  </r>
  <r>
    <s v="TKT-01174"/>
    <n v="15.68"/>
    <x v="747"/>
    <d v="2026-02-08T05:22:58"/>
    <x v="0"/>
    <x v="3"/>
    <s v="Web Form"/>
    <x v="0"/>
    <x v="0"/>
    <x v="3"/>
    <x v="5"/>
    <x v="8"/>
    <n v="142"/>
    <n v="4"/>
    <n v="0"/>
    <n v="2"/>
    <s v="No"/>
    <n v="120"/>
    <n v="24"/>
    <s v="No"/>
    <x v="0"/>
    <n v="2026"/>
    <n v="2"/>
    <s v="fevereiro"/>
    <x v="4"/>
    <s v="Satisfied"/>
    <s v="No"/>
    <s v="Yes"/>
    <s v="Resolved"/>
    <n v="1"/>
    <n v="0"/>
    <n v="1"/>
    <n v="0"/>
    <n v="0"/>
    <n v="0"/>
    <n v="1"/>
  </r>
  <r>
    <s v="TKT-00681"/>
    <n v="3.91"/>
    <x v="748"/>
    <d v="2026-08-26T07:48:40"/>
    <x v="0"/>
    <x v="2"/>
    <s v="Email"/>
    <x v="2"/>
    <x v="1"/>
    <x v="1"/>
    <x v="0"/>
    <x v="5"/>
    <n v="38"/>
    <n v="4"/>
    <n v="1"/>
    <n v="6"/>
    <s v="No"/>
    <n v="30"/>
    <n v="8"/>
    <s v="No"/>
    <x v="0"/>
    <n v="2026"/>
    <n v="8"/>
    <s v="agosto"/>
    <x v="3"/>
    <s v="Satisfied"/>
    <s v="Yes"/>
    <s v="Yes"/>
    <s v="Resolved"/>
    <n v="1"/>
    <n v="0"/>
    <n v="1"/>
    <n v="1"/>
    <n v="0"/>
    <n v="0"/>
    <n v="1"/>
  </r>
  <r>
    <s v="TKT-00564"/>
    <n v="58.61"/>
    <x v="749"/>
    <d v="2026-04-17T13:08:30"/>
    <x v="0"/>
    <x v="3"/>
    <s v="Web Form"/>
    <x v="0"/>
    <x v="1"/>
    <x v="2"/>
    <x v="5"/>
    <x v="0"/>
    <n v="99"/>
    <n v="4"/>
    <n v="0"/>
    <n v="2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1067"/>
    <n v="8.23"/>
    <x v="750"/>
    <d v="2026-07-16T22:14:01"/>
    <x v="0"/>
    <x v="2"/>
    <s v="Chat"/>
    <x v="0"/>
    <x v="1"/>
    <x v="3"/>
    <x v="1"/>
    <x v="0"/>
    <n v="111"/>
    <n v="4"/>
    <n v="0"/>
    <n v="5"/>
    <s v="No"/>
    <n v="30"/>
    <n v="8"/>
    <s v="No"/>
    <x v="1"/>
    <n v="2026"/>
    <n v="7"/>
    <s v="julho"/>
    <x v="6"/>
    <s v="Satisfied"/>
    <s v="No"/>
    <s v="Yes"/>
    <s v="Resolved"/>
    <n v="1"/>
    <n v="0"/>
    <n v="1"/>
    <n v="0"/>
    <n v="0"/>
    <n v="0"/>
    <n v="0"/>
  </r>
  <r>
    <s v="TKT-00376"/>
    <n v="19.059999999999999"/>
    <x v="751"/>
    <d v="2026-02-03T18:06:30"/>
    <x v="0"/>
    <x v="3"/>
    <s v="Email"/>
    <x v="3"/>
    <x v="2"/>
    <x v="3"/>
    <x v="1"/>
    <x v="9"/>
    <n v="115"/>
    <n v="4"/>
    <n v="1"/>
    <n v="8"/>
    <s v="No"/>
    <n v="120"/>
    <n v="24"/>
    <s v="Yes"/>
    <x v="0"/>
    <n v="2026"/>
    <n v="2"/>
    <s v="fevereiro"/>
    <x v="4"/>
    <s v="Satisfied"/>
    <s v="Yes"/>
    <s v="Yes"/>
    <s v="Resolved"/>
    <n v="1"/>
    <n v="0"/>
    <n v="1"/>
    <n v="1"/>
    <n v="0"/>
    <n v="1"/>
    <n v="1"/>
  </r>
  <r>
    <s v="TKT-01040"/>
    <n v="118.6"/>
    <x v="752"/>
    <d v="2026-02-10T01:05:03"/>
    <x v="0"/>
    <x v="1"/>
    <s v="Phone"/>
    <x v="0"/>
    <x v="1"/>
    <x v="1"/>
    <x v="3"/>
    <x v="9"/>
    <n v="294"/>
    <n v="3"/>
    <n v="0"/>
    <n v="4"/>
    <s v="No"/>
    <n v="240"/>
    <n v="48"/>
    <s v="No"/>
    <x v="1"/>
    <n v="2026"/>
    <n v="2"/>
    <s v="fevereiro"/>
    <x v="4"/>
    <s v="Neutral"/>
    <s v="No"/>
    <s v="Yes"/>
    <s v="Resolved"/>
    <n v="1"/>
    <n v="0"/>
    <n v="1"/>
    <n v="0"/>
    <n v="0"/>
    <n v="0"/>
    <n v="0"/>
  </r>
  <r>
    <s v="TKT-00378"/>
    <n v="3.55"/>
    <x v="753"/>
    <d v="2026-08-08T02:24:57"/>
    <x v="0"/>
    <x v="4"/>
    <s v="Chat"/>
    <x v="4"/>
    <x v="0"/>
    <x v="1"/>
    <x v="2"/>
    <x v="8"/>
    <n v="28"/>
    <n v="4"/>
    <n v="0"/>
    <n v="3"/>
    <s v="No"/>
    <m/>
    <m/>
    <m/>
    <x v="3"/>
    <n v="2026"/>
    <n v="8"/>
    <s v="agosto"/>
    <x v="3"/>
    <s v="Satisfied"/>
    <s v="No"/>
    <s v="Yes"/>
    <s v="Resolved"/>
    <n v="1"/>
    <n v="0"/>
    <n v="1"/>
    <n v="0"/>
    <n v="0"/>
    <m/>
    <m/>
  </r>
  <r>
    <s v="TKT-00477"/>
    <n v="33.28"/>
    <x v="754"/>
    <d v="2026-07-26T06:43:48"/>
    <x v="0"/>
    <x v="3"/>
    <s v="Chat"/>
    <x v="3"/>
    <x v="0"/>
    <x v="2"/>
    <x v="3"/>
    <x v="3"/>
    <n v="157"/>
    <n v="4"/>
    <n v="0"/>
    <n v="5"/>
    <s v="No"/>
    <n v="120"/>
    <n v="24"/>
    <s v="No"/>
    <x v="1"/>
    <n v="2026"/>
    <n v="7"/>
    <s v="julho"/>
    <x v="6"/>
    <s v="Satisfied"/>
    <s v="No"/>
    <s v="Yes"/>
    <s v="Resolved"/>
    <n v="1"/>
    <n v="0"/>
    <n v="1"/>
    <n v="0"/>
    <n v="0"/>
    <n v="0"/>
    <n v="0"/>
  </r>
  <r>
    <s v="TKT-00559"/>
    <n v="47.74"/>
    <x v="755"/>
    <d v="2026-02-18T04:32:31"/>
    <x v="0"/>
    <x v="1"/>
    <s v="Chat"/>
    <x v="0"/>
    <x v="1"/>
    <x v="3"/>
    <x v="4"/>
    <x v="9"/>
    <n v="354"/>
    <n v="3"/>
    <n v="0"/>
    <n v="3"/>
    <s v="No"/>
    <n v="240"/>
    <n v="48"/>
    <s v="No"/>
    <x v="0"/>
    <n v="2026"/>
    <n v="2"/>
    <s v="fevereiro"/>
    <x v="4"/>
    <s v="Neutral"/>
    <s v="No"/>
    <s v="Yes"/>
    <s v="Resolved"/>
    <n v="1"/>
    <n v="0"/>
    <n v="1"/>
    <n v="0"/>
    <n v="0"/>
    <n v="0"/>
    <n v="1"/>
  </r>
  <r>
    <s v="TKT-00922"/>
    <n v="36.28"/>
    <x v="756"/>
    <d v="2026-06-04T20:23:48"/>
    <x v="0"/>
    <x v="3"/>
    <s v="Email"/>
    <x v="1"/>
    <x v="2"/>
    <x v="3"/>
    <x v="1"/>
    <x v="2"/>
    <n v="300"/>
    <n v="3"/>
    <n v="0"/>
    <n v="7"/>
    <s v="No"/>
    <n v="120"/>
    <n v="24"/>
    <s v="No"/>
    <x v="1"/>
    <n v="2026"/>
    <n v="6"/>
    <s v="junho"/>
    <x v="5"/>
    <s v="Neutral"/>
    <s v="No"/>
    <s v="Yes"/>
    <s v="Resolved"/>
    <n v="1"/>
    <n v="0"/>
    <n v="1"/>
    <n v="0"/>
    <n v="0"/>
    <n v="0"/>
    <n v="0"/>
  </r>
  <r>
    <s v="TKT-00022"/>
    <n v="13.63"/>
    <x v="757"/>
    <d v="2026-04-28T19:00:41"/>
    <x v="0"/>
    <x v="3"/>
    <s v="Email"/>
    <x v="4"/>
    <x v="1"/>
    <x v="3"/>
    <x v="4"/>
    <x v="5"/>
    <n v="85"/>
    <n v="4"/>
    <n v="1"/>
    <n v="12"/>
    <s v="No"/>
    <n v="120"/>
    <n v="24"/>
    <s v="Yes"/>
    <x v="0"/>
    <n v="2026"/>
    <n v="4"/>
    <s v="abril"/>
    <x v="0"/>
    <s v="Satisfied"/>
    <s v="Yes"/>
    <s v="Yes"/>
    <s v="Resolved"/>
    <n v="1"/>
    <n v="0"/>
    <n v="1"/>
    <n v="1"/>
    <n v="0"/>
    <n v="1"/>
    <n v="1"/>
  </r>
  <r>
    <s v="TKT-01035"/>
    <n v="2.12"/>
    <x v="758"/>
    <d v="2026-04-30T08:40:01"/>
    <x v="0"/>
    <x v="0"/>
    <s v="Phone"/>
    <x v="0"/>
    <x v="0"/>
    <x v="2"/>
    <x v="2"/>
    <x v="1"/>
    <n v="17"/>
    <n v="5"/>
    <n v="0"/>
    <n v="4"/>
    <s v="No"/>
    <n v="15"/>
    <n v="4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1149"/>
    <n v="20.38"/>
    <x v="759"/>
    <d v="2026-08-24T16:36:34"/>
    <x v="0"/>
    <x v="1"/>
    <s v="Email"/>
    <x v="0"/>
    <x v="1"/>
    <x v="3"/>
    <x v="2"/>
    <x v="6"/>
    <n v="74"/>
    <n v="4"/>
    <n v="0"/>
    <n v="6"/>
    <s v="No"/>
    <n v="240"/>
    <n v="48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288"/>
    <n v="8.8000000000000007"/>
    <x v="760"/>
    <d v="2026-01-31T05:47:07"/>
    <x v="0"/>
    <x v="2"/>
    <s v="Phone"/>
    <x v="3"/>
    <x v="1"/>
    <x v="3"/>
    <x v="3"/>
    <x v="7"/>
    <n v="32"/>
    <n v="4"/>
    <n v="0"/>
    <n v="5"/>
    <s v="No"/>
    <n v="30"/>
    <n v="8"/>
    <s v="No"/>
    <x v="1"/>
    <n v="2026"/>
    <n v="1"/>
    <s v="janeiro"/>
    <x v="1"/>
    <s v="Satisfied"/>
    <s v="No"/>
    <s v="Yes"/>
    <s v="Resolved"/>
    <n v="1"/>
    <n v="0"/>
    <n v="1"/>
    <n v="0"/>
    <n v="0"/>
    <n v="0"/>
    <n v="0"/>
  </r>
  <r>
    <s v="TKT-00284"/>
    <n v="41.49"/>
    <x v="761"/>
    <d v="2026-07-24T08:13:30"/>
    <x v="0"/>
    <x v="3"/>
    <s v="Email"/>
    <x v="1"/>
    <x v="2"/>
    <x v="0"/>
    <x v="5"/>
    <x v="1"/>
    <n v="100"/>
    <n v="4"/>
    <n v="0"/>
    <n v="6"/>
    <s v="No"/>
    <n v="120"/>
    <n v="24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1012"/>
    <n v="144.66"/>
    <x v="762"/>
    <d v="2026-02-19T17:38:46"/>
    <x v="0"/>
    <x v="1"/>
    <s v="Email"/>
    <x v="2"/>
    <x v="2"/>
    <x v="3"/>
    <x v="5"/>
    <x v="8"/>
    <n v="202"/>
    <n v="3"/>
    <n v="0"/>
    <n v="5"/>
    <s v="No"/>
    <n v="240"/>
    <n v="48"/>
    <s v="Yes"/>
    <x v="1"/>
    <n v="2026"/>
    <n v="2"/>
    <s v="fevereiro"/>
    <x v="4"/>
    <s v="Neutral"/>
    <s v="No"/>
    <s v="Yes"/>
    <s v="Resolved"/>
    <n v="1"/>
    <n v="0"/>
    <n v="1"/>
    <n v="0"/>
    <n v="0"/>
    <n v="1"/>
    <n v="0"/>
  </r>
  <r>
    <s v="TKT-00710"/>
    <n v="11.79"/>
    <x v="763"/>
    <d v="2026-07-29T09:54:33"/>
    <x v="0"/>
    <x v="3"/>
    <s v="Chat"/>
    <x v="3"/>
    <x v="2"/>
    <x v="3"/>
    <x v="0"/>
    <x v="2"/>
    <n v="36"/>
    <n v="4"/>
    <n v="0"/>
    <n v="7"/>
    <s v="No"/>
    <n v="120"/>
    <n v="24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129"/>
    <n v="50.18"/>
    <x v="764"/>
    <d v="2026-05-17T18:14:50"/>
    <x v="0"/>
    <x v="1"/>
    <s v="Phone"/>
    <x v="3"/>
    <x v="2"/>
    <x v="0"/>
    <x v="3"/>
    <x v="8"/>
    <n v="193"/>
    <n v="4"/>
    <n v="0"/>
    <n v="6"/>
    <s v="No"/>
    <n v="240"/>
    <n v="48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1037"/>
    <n v="77.5"/>
    <x v="765"/>
    <d v="2026-02-03T03:09:46"/>
    <x v="0"/>
    <x v="1"/>
    <s v="Phone"/>
    <x v="0"/>
    <x v="2"/>
    <x v="0"/>
    <x v="1"/>
    <x v="5"/>
    <n v="441"/>
    <n v="2"/>
    <n v="0"/>
    <n v="13"/>
    <s v="Yes"/>
    <n v="240"/>
    <n v="48"/>
    <s v="No"/>
    <x v="1"/>
    <n v="2026"/>
    <n v="1"/>
    <s v="janeiro"/>
    <x v="1"/>
    <s v="Dissatisfied"/>
    <s v="No"/>
    <s v="Yes"/>
    <s v="Resolved"/>
    <n v="1"/>
    <n v="0"/>
    <n v="1"/>
    <n v="0"/>
    <n v="1"/>
    <n v="0"/>
    <n v="0"/>
  </r>
  <r>
    <s v="TKT-00318"/>
    <n v="3.64"/>
    <x v="766"/>
    <d v="2026-01-15T10:04:37"/>
    <x v="0"/>
    <x v="0"/>
    <s v="Phone"/>
    <x v="2"/>
    <x v="1"/>
    <x v="2"/>
    <x v="3"/>
    <x v="7"/>
    <n v="15"/>
    <n v="4"/>
    <n v="1"/>
    <n v="9"/>
    <s v="No"/>
    <n v="15"/>
    <n v="4"/>
    <s v="Yes"/>
    <x v="0"/>
    <n v="2026"/>
    <n v="1"/>
    <s v="janeiro"/>
    <x v="1"/>
    <s v="Satisfied"/>
    <s v="Yes"/>
    <s v="Yes"/>
    <s v="Resolved"/>
    <n v="1"/>
    <n v="0"/>
    <n v="1"/>
    <n v="1"/>
    <n v="0"/>
    <n v="1"/>
    <n v="1"/>
  </r>
  <r>
    <s v="TKT-00486"/>
    <n v="8.4700000000000006"/>
    <x v="767"/>
    <d v="2026-04-04T09:06:23"/>
    <x v="0"/>
    <x v="1"/>
    <s v="Chat"/>
    <x v="0"/>
    <x v="1"/>
    <x v="0"/>
    <x v="0"/>
    <x v="9"/>
    <n v="281"/>
    <n v="4"/>
    <n v="0"/>
    <n v="5"/>
    <s v="No"/>
    <n v="240"/>
    <n v="48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0290"/>
    <n v="23.85"/>
    <x v="768"/>
    <d v="2026-04-09T16:02:54"/>
    <x v="0"/>
    <x v="3"/>
    <s v="Web Form"/>
    <x v="3"/>
    <x v="1"/>
    <x v="0"/>
    <x v="1"/>
    <x v="5"/>
    <n v="98"/>
    <n v="4"/>
    <n v="0"/>
    <n v="5"/>
    <s v="No"/>
    <n v="120"/>
    <n v="24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960"/>
    <n v="24.68"/>
    <x v="769"/>
    <d v="2026-08-19T15:58:52"/>
    <x v="0"/>
    <x v="1"/>
    <s v="Email"/>
    <x v="4"/>
    <x v="2"/>
    <x v="3"/>
    <x v="1"/>
    <x v="7"/>
    <n v="90"/>
    <n v="4"/>
    <n v="0"/>
    <n v="6"/>
    <s v="No"/>
    <n v="240"/>
    <n v="48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1090"/>
    <n v="4.28"/>
    <x v="770"/>
    <d v="2026-08-16T11:59:33"/>
    <x v="0"/>
    <x v="3"/>
    <s v="Chat"/>
    <x v="0"/>
    <x v="1"/>
    <x v="1"/>
    <x v="2"/>
    <x v="0"/>
    <n v="39"/>
    <n v="5"/>
    <n v="0"/>
    <n v="4"/>
    <s v="No"/>
    <n v="120"/>
    <n v="24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667"/>
    <n v="19.510000000000002"/>
    <x v="771"/>
    <d v="2026-03-09T06:49:40"/>
    <x v="0"/>
    <x v="1"/>
    <s v="Phone"/>
    <x v="0"/>
    <x v="0"/>
    <x v="0"/>
    <x v="2"/>
    <x v="0"/>
    <n v="272"/>
    <n v="3"/>
    <n v="0"/>
    <n v="5"/>
    <s v="No"/>
    <n v="240"/>
    <n v="48"/>
    <s v="No"/>
    <x v="0"/>
    <n v="2026"/>
    <n v="3"/>
    <s v="março"/>
    <x v="7"/>
    <s v="Neutral"/>
    <s v="No"/>
    <s v="Yes"/>
    <s v="Resolved"/>
    <n v="1"/>
    <n v="0"/>
    <n v="1"/>
    <n v="0"/>
    <n v="0"/>
    <n v="0"/>
    <n v="1"/>
  </r>
  <r>
    <s v="TKT-01057"/>
    <n v="8.2200000000000006"/>
    <x v="772"/>
    <d v="2026-01-16T05:17:02"/>
    <x v="0"/>
    <x v="1"/>
    <s v="Email"/>
    <x v="3"/>
    <x v="2"/>
    <x v="2"/>
    <x v="0"/>
    <x v="2"/>
    <n v="93"/>
    <n v="4"/>
    <n v="0"/>
    <n v="6"/>
    <s v="No"/>
    <n v="240"/>
    <n v="48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238"/>
    <n v="27.24"/>
    <x v="773"/>
    <d v="2026-03-11T04:33:07"/>
    <x v="0"/>
    <x v="1"/>
    <s v="Phone"/>
    <x v="0"/>
    <x v="1"/>
    <x v="0"/>
    <x v="2"/>
    <x v="7"/>
    <n v="236"/>
    <n v="4"/>
    <n v="0"/>
    <n v="4"/>
    <s v="No"/>
    <n v="240"/>
    <n v="48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159"/>
    <n v="22.37"/>
    <x v="774"/>
    <d v="2026-04-03T18:31:18"/>
    <x v="0"/>
    <x v="1"/>
    <s v="Email"/>
    <x v="3"/>
    <x v="1"/>
    <x v="2"/>
    <x v="1"/>
    <x v="9"/>
    <n v="176"/>
    <n v="4"/>
    <n v="0"/>
    <n v="5"/>
    <s v="No"/>
    <n v="240"/>
    <n v="48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001"/>
    <n v="38.18"/>
    <x v="775"/>
    <d v="2026-01-08T11:35:45"/>
    <x v="0"/>
    <x v="1"/>
    <s v="Chat"/>
    <x v="1"/>
    <x v="2"/>
    <x v="0"/>
    <x v="4"/>
    <x v="10"/>
    <n v="146"/>
    <n v="4"/>
    <n v="0"/>
    <n v="2"/>
    <s v="No"/>
    <n v="240"/>
    <n v="48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626"/>
    <n v="30.47"/>
    <x v="776"/>
    <d v="2026-08-07T02:03:15"/>
    <x v="0"/>
    <x v="3"/>
    <s v="Web Form"/>
    <x v="0"/>
    <x v="1"/>
    <x v="0"/>
    <x v="2"/>
    <x v="0"/>
    <n v="52"/>
    <n v="4"/>
    <n v="0"/>
    <n v="7"/>
    <s v="No"/>
    <n v="120"/>
    <n v="24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1148"/>
    <n v="12.65"/>
    <x v="777"/>
    <d v="2026-05-08T03:34:58"/>
    <x v="0"/>
    <x v="3"/>
    <s v="Email"/>
    <x v="0"/>
    <x v="0"/>
    <x v="0"/>
    <x v="0"/>
    <x v="3"/>
    <n v="60"/>
    <n v="4"/>
    <n v="0"/>
    <n v="4"/>
    <s v="No"/>
    <n v="120"/>
    <n v="24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0658"/>
    <n v="7.7"/>
    <x v="778"/>
    <d v="2026-03-19T06:30:42"/>
    <x v="0"/>
    <x v="2"/>
    <s v="Chat"/>
    <x v="3"/>
    <x v="0"/>
    <x v="0"/>
    <x v="2"/>
    <x v="10"/>
    <n v="55"/>
    <n v="5"/>
    <n v="0"/>
    <n v="5"/>
    <s v="No"/>
    <n v="30"/>
    <n v="8"/>
    <s v="No"/>
    <x v="0"/>
    <n v="2026"/>
    <n v="3"/>
    <s v="março"/>
    <x v="7"/>
    <s v="Satisfied"/>
    <s v="No"/>
    <s v="Yes"/>
    <s v="Resolved"/>
    <n v="1"/>
    <n v="0"/>
    <n v="1"/>
    <n v="0"/>
    <n v="0"/>
    <n v="0"/>
    <n v="1"/>
  </r>
  <r>
    <s v="TKT-00825"/>
    <n v="5.21"/>
    <x v="779"/>
    <d v="2026-07-09T22:22:52"/>
    <x v="0"/>
    <x v="0"/>
    <s v="Chat"/>
    <x v="3"/>
    <x v="0"/>
    <x v="1"/>
    <x v="1"/>
    <x v="9"/>
    <n v="12"/>
    <n v="4"/>
    <n v="2"/>
    <n v="8"/>
    <s v="No"/>
    <n v="15"/>
    <n v="4"/>
    <s v="Yes"/>
    <x v="1"/>
    <n v="2026"/>
    <n v="7"/>
    <s v="julho"/>
    <x v="6"/>
    <s v="Satisfied"/>
    <s v="Yes"/>
    <s v="Yes"/>
    <s v="Resolved"/>
    <n v="1"/>
    <n v="0"/>
    <n v="1"/>
    <n v="1"/>
    <n v="0"/>
    <n v="1"/>
    <n v="0"/>
  </r>
  <r>
    <s v="TKT-00838"/>
    <n v="6.74"/>
    <x v="780"/>
    <d v="2026-07-12T17:31:15"/>
    <x v="0"/>
    <x v="2"/>
    <s v="Chat"/>
    <x v="2"/>
    <x v="1"/>
    <x v="2"/>
    <x v="2"/>
    <x v="7"/>
    <n v="55"/>
    <n v="4"/>
    <n v="1"/>
    <n v="11"/>
    <s v="No"/>
    <n v="30"/>
    <n v="8"/>
    <s v="No"/>
    <x v="0"/>
    <n v="2026"/>
    <n v="7"/>
    <s v="julho"/>
    <x v="6"/>
    <s v="Satisfied"/>
    <s v="Yes"/>
    <s v="Yes"/>
    <s v="Resolved"/>
    <n v="1"/>
    <n v="0"/>
    <n v="1"/>
    <n v="1"/>
    <n v="0"/>
    <n v="0"/>
    <n v="1"/>
  </r>
  <r>
    <s v="TKT-00623"/>
    <n v="11.54"/>
    <x v="781"/>
    <d v="2026-08-17T18:40:28"/>
    <x v="0"/>
    <x v="3"/>
    <s v="Web Form"/>
    <x v="0"/>
    <x v="2"/>
    <x v="1"/>
    <x v="0"/>
    <x v="6"/>
    <n v="149"/>
    <n v="4"/>
    <n v="0"/>
    <n v="2"/>
    <s v="No"/>
    <n v="120"/>
    <n v="24"/>
    <s v="No"/>
    <x v="0"/>
    <n v="2026"/>
    <n v="8"/>
    <s v="agosto"/>
    <x v="3"/>
    <s v="Satisfied"/>
    <s v="No"/>
    <s v="Yes"/>
    <s v="Resolved"/>
    <n v="1"/>
    <n v="0"/>
    <n v="1"/>
    <n v="0"/>
    <n v="0"/>
    <n v="0"/>
    <n v="1"/>
  </r>
  <r>
    <s v="TKT-00563"/>
    <n v="26.45"/>
    <x v="782"/>
    <d v="2026-08-23T04:48:45"/>
    <x v="0"/>
    <x v="1"/>
    <s v="Phone"/>
    <x v="0"/>
    <x v="0"/>
    <x v="2"/>
    <x v="1"/>
    <x v="8"/>
    <n v="129"/>
    <n v="4"/>
    <n v="0"/>
    <n v="4"/>
    <s v="No"/>
    <n v="240"/>
    <n v="48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756"/>
    <n v="5.18"/>
    <x v="783"/>
    <d v="2026-06-01T05:55:45"/>
    <x v="0"/>
    <x v="3"/>
    <s v="Chat"/>
    <x v="3"/>
    <x v="2"/>
    <x v="3"/>
    <x v="2"/>
    <x v="3"/>
    <n v="72"/>
    <n v="4"/>
    <n v="1"/>
    <n v="7"/>
    <s v="No"/>
    <n v="120"/>
    <n v="24"/>
    <s v="Yes"/>
    <x v="0"/>
    <n v="2026"/>
    <n v="6"/>
    <s v="junho"/>
    <x v="5"/>
    <s v="Satisfied"/>
    <s v="Yes"/>
    <s v="Yes"/>
    <s v="Resolved"/>
    <n v="1"/>
    <n v="0"/>
    <n v="1"/>
    <n v="1"/>
    <n v="0"/>
    <n v="1"/>
    <n v="1"/>
  </r>
  <r>
    <s v="TKT-01088"/>
    <n v="31.51"/>
    <x v="784"/>
    <d v="2026-08-06T22:12:19"/>
    <x v="0"/>
    <x v="2"/>
    <s v="Email"/>
    <x v="0"/>
    <x v="0"/>
    <x v="0"/>
    <x v="1"/>
    <x v="2"/>
    <n v="33"/>
    <n v="4"/>
    <n v="0"/>
    <n v="5"/>
    <s v="Yes"/>
    <n v="30"/>
    <n v="8"/>
    <s v="No"/>
    <x v="1"/>
    <n v="2026"/>
    <n v="8"/>
    <s v="agosto"/>
    <x v="3"/>
    <s v="Satisfied"/>
    <s v="No"/>
    <s v="Yes"/>
    <s v="Resolved"/>
    <n v="1"/>
    <n v="0"/>
    <n v="1"/>
    <n v="0"/>
    <n v="1"/>
    <n v="0"/>
    <n v="0"/>
  </r>
  <r>
    <s v="TKT-00900"/>
    <n v="19.03"/>
    <x v="785"/>
    <d v="2026-02-08T16:13:50"/>
    <x v="0"/>
    <x v="3"/>
    <s v="Email"/>
    <x v="4"/>
    <x v="1"/>
    <x v="2"/>
    <x v="2"/>
    <x v="0"/>
    <n v="181"/>
    <n v="4"/>
    <n v="0"/>
    <n v="6"/>
    <s v="No"/>
    <n v="120"/>
    <n v="24"/>
    <s v="No"/>
    <x v="0"/>
    <n v="2026"/>
    <n v="2"/>
    <s v="fevereiro"/>
    <x v="4"/>
    <s v="Satisfied"/>
    <s v="No"/>
    <s v="Yes"/>
    <s v="Resolved"/>
    <n v="1"/>
    <n v="0"/>
    <n v="1"/>
    <n v="0"/>
    <n v="0"/>
    <n v="0"/>
    <n v="1"/>
  </r>
  <r>
    <s v="TKT-00017"/>
    <n v="15.67"/>
    <x v="786"/>
    <d v="2026-02-18T00:37:22"/>
    <x v="0"/>
    <x v="3"/>
    <s v="Web Form"/>
    <x v="3"/>
    <x v="1"/>
    <x v="3"/>
    <x v="1"/>
    <x v="10"/>
    <n v="308"/>
    <n v="4"/>
    <n v="0"/>
    <n v="7"/>
    <s v="No"/>
    <n v="120"/>
    <n v="24"/>
    <s v="No"/>
    <x v="0"/>
    <n v="2026"/>
    <n v="2"/>
    <s v="fevereiro"/>
    <x v="4"/>
    <s v="Satisfied"/>
    <s v="No"/>
    <s v="Yes"/>
    <s v="Resolved"/>
    <n v="1"/>
    <n v="0"/>
    <n v="1"/>
    <n v="0"/>
    <n v="0"/>
    <n v="0"/>
    <n v="1"/>
  </r>
  <r>
    <s v="TKT-00579"/>
    <m/>
    <x v="787"/>
    <m/>
    <x v="1"/>
    <x v="3"/>
    <s v="Phone"/>
    <x v="3"/>
    <x v="2"/>
    <x v="1"/>
    <x v="1"/>
    <x v="0"/>
    <n v="67"/>
    <m/>
    <n v="0"/>
    <n v="3"/>
    <s v="No"/>
    <n v="120"/>
    <n v="24"/>
    <s v="Yes"/>
    <x v="2"/>
    <n v="2026"/>
    <n v="1"/>
    <s v="janeiro"/>
    <x v="1"/>
    <s v="No Response"/>
    <s v="No"/>
    <s v="No"/>
    <s v="Open"/>
    <n v="1"/>
    <n v="1"/>
    <n v="0"/>
    <n v="0"/>
    <n v="0"/>
    <n v="1"/>
    <m/>
  </r>
  <r>
    <s v="TKT-00883"/>
    <n v="3.96"/>
    <x v="788"/>
    <d v="2026-05-31T18:05:43"/>
    <x v="0"/>
    <x v="2"/>
    <s v="Web Form"/>
    <x v="0"/>
    <x v="0"/>
    <x v="1"/>
    <x v="2"/>
    <x v="1"/>
    <n v="37"/>
    <n v="4"/>
    <n v="1"/>
    <n v="8"/>
    <s v="No"/>
    <n v="30"/>
    <n v="8"/>
    <s v="No"/>
    <x v="0"/>
    <n v="2026"/>
    <n v="5"/>
    <s v="maio"/>
    <x v="2"/>
    <s v="Satisfied"/>
    <s v="Yes"/>
    <s v="Yes"/>
    <s v="Resolved"/>
    <n v="1"/>
    <n v="0"/>
    <n v="1"/>
    <n v="1"/>
    <n v="0"/>
    <n v="0"/>
    <n v="1"/>
  </r>
  <r>
    <s v="TKT-00619"/>
    <n v="13.19"/>
    <x v="789"/>
    <d v="2026-07-22T18:00:24"/>
    <x v="0"/>
    <x v="3"/>
    <s v="Web Form"/>
    <x v="0"/>
    <x v="1"/>
    <x v="2"/>
    <x v="1"/>
    <x v="1"/>
    <n v="146"/>
    <n v="4"/>
    <n v="0"/>
    <n v="6"/>
    <s v="No"/>
    <n v="120"/>
    <n v="24"/>
    <s v="No"/>
    <x v="0"/>
    <n v="2026"/>
    <n v="7"/>
    <s v="julho"/>
    <x v="6"/>
    <s v="Satisfied"/>
    <s v="No"/>
    <s v="Yes"/>
    <s v="Resolved"/>
    <n v="1"/>
    <n v="0"/>
    <n v="1"/>
    <n v="0"/>
    <n v="0"/>
    <n v="0"/>
    <n v="1"/>
  </r>
  <r>
    <s v="TKT-00452"/>
    <n v="5.93"/>
    <x v="790"/>
    <d v="2026-05-13T21:45:42"/>
    <x v="0"/>
    <x v="2"/>
    <s v="Email"/>
    <x v="0"/>
    <x v="1"/>
    <x v="0"/>
    <x v="0"/>
    <x v="10"/>
    <n v="54"/>
    <n v="4"/>
    <n v="1"/>
    <n v="9"/>
    <s v="No"/>
    <n v="30"/>
    <n v="8"/>
    <s v="No"/>
    <x v="0"/>
    <n v="2026"/>
    <n v="5"/>
    <s v="maio"/>
    <x v="2"/>
    <s v="Satisfied"/>
    <s v="Yes"/>
    <s v="Yes"/>
    <s v="Resolved"/>
    <n v="1"/>
    <n v="0"/>
    <n v="1"/>
    <n v="1"/>
    <n v="0"/>
    <n v="0"/>
    <n v="1"/>
  </r>
  <r>
    <s v="TKT-00272"/>
    <n v="46.98"/>
    <x v="791"/>
    <d v="2026-01-27T10:27:05"/>
    <x v="0"/>
    <x v="1"/>
    <s v="Chat"/>
    <x v="2"/>
    <x v="2"/>
    <x v="3"/>
    <x v="5"/>
    <x v="10"/>
    <n v="339"/>
    <n v="2"/>
    <n v="1"/>
    <n v="7"/>
    <s v="No"/>
    <n v="240"/>
    <n v="48"/>
    <s v="No"/>
    <x v="0"/>
    <n v="2026"/>
    <n v="1"/>
    <s v="janeiro"/>
    <x v="1"/>
    <s v="Dissatisfied"/>
    <s v="Yes"/>
    <s v="Yes"/>
    <s v="Resolved"/>
    <n v="1"/>
    <n v="0"/>
    <n v="1"/>
    <n v="1"/>
    <n v="0"/>
    <n v="0"/>
    <n v="1"/>
  </r>
  <r>
    <s v="TKT-00484"/>
    <n v="23.11"/>
    <x v="792"/>
    <d v="2026-07-28T02:18:44"/>
    <x v="0"/>
    <x v="1"/>
    <s v="Chat"/>
    <x v="2"/>
    <x v="2"/>
    <x v="3"/>
    <x v="1"/>
    <x v="7"/>
    <n v="176"/>
    <n v="4"/>
    <n v="0"/>
    <n v="3"/>
    <s v="No"/>
    <n v="240"/>
    <n v="48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174"/>
    <n v="29.2"/>
    <x v="793"/>
    <d v="2026-01-31T19:56:03"/>
    <x v="0"/>
    <x v="3"/>
    <s v="Web Form"/>
    <x v="1"/>
    <x v="2"/>
    <x v="1"/>
    <x v="3"/>
    <x v="10"/>
    <n v="155"/>
    <n v="3"/>
    <n v="0"/>
    <n v="2"/>
    <s v="No"/>
    <n v="120"/>
    <n v="24"/>
    <s v="No"/>
    <x v="1"/>
    <n v="2026"/>
    <n v="1"/>
    <s v="janeiro"/>
    <x v="1"/>
    <s v="Neutral"/>
    <s v="No"/>
    <s v="Yes"/>
    <s v="Resolved"/>
    <n v="1"/>
    <n v="0"/>
    <n v="1"/>
    <n v="0"/>
    <n v="0"/>
    <n v="0"/>
    <n v="0"/>
  </r>
  <r>
    <s v="TKT-00762"/>
    <n v="19.12"/>
    <x v="794"/>
    <d v="2026-05-12T18:56:58"/>
    <x v="0"/>
    <x v="3"/>
    <s v="Email"/>
    <x v="3"/>
    <x v="2"/>
    <x v="1"/>
    <x v="1"/>
    <x v="1"/>
    <n v="103"/>
    <n v="3"/>
    <n v="1"/>
    <n v="10"/>
    <s v="No"/>
    <n v="120"/>
    <n v="24"/>
    <s v="Yes"/>
    <x v="0"/>
    <n v="2026"/>
    <n v="5"/>
    <s v="maio"/>
    <x v="2"/>
    <s v="Neutral"/>
    <s v="Yes"/>
    <s v="Yes"/>
    <s v="Resolved"/>
    <n v="1"/>
    <n v="0"/>
    <n v="1"/>
    <n v="1"/>
    <n v="0"/>
    <n v="1"/>
    <n v="1"/>
  </r>
  <r>
    <s v="TKT-00454"/>
    <n v="39.270000000000003"/>
    <x v="795"/>
    <d v="2026-05-13T22:34:10"/>
    <x v="0"/>
    <x v="3"/>
    <s v="Chat"/>
    <x v="0"/>
    <x v="1"/>
    <x v="1"/>
    <x v="1"/>
    <x v="0"/>
    <n v="239"/>
    <n v="3"/>
    <n v="1"/>
    <n v="8"/>
    <s v="No"/>
    <n v="120"/>
    <n v="24"/>
    <s v="No"/>
    <x v="1"/>
    <n v="2026"/>
    <n v="5"/>
    <s v="maio"/>
    <x v="2"/>
    <s v="Neutral"/>
    <s v="Yes"/>
    <s v="Yes"/>
    <s v="Resolved"/>
    <n v="1"/>
    <n v="0"/>
    <n v="1"/>
    <n v="1"/>
    <n v="0"/>
    <n v="0"/>
    <n v="0"/>
  </r>
  <r>
    <s v="TKT-00280"/>
    <n v="64.38"/>
    <x v="796"/>
    <d v="2026-04-14T16:11:01"/>
    <x v="0"/>
    <x v="1"/>
    <s v="Email"/>
    <x v="4"/>
    <x v="1"/>
    <x v="2"/>
    <x v="5"/>
    <x v="9"/>
    <n v="244"/>
    <n v="3"/>
    <n v="0"/>
    <n v="7"/>
    <s v="No"/>
    <n v="240"/>
    <n v="48"/>
    <s v="No"/>
    <x v="1"/>
    <n v="2026"/>
    <n v="4"/>
    <s v="abril"/>
    <x v="0"/>
    <s v="Neutral"/>
    <s v="No"/>
    <s v="Yes"/>
    <s v="Resolved"/>
    <n v="1"/>
    <n v="0"/>
    <n v="1"/>
    <n v="0"/>
    <n v="0"/>
    <n v="0"/>
    <n v="0"/>
  </r>
  <r>
    <s v="TKT-00930"/>
    <n v="253.6"/>
    <x v="797"/>
    <d v="2026-01-19T09:48:49"/>
    <x v="0"/>
    <x v="1"/>
    <s v="Chat"/>
    <x v="0"/>
    <x v="1"/>
    <x v="1"/>
    <x v="5"/>
    <x v="1"/>
    <n v="101"/>
    <n v="4"/>
    <n v="0"/>
    <n v="4"/>
    <s v="No"/>
    <n v="240"/>
    <n v="48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704"/>
    <n v="19.46"/>
    <x v="798"/>
    <d v="2026-06-14T21:51:20"/>
    <x v="0"/>
    <x v="1"/>
    <s v="Web Form"/>
    <x v="2"/>
    <x v="2"/>
    <x v="0"/>
    <x v="0"/>
    <x v="10"/>
    <n v="198"/>
    <n v="3"/>
    <n v="0"/>
    <n v="6"/>
    <s v="No"/>
    <n v="240"/>
    <n v="48"/>
    <s v="Yes"/>
    <x v="0"/>
    <n v="2026"/>
    <n v="6"/>
    <s v="junho"/>
    <x v="5"/>
    <s v="Neutral"/>
    <s v="No"/>
    <s v="Yes"/>
    <s v="Resolved"/>
    <n v="1"/>
    <n v="0"/>
    <n v="1"/>
    <n v="0"/>
    <n v="0"/>
    <n v="1"/>
    <n v="1"/>
  </r>
  <r>
    <s v="TKT-00065"/>
    <n v="42.51"/>
    <x v="799"/>
    <d v="2026-06-08T21:51:33"/>
    <x v="0"/>
    <x v="3"/>
    <s v="Chat"/>
    <x v="4"/>
    <x v="1"/>
    <x v="3"/>
    <x v="3"/>
    <x v="10"/>
    <n v="54"/>
    <n v="4"/>
    <n v="0"/>
    <n v="2"/>
    <s v="No"/>
    <n v="120"/>
    <n v="24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0466"/>
    <n v="10.42"/>
    <x v="800"/>
    <d v="2026-04-02T14:08:24"/>
    <x v="0"/>
    <x v="2"/>
    <s v="Chat"/>
    <x v="2"/>
    <x v="0"/>
    <x v="2"/>
    <x v="1"/>
    <x v="2"/>
    <n v="38"/>
    <n v="4"/>
    <n v="0"/>
    <n v="7"/>
    <s v="No"/>
    <n v="30"/>
    <n v="8"/>
    <s v="No"/>
    <x v="1"/>
    <n v="2026"/>
    <n v="4"/>
    <s v="abril"/>
    <x v="0"/>
    <s v="Satisfied"/>
    <s v="No"/>
    <s v="Yes"/>
    <s v="Resolved"/>
    <n v="1"/>
    <n v="0"/>
    <n v="1"/>
    <n v="0"/>
    <n v="0"/>
    <n v="0"/>
    <n v="0"/>
  </r>
  <r>
    <s v="TKT-00812"/>
    <n v="12.35"/>
    <x v="801"/>
    <d v="2026-08-23T20:35:14"/>
    <x v="0"/>
    <x v="2"/>
    <s v="Email"/>
    <x v="2"/>
    <x v="0"/>
    <x v="3"/>
    <x v="1"/>
    <x v="10"/>
    <n v="51"/>
    <n v="4"/>
    <n v="0"/>
    <n v="9"/>
    <s v="Yes"/>
    <n v="30"/>
    <n v="8"/>
    <s v="No"/>
    <x v="1"/>
    <n v="2026"/>
    <n v="8"/>
    <s v="agosto"/>
    <x v="3"/>
    <s v="Satisfied"/>
    <s v="No"/>
    <s v="Yes"/>
    <s v="Resolved"/>
    <n v="1"/>
    <n v="0"/>
    <n v="1"/>
    <n v="0"/>
    <n v="1"/>
    <n v="0"/>
    <n v="0"/>
  </r>
  <r>
    <s v="TKT-00686"/>
    <n v="22.72"/>
    <x v="802"/>
    <d v="2026-03-31T05:31:57"/>
    <x v="0"/>
    <x v="3"/>
    <s v="Phone"/>
    <x v="3"/>
    <x v="1"/>
    <x v="3"/>
    <x v="1"/>
    <x v="2"/>
    <n v="57"/>
    <n v="4"/>
    <n v="1"/>
    <n v="12"/>
    <s v="No"/>
    <n v="120"/>
    <n v="24"/>
    <s v="Yes"/>
    <x v="0"/>
    <n v="2026"/>
    <n v="3"/>
    <s v="março"/>
    <x v="7"/>
    <s v="Satisfied"/>
    <s v="Yes"/>
    <s v="Yes"/>
    <s v="Resolved"/>
    <n v="1"/>
    <n v="0"/>
    <n v="1"/>
    <n v="1"/>
    <n v="0"/>
    <n v="1"/>
    <n v="1"/>
  </r>
  <r>
    <s v="TKT-00255"/>
    <n v="28.08"/>
    <x v="803"/>
    <d v="2026-06-06T12:20:45"/>
    <x v="0"/>
    <x v="1"/>
    <s v="Chat"/>
    <x v="3"/>
    <x v="2"/>
    <x v="3"/>
    <x v="4"/>
    <x v="1"/>
    <n v="200"/>
    <n v="4"/>
    <n v="0"/>
    <n v="6"/>
    <s v="No"/>
    <n v="240"/>
    <n v="48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939"/>
    <n v="46.36"/>
    <x v="804"/>
    <d v="2026-05-26T20:05:51"/>
    <x v="0"/>
    <x v="1"/>
    <s v="Web Form"/>
    <x v="3"/>
    <x v="0"/>
    <x v="3"/>
    <x v="4"/>
    <x v="2"/>
    <n v="93"/>
    <n v="3"/>
    <n v="0"/>
    <n v="2"/>
    <s v="No"/>
    <n v="240"/>
    <n v="48"/>
    <s v="Yes"/>
    <x v="0"/>
    <n v="2026"/>
    <n v="5"/>
    <s v="maio"/>
    <x v="2"/>
    <s v="Neutral"/>
    <s v="No"/>
    <s v="Yes"/>
    <s v="Resolved"/>
    <n v="1"/>
    <n v="0"/>
    <n v="1"/>
    <n v="0"/>
    <n v="0"/>
    <n v="1"/>
    <n v="1"/>
  </r>
  <r>
    <s v="TKT-00040"/>
    <n v="50.84"/>
    <x v="805"/>
    <d v="2026-05-07T18:16:22"/>
    <x v="0"/>
    <x v="3"/>
    <s v="Phone"/>
    <x v="2"/>
    <x v="1"/>
    <x v="1"/>
    <x v="4"/>
    <x v="2"/>
    <n v="124"/>
    <n v="3"/>
    <n v="0"/>
    <n v="6"/>
    <s v="Yes"/>
    <n v="120"/>
    <n v="24"/>
    <s v="No"/>
    <x v="1"/>
    <n v="2026"/>
    <n v="5"/>
    <s v="maio"/>
    <x v="2"/>
    <s v="Neutral"/>
    <s v="No"/>
    <s v="Yes"/>
    <s v="Resolved"/>
    <n v="1"/>
    <n v="0"/>
    <n v="1"/>
    <n v="0"/>
    <n v="1"/>
    <n v="0"/>
    <n v="0"/>
  </r>
  <r>
    <s v="TKT-00240"/>
    <n v="17.95"/>
    <x v="806"/>
    <d v="2026-05-19T11:13:03"/>
    <x v="0"/>
    <x v="2"/>
    <s v="Web Form"/>
    <x v="2"/>
    <x v="2"/>
    <x v="3"/>
    <x v="3"/>
    <x v="0"/>
    <n v="50"/>
    <n v="4"/>
    <n v="0"/>
    <n v="7"/>
    <s v="No"/>
    <n v="30"/>
    <n v="8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972"/>
    <n v="9.1199999999999992"/>
    <x v="807"/>
    <d v="2026-03-09T22:15:09"/>
    <x v="0"/>
    <x v="2"/>
    <s v="Phone"/>
    <x v="2"/>
    <x v="0"/>
    <x v="2"/>
    <x v="4"/>
    <x v="3"/>
    <n v="32"/>
    <n v="4"/>
    <n v="1"/>
    <n v="6"/>
    <s v="No"/>
    <n v="30"/>
    <n v="8"/>
    <s v="No"/>
    <x v="1"/>
    <n v="2026"/>
    <n v="3"/>
    <s v="março"/>
    <x v="7"/>
    <s v="Satisfied"/>
    <s v="Yes"/>
    <s v="Yes"/>
    <s v="Resolved"/>
    <n v="1"/>
    <n v="0"/>
    <n v="1"/>
    <n v="1"/>
    <n v="0"/>
    <n v="0"/>
    <n v="0"/>
  </r>
  <r>
    <s v="TKT-00732"/>
    <n v="26.65"/>
    <x v="808"/>
    <d v="2026-07-24T07:33:58"/>
    <x v="0"/>
    <x v="3"/>
    <s v="Email"/>
    <x v="4"/>
    <x v="1"/>
    <x v="3"/>
    <x v="0"/>
    <x v="5"/>
    <n v="53"/>
    <n v="4"/>
    <n v="0"/>
    <n v="5"/>
    <s v="No"/>
    <n v="120"/>
    <n v="24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0982"/>
    <n v="10.029999999999999"/>
    <x v="809"/>
    <d v="2026-01-03T00:35:55"/>
    <x v="0"/>
    <x v="3"/>
    <s v="Phone"/>
    <x v="0"/>
    <x v="0"/>
    <x v="1"/>
    <x v="0"/>
    <x v="7"/>
    <n v="82"/>
    <n v="4"/>
    <n v="0"/>
    <n v="7"/>
    <s v="No"/>
    <n v="120"/>
    <n v="2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405"/>
    <n v="16"/>
    <x v="810"/>
    <d v="2026-07-21T00:33:05"/>
    <x v="0"/>
    <x v="3"/>
    <s v="Email"/>
    <x v="3"/>
    <x v="2"/>
    <x v="2"/>
    <x v="0"/>
    <x v="8"/>
    <n v="44"/>
    <n v="4"/>
    <n v="0"/>
    <n v="11"/>
    <s v="Yes"/>
    <n v="120"/>
    <n v="24"/>
    <s v="Yes"/>
    <x v="0"/>
    <n v="2026"/>
    <n v="7"/>
    <s v="julho"/>
    <x v="6"/>
    <s v="Satisfied"/>
    <s v="No"/>
    <s v="Yes"/>
    <s v="Resolved"/>
    <n v="1"/>
    <n v="0"/>
    <n v="1"/>
    <n v="0"/>
    <n v="1"/>
    <n v="1"/>
    <n v="1"/>
  </r>
  <r>
    <s v="TKT-01107"/>
    <n v="21.42"/>
    <x v="811"/>
    <d v="2026-08-14T00:46:16"/>
    <x v="0"/>
    <x v="3"/>
    <s v="Email"/>
    <x v="2"/>
    <x v="2"/>
    <x v="3"/>
    <x v="2"/>
    <x v="5"/>
    <n v="115"/>
    <n v="4"/>
    <n v="0"/>
    <n v="7"/>
    <s v="No"/>
    <n v="120"/>
    <n v="24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155"/>
    <n v="6"/>
    <x v="812"/>
    <d v="2026-03-31T08:54:56"/>
    <x v="0"/>
    <x v="3"/>
    <s v="Email"/>
    <x v="0"/>
    <x v="1"/>
    <x v="1"/>
    <x v="0"/>
    <x v="8"/>
    <n v="102"/>
    <n v="4"/>
    <n v="1"/>
    <n v="7"/>
    <s v="No"/>
    <n v="120"/>
    <n v="24"/>
    <s v="Yes"/>
    <x v="0"/>
    <n v="2026"/>
    <n v="3"/>
    <s v="março"/>
    <x v="7"/>
    <s v="Satisfied"/>
    <s v="Yes"/>
    <s v="Yes"/>
    <s v="Resolved"/>
    <n v="1"/>
    <n v="0"/>
    <n v="1"/>
    <n v="1"/>
    <n v="0"/>
    <n v="1"/>
    <n v="1"/>
  </r>
  <r>
    <s v="TKT-00744"/>
    <n v="17.29"/>
    <x v="813"/>
    <d v="2026-02-01T06:41:24"/>
    <x v="0"/>
    <x v="1"/>
    <s v="Chat"/>
    <x v="1"/>
    <x v="2"/>
    <x v="1"/>
    <x v="1"/>
    <x v="3"/>
    <n v="242"/>
    <n v="4"/>
    <n v="0"/>
    <n v="5"/>
    <s v="No"/>
    <n v="240"/>
    <n v="48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1034"/>
    <n v="20.79"/>
    <x v="814"/>
    <d v="2026-05-30T06:13:39"/>
    <x v="0"/>
    <x v="3"/>
    <s v="Email"/>
    <x v="0"/>
    <x v="2"/>
    <x v="2"/>
    <x v="4"/>
    <x v="5"/>
    <n v="59"/>
    <n v="4"/>
    <n v="0"/>
    <n v="6"/>
    <s v="No"/>
    <n v="120"/>
    <n v="24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0505"/>
    <n v="21.97"/>
    <x v="815"/>
    <d v="2026-07-18T09:00:04"/>
    <x v="0"/>
    <x v="2"/>
    <s v="Email"/>
    <x v="2"/>
    <x v="1"/>
    <x v="1"/>
    <x v="1"/>
    <x v="6"/>
    <n v="49"/>
    <n v="4"/>
    <n v="0"/>
    <n v="5"/>
    <s v="No"/>
    <n v="30"/>
    <n v="8"/>
    <s v="No"/>
    <x v="1"/>
    <n v="2026"/>
    <n v="7"/>
    <s v="julho"/>
    <x v="6"/>
    <s v="Satisfied"/>
    <s v="No"/>
    <s v="Yes"/>
    <s v="Resolved"/>
    <n v="1"/>
    <n v="0"/>
    <n v="1"/>
    <n v="0"/>
    <n v="0"/>
    <n v="0"/>
    <n v="0"/>
  </r>
  <r>
    <s v="TKT-00258"/>
    <n v="31.98"/>
    <x v="816"/>
    <d v="2026-04-28T00:13:46"/>
    <x v="0"/>
    <x v="3"/>
    <s v="Web Form"/>
    <x v="0"/>
    <x v="2"/>
    <x v="3"/>
    <x v="5"/>
    <x v="0"/>
    <n v="106"/>
    <n v="4"/>
    <n v="0"/>
    <n v="2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1091"/>
    <n v="51"/>
    <x v="817"/>
    <d v="2026-08-28T11:19:46"/>
    <x v="0"/>
    <x v="1"/>
    <s v="Web Form"/>
    <x v="1"/>
    <x v="0"/>
    <x v="1"/>
    <x v="4"/>
    <x v="0"/>
    <n v="204"/>
    <n v="3"/>
    <n v="0"/>
    <n v="7"/>
    <s v="Yes"/>
    <n v="240"/>
    <n v="48"/>
    <s v="Yes"/>
    <x v="1"/>
    <n v="2026"/>
    <n v="8"/>
    <s v="agosto"/>
    <x v="3"/>
    <s v="Neutral"/>
    <s v="No"/>
    <s v="Yes"/>
    <s v="Resolved"/>
    <n v="1"/>
    <n v="0"/>
    <n v="1"/>
    <n v="0"/>
    <n v="1"/>
    <n v="1"/>
    <n v="0"/>
  </r>
  <r>
    <s v="TKT-00833"/>
    <n v="57.01"/>
    <x v="818"/>
    <d v="2026-02-01T05:41:46"/>
    <x v="0"/>
    <x v="1"/>
    <s v="Email"/>
    <x v="1"/>
    <x v="1"/>
    <x v="0"/>
    <x v="4"/>
    <x v="9"/>
    <n v="143"/>
    <n v="3"/>
    <n v="1"/>
    <n v="5"/>
    <s v="No"/>
    <n v="240"/>
    <n v="48"/>
    <s v="Yes"/>
    <x v="1"/>
    <n v="2026"/>
    <n v="1"/>
    <s v="janeiro"/>
    <x v="1"/>
    <s v="Neutral"/>
    <s v="Yes"/>
    <s v="Yes"/>
    <s v="Resolved"/>
    <n v="1"/>
    <n v="0"/>
    <n v="1"/>
    <n v="1"/>
    <n v="0"/>
    <n v="1"/>
    <n v="0"/>
  </r>
  <r>
    <s v="TKT-00859"/>
    <n v="10.53"/>
    <x v="819"/>
    <d v="2026-02-10T21:02:50"/>
    <x v="0"/>
    <x v="3"/>
    <s v="Email"/>
    <x v="2"/>
    <x v="1"/>
    <x v="1"/>
    <x v="2"/>
    <x v="7"/>
    <n v="152"/>
    <n v="4"/>
    <n v="0"/>
    <n v="4"/>
    <s v="No"/>
    <n v="120"/>
    <n v="24"/>
    <s v="No"/>
    <x v="0"/>
    <n v="2026"/>
    <n v="2"/>
    <s v="fevereiro"/>
    <x v="4"/>
    <s v="Satisfied"/>
    <s v="No"/>
    <s v="Yes"/>
    <s v="Resolved"/>
    <n v="1"/>
    <n v="0"/>
    <n v="1"/>
    <n v="0"/>
    <n v="0"/>
    <n v="0"/>
    <n v="1"/>
  </r>
  <r>
    <s v="TKT-00329"/>
    <n v="10.71"/>
    <x v="820"/>
    <d v="2026-05-01T10:53:38"/>
    <x v="0"/>
    <x v="2"/>
    <s v="Email"/>
    <x v="0"/>
    <x v="1"/>
    <x v="1"/>
    <x v="5"/>
    <x v="2"/>
    <n v="55"/>
    <n v="5"/>
    <n v="0"/>
    <n v="5"/>
    <s v="No"/>
    <n v="30"/>
    <n v="8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789"/>
    <n v="13.75"/>
    <x v="821"/>
    <d v="2026-05-16T18:30:07"/>
    <x v="0"/>
    <x v="3"/>
    <s v="Email"/>
    <x v="1"/>
    <x v="1"/>
    <x v="3"/>
    <x v="2"/>
    <x v="9"/>
    <n v="38"/>
    <n v="4"/>
    <n v="0"/>
    <n v="5"/>
    <s v="No"/>
    <n v="120"/>
    <n v="24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0674"/>
    <n v="35.9"/>
    <x v="822"/>
    <d v="2026-02-01T19:24:54"/>
    <x v="0"/>
    <x v="3"/>
    <s v="Chat"/>
    <x v="3"/>
    <x v="2"/>
    <x v="2"/>
    <x v="1"/>
    <x v="8"/>
    <n v="63"/>
    <n v="4"/>
    <n v="0"/>
    <n v="3"/>
    <s v="No"/>
    <n v="120"/>
    <n v="24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131"/>
    <n v="31.61"/>
    <x v="823"/>
    <d v="2026-03-11T16:07:45"/>
    <x v="0"/>
    <x v="1"/>
    <s v="Web Form"/>
    <x v="0"/>
    <x v="2"/>
    <x v="2"/>
    <x v="1"/>
    <x v="6"/>
    <n v="197"/>
    <n v="3"/>
    <n v="0"/>
    <n v="6"/>
    <s v="No"/>
    <n v="240"/>
    <n v="48"/>
    <s v="Yes"/>
    <x v="0"/>
    <n v="2026"/>
    <n v="3"/>
    <s v="março"/>
    <x v="7"/>
    <s v="Neutral"/>
    <s v="No"/>
    <s v="Yes"/>
    <s v="Resolved"/>
    <n v="1"/>
    <n v="0"/>
    <n v="1"/>
    <n v="0"/>
    <n v="0"/>
    <n v="1"/>
    <n v="1"/>
  </r>
  <r>
    <s v="TKT-00303"/>
    <n v="19.03"/>
    <x v="824"/>
    <d v="2026-05-03T07:30:01"/>
    <x v="0"/>
    <x v="1"/>
    <s v="Phone"/>
    <x v="3"/>
    <x v="0"/>
    <x v="0"/>
    <x v="0"/>
    <x v="10"/>
    <n v="296"/>
    <n v="3"/>
    <n v="0"/>
    <n v="6"/>
    <s v="No"/>
    <n v="240"/>
    <n v="48"/>
    <s v="No"/>
    <x v="0"/>
    <n v="2026"/>
    <n v="5"/>
    <s v="maio"/>
    <x v="2"/>
    <s v="Neutral"/>
    <s v="No"/>
    <s v="Yes"/>
    <s v="Resolved"/>
    <n v="1"/>
    <n v="0"/>
    <n v="1"/>
    <n v="0"/>
    <n v="0"/>
    <n v="0"/>
    <n v="1"/>
  </r>
  <r>
    <s v="TKT-00123"/>
    <n v="63.98"/>
    <x v="825"/>
    <d v="2026-05-31T19:57:56"/>
    <x v="0"/>
    <x v="3"/>
    <s v="Email"/>
    <x v="2"/>
    <x v="2"/>
    <x v="0"/>
    <x v="3"/>
    <x v="6"/>
    <n v="62"/>
    <n v="3"/>
    <n v="1"/>
    <n v="6"/>
    <s v="No"/>
    <n v="120"/>
    <n v="24"/>
    <s v="Yes"/>
    <x v="1"/>
    <n v="2026"/>
    <n v="5"/>
    <s v="maio"/>
    <x v="2"/>
    <s v="Neutral"/>
    <s v="Yes"/>
    <s v="Yes"/>
    <s v="Resolved"/>
    <n v="1"/>
    <n v="0"/>
    <n v="1"/>
    <n v="1"/>
    <n v="0"/>
    <n v="1"/>
    <n v="0"/>
  </r>
  <r>
    <s v="TKT-00005"/>
    <n v="12.97"/>
    <x v="826"/>
    <d v="2026-07-28T19:37:58"/>
    <x v="0"/>
    <x v="3"/>
    <s v="Email"/>
    <x v="2"/>
    <x v="0"/>
    <x v="2"/>
    <x v="0"/>
    <x v="6"/>
    <n v="153"/>
    <n v="4"/>
    <n v="0"/>
    <n v="7"/>
    <s v="No"/>
    <n v="120"/>
    <n v="24"/>
    <s v="No"/>
    <x v="0"/>
    <n v="2026"/>
    <n v="7"/>
    <s v="julho"/>
    <x v="6"/>
    <s v="Satisfied"/>
    <s v="No"/>
    <s v="Yes"/>
    <s v="Resolved"/>
    <n v="1"/>
    <n v="0"/>
    <n v="1"/>
    <n v="0"/>
    <n v="0"/>
    <n v="0"/>
    <n v="1"/>
  </r>
  <r>
    <s v="TKT-00834"/>
    <n v="16.28"/>
    <x v="827"/>
    <d v="2026-01-31T07:55:00"/>
    <x v="0"/>
    <x v="2"/>
    <s v="Phone"/>
    <x v="0"/>
    <x v="1"/>
    <x v="2"/>
    <x v="4"/>
    <x v="3"/>
    <n v="41"/>
    <n v="5"/>
    <n v="0"/>
    <n v="5"/>
    <s v="No"/>
    <n v="30"/>
    <n v="8"/>
    <s v="No"/>
    <x v="1"/>
    <n v="2026"/>
    <n v="1"/>
    <s v="janeiro"/>
    <x v="1"/>
    <s v="Satisfied"/>
    <s v="No"/>
    <s v="Yes"/>
    <s v="Resolved"/>
    <n v="1"/>
    <n v="0"/>
    <n v="1"/>
    <n v="0"/>
    <n v="0"/>
    <n v="0"/>
    <n v="0"/>
  </r>
  <r>
    <s v="TKT-00285"/>
    <n v="50.3"/>
    <x v="828"/>
    <d v="2026-02-10T18:14:10"/>
    <x v="0"/>
    <x v="1"/>
    <s v="Chat"/>
    <x v="0"/>
    <x v="2"/>
    <x v="1"/>
    <x v="2"/>
    <x v="7"/>
    <n v="104"/>
    <n v="3"/>
    <n v="0"/>
    <n v="2"/>
    <s v="No"/>
    <n v="240"/>
    <n v="48"/>
    <s v="Yes"/>
    <x v="1"/>
    <n v="2026"/>
    <n v="2"/>
    <s v="fevereiro"/>
    <x v="4"/>
    <s v="Neutral"/>
    <s v="No"/>
    <s v="Yes"/>
    <s v="Resolved"/>
    <n v="1"/>
    <n v="0"/>
    <n v="1"/>
    <n v="0"/>
    <n v="0"/>
    <n v="1"/>
    <n v="0"/>
  </r>
  <r>
    <s v="TKT-00076"/>
    <n v="19.38"/>
    <x v="829"/>
    <d v="2026-04-17T06:38:58"/>
    <x v="0"/>
    <x v="3"/>
    <s v="Chat"/>
    <x v="0"/>
    <x v="1"/>
    <x v="1"/>
    <x v="1"/>
    <x v="3"/>
    <n v="93"/>
    <n v="4"/>
    <n v="0"/>
    <n v="6"/>
    <s v="No"/>
    <n v="120"/>
    <n v="24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373"/>
    <n v="17.03"/>
    <x v="830"/>
    <d v="2026-07-22T07:01:59"/>
    <x v="0"/>
    <x v="3"/>
    <s v="Email"/>
    <x v="0"/>
    <x v="2"/>
    <x v="3"/>
    <x v="2"/>
    <x v="9"/>
    <n v="99"/>
    <n v="4"/>
    <n v="0"/>
    <n v="4"/>
    <s v="No"/>
    <n v="120"/>
    <n v="24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945"/>
    <n v="31.43"/>
    <x v="831"/>
    <d v="2026-04-27T11:04:54"/>
    <x v="0"/>
    <x v="3"/>
    <s v="Email"/>
    <x v="4"/>
    <x v="0"/>
    <x v="1"/>
    <x v="0"/>
    <x v="7"/>
    <n v="89"/>
    <n v="4"/>
    <n v="0"/>
    <n v="3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1043"/>
    <m/>
    <x v="832"/>
    <m/>
    <x v="2"/>
    <x v="3"/>
    <s v="Web Form"/>
    <x v="2"/>
    <x v="0"/>
    <x v="1"/>
    <x v="2"/>
    <x v="5"/>
    <n v="66"/>
    <m/>
    <n v="0"/>
    <n v="6"/>
    <s v="No"/>
    <n v="120"/>
    <n v="24"/>
    <s v="Yes"/>
    <x v="2"/>
    <n v="2026"/>
    <n v="6"/>
    <s v="junho"/>
    <x v="5"/>
    <s v="No Response"/>
    <s v="No"/>
    <s v="No"/>
    <s v="Pending"/>
    <n v="1"/>
    <n v="1"/>
    <n v="0"/>
    <n v="0"/>
    <n v="0"/>
    <n v="1"/>
    <m/>
  </r>
  <r>
    <s v="TKT-00839"/>
    <n v="58.4"/>
    <x v="833"/>
    <d v="2026-05-01T20:49:15"/>
    <x v="0"/>
    <x v="3"/>
    <s v="Web Form"/>
    <x v="2"/>
    <x v="1"/>
    <x v="1"/>
    <x v="1"/>
    <x v="10"/>
    <n v="142"/>
    <n v="4"/>
    <n v="0"/>
    <n v="6"/>
    <s v="No"/>
    <n v="120"/>
    <n v="24"/>
    <s v="No"/>
    <x v="1"/>
    <n v="2026"/>
    <n v="4"/>
    <s v="abril"/>
    <x v="0"/>
    <s v="Satisfied"/>
    <s v="No"/>
    <s v="Yes"/>
    <s v="Resolved"/>
    <n v="1"/>
    <n v="0"/>
    <n v="1"/>
    <n v="0"/>
    <n v="0"/>
    <n v="0"/>
    <n v="0"/>
  </r>
  <r>
    <s v="TKT-01127"/>
    <n v="30.51"/>
    <x v="834"/>
    <d v="2026-08-07T05:14:26"/>
    <x v="0"/>
    <x v="1"/>
    <s v="Email"/>
    <x v="0"/>
    <x v="1"/>
    <x v="2"/>
    <x v="4"/>
    <x v="1"/>
    <n v="177"/>
    <n v="4"/>
    <n v="0"/>
    <n v="6"/>
    <s v="No"/>
    <n v="240"/>
    <n v="48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179"/>
    <n v="12.57"/>
    <x v="835"/>
    <d v="2026-06-25T04:51:13"/>
    <x v="0"/>
    <x v="3"/>
    <s v="Chat"/>
    <x v="3"/>
    <x v="2"/>
    <x v="2"/>
    <x v="1"/>
    <x v="7"/>
    <n v="153"/>
    <n v="4"/>
    <n v="0"/>
    <n v="7"/>
    <s v="No"/>
    <n v="120"/>
    <n v="24"/>
    <s v="No"/>
    <x v="0"/>
    <n v="2026"/>
    <n v="6"/>
    <s v="junho"/>
    <x v="5"/>
    <s v="Satisfied"/>
    <s v="No"/>
    <s v="Yes"/>
    <s v="Resolved"/>
    <n v="1"/>
    <n v="0"/>
    <n v="1"/>
    <n v="0"/>
    <n v="0"/>
    <n v="0"/>
    <n v="1"/>
  </r>
  <r>
    <s v="TKT-00176"/>
    <n v="66.2"/>
    <x v="836"/>
    <d v="2026-02-24T22:45:09"/>
    <x v="0"/>
    <x v="1"/>
    <s v="Chat"/>
    <x v="4"/>
    <x v="2"/>
    <x v="0"/>
    <x v="3"/>
    <x v="10"/>
    <n v="95"/>
    <n v="3"/>
    <n v="1"/>
    <n v="10"/>
    <s v="No"/>
    <n v="240"/>
    <n v="48"/>
    <s v="Yes"/>
    <x v="1"/>
    <n v="2026"/>
    <n v="2"/>
    <s v="fevereiro"/>
    <x v="4"/>
    <s v="Neutral"/>
    <s v="Yes"/>
    <s v="Yes"/>
    <s v="Resolved"/>
    <n v="1"/>
    <n v="0"/>
    <n v="1"/>
    <n v="1"/>
    <n v="0"/>
    <n v="1"/>
    <n v="0"/>
  </r>
  <r>
    <s v="TKT-00723"/>
    <n v="54.87"/>
    <x v="837"/>
    <d v="2026-03-13T10:11:23"/>
    <x v="0"/>
    <x v="1"/>
    <s v="Phone"/>
    <x v="4"/>
    <x v="2"/>
    <x v="1"/>
    <x v="3"/>
    <x v="0"/>
    <n v="232"/>
    <n v="3"/>
    <n v="0"/>
    <n v="7"/>
    <s v="No"/>
    <n v="240"/>
    <n v="48"/>
    <s v="Yes"/>
    <x v="1"/>
    <n v="2026"/>
    <n v="3"/>
    <s v="março"/>
    <x v="7"/>
    <s v="Neutral"/>
    <s v="No"/>
    <s v="Yes"/>
    <s v="Resolved"/>
    <n v="1"/>
    <n v="0"/>
    <n v="1"/>
    <n v="0"/>
    <n v="0"/>
    <n v="1"/>
    <n v="0"/>
  </r>
  <r>
    <s v="TKT-00968"/>
    <n v="28.47"/>
    <x v="838"/>
    <d v="2026-04-19T03:15:59"/>
    <x v="0"/>
    <x v="1"/>
    <s v="Email"/>
    <x v="4"/>
    <x v="2"/>
    <x v="1"/>
    <x v="0"/>
    <x v="9"/>
    <n v="374"/>
    <n v="3"/>
    <n v="0"/>
    <n v="7"/>
    <s v="No"/>
    <n v="240"/>
    <n v="48"/>
    <s v="No"/>
    <x v="0"/>
    <n v="2026"/>
    <n v="4"/>
    <s v="abril"/>
    <x v="0"/>
    <s v="Neutral"/>
    <s v="No"/>
    <s v="Yes"/>
    <s v="Resolved"/>
    <n v="1"/>
    <n v="0"/>
    <n v="1"/>
    <n v="0"/>
    <n v="0"/>
    <n v="0"/>
    <n v="1"/>
  </r>
  <r>
    <s v="TKT-00057"/>
    <n v="18.62"/>
    <x v="839"/>
    <d v="2026-03-06T22:50:56"/>
    <x v="0"/>
    <x v="3"/>
    <s v="Web Form"/>
    <x v="2"/>
    <x v="1"/>
    <x v="1"/>
    <x v="1"/>
    <x v="9"/>
    <n v="52"/>
    <n v="4"/>
    <n v="0"/>
    <n v="6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1144"/>
    <n v="28.84"/>
    <x v="840"/>
    <d v="2026-04-30T19:04:28"/>
    <x v="0"/>
    <x v="4"/>
    <s v="Email"/>
    <x v="2"/>
    <x v="2"/>
    <x v="0"/>
    <x v="3"/>
    <x v="3"/>
    <n v="341"/>
    <n v="3"/>
    <n v="0"/>
    <n v="5"/>
    <s v="No"/>
    <m/>
    <m/>
    <m/>
    <x v="3"/>
    <n v="2026"/>
    <n v="4"/>
    <s v="abril"/>
    <x v="0"/>
    <s v="Neutral"/>
    <s v="No"/>
    <s v="Yes"/>
    <s v="Resolved"/>
    <n v="1"/>
    <n v="0"/>
    <n v="1"/>
    <n v="0"/>
    <n v="0"/>
    <m/>
    <m/>
  </r>
  <r>
    <s v="TKT-00294"/>
    <n v="15.25"/>
    <x v="841"/>
    <d v="2026-07-14T10:13:10"/>
    <x v="0"/>
    <x v="3"/>
    <s v="Chat"/>
    <x v="0"/>
    <x v="2"/>
    <x v="2"/>
    <x v="1"/>
    <x v="2"/>
    <n v="105"/>
    <n v="4"/>
    <n v="0"/>
    <n v="7"/>
    <s v="No"/>
    <n v="120"/>
    <n v="24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078"/>
    <n v="17.73"/>
    <x v="842"/>
    <d v="2026-07-14T03:09:52"/>
    <x v="0"/>
    <x v="3"/>
    <s v="Email"/>
    <x v="3"/>
    <x v="1"/>
    <x v="1"/>
    <x v="2"/>
    <x v="6"/>
    <n v="79"/>
    <n v="5"/>
    <n v="0"/>
    <n v="2"/>
    <s v="No"/>
    <n v="120"/>
    <n v="24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826"/>
    <n v="31.18"/>
    <x v="843"/>
    <d v="2026-05-05T04:26:43"/>
    <x v="0"/>
    <x v="3"/>
    <s v="Email"/>
    <x v="1"/>
    <x v="2"/>
    <x v="2"/>
    <x v="5"/>
    <x v="3"/>
    <n v="91"/>
    <n v="4"/>
    <n v="0"/>
    <n v="7"/>
    <s v="No"/>
    <n v="120"/>
    <n v="24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009"/>
    <n v="7.62"/>
    <x v="844"/>
    <d v="2026-05-04T18:05:21"/>
    <x v="0"/>
    <x v="3"/>
    <s v="Phone"/>
    <x v="0"/>
    <x v="0"/>
    <x v="2"/>
    <x v="0"/>
    <x v="4"/>
    <n v="125"/>
    <n v="4"/>
    <n v="0"/>
    <n v="4"/>
    <s v="No"/>
    <n v="120"/>
    <n v="24"/>
    <s v="No"/>
    <x v="0"/>
    <n v="2026"/>
    <n v="5"/>
    <s v="maio"/>
    <x v="2"/>
    <s v="Satisfied"/>
    <s v="No"/>
    <s v="Yes"/>
    <s v="Resolved"/>
    <n v="1"/>
    <n v="0"/>
    <n v="1"/>
    <n v="0"/>
    <n v="0"/>
    <n v="0"/>
    <n v="1"/>
  </r>
  <r>
    <s v="TKT-00810"/>
    <n v="3.9"/>
    <x v="845"/>
    <d v="2026-07-05T08:56:05"/>
    <x v="0"/>
    <x v="2"/>
    <s v="Web Form"/>
    <x v="0"/>
    <x v="2"/>
    <x v="0"/>
    <x v="0"/>
    <x v="4"/>
    <n v="61"/>
    <n v="4"/>
    <n v="0"/>
    <n v="2"/>
    <s v="No"/>
    <n v="30"/>
    <n v="8"/>
    <s v="No"/>
    <x v="0"/>
    <n v="2026"/>
    <n v="7"/>
    <s v="julho"/>
    <x v="6"/>
    <s v="Satisfied"/>
    <s v="No"/>
    <s v="Yes"/>
    <s v="Resolved"/>
    <n v="1"/>
    <n v="0"/>
    <n v="1"/>
    <n v="0"/>
    <n v="0"/>
    <n v="0"/>
    <n v="1"/>
  </r>
  <r>
    <s v="TKT-00975"/>
    <n v="35.53"/>
    <x v="846"/>
    <d v="2026-03-29T03:39:00"/>
    <x v="0"/>
    <x v="3"/>
    <s v="Email"/>
    <x v="3"/>
    <x v="1"/>
    <x v="0"/>
    <x v="1"/>
    <x v="9"/>
    <n v="198"/>
    <n v="3"/>
    <n v="1"/>
    <n v="6"/>
    <s v="No"/>
    <n v="120"/>
    <n v="24"/>
    <s v="No"/>
    <x v="1"/>
    <n v="2026"/>
    <n v="3"/>
    <s v="março"/>
    <x v="7"/>
    <s v="Neutral"/>
    <s v="Yes"/>
    <s v="Yes"/>
    <s v="Resolved"/>
    <n v="1"/>
    <n v="0"/>
    <n v="1"/>
    <n v="1"/>
    <n v="0"/>
    <n v="0"/>
    <n v="0"/>
  </r>
  <r>
    <s v="TKT-00119"/>
    <n v="41.11"/>
    <x v="847"/>
    <d v="2026-05-23T05:18:44"/>
    <x v="0"/>
    <x v="3"/>
    <s v="Email"/>
    <x v="3"/>
    <x v="2"/>
    <x v="1"/>
    <x v="1"/>
    <x v="9"/>
    <n v="60"/>
    <n v="4"/>
    <n v="0"/>
    <n v="5"/>
    <s v="No"/>
    <n v="120"/>
    <n v="24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969"/>
    <n v="14.69"/>
    <x v="848"/>
    <d v="2026-03-19T18:03:11"/>
    <x v="0"/>
    <x v="3"/>
    <s v="Chat"/>
    <x v="1"/>
    <x v="1"/>
    <x v="2"/>
    <x v="4"/>
    <x v="10"/>
    <n v="52"/>
    <n v="4"/>
    <n v="1"/>
    <n v="11"/>
    <s v="No"/>
    <n v="120"/>
    <n v="24"/>
    <s v="Yes"/>
    <x v="0"/>
    <n v="2026"/>
    <n v="3"/>
    <s v="março"/>
    <x v="7"/>
    <s v="Satisfied"/>
    <s v="Yes"/>
    <s v="Yes"/>
    <s v="Resolved"/>
    <n v="1"/>
    <n v="0"/>
    <n v="1"/>
    <n v="1"/>
    <n v="0"/>
    <n v="1"/>
    <n v="1"/>
  </r>
  <r>
    <s v="TKT-00754"/>
    <n v="10.52"/>
    <x v="849"/>
    <d v="2026-04-04T03:40:59"/>
    <x v="0"/>
    <x v="2"/>
    <s v="Chat"/>
    <x v="1"/>
    <x v="2"/>
    <x v="1"/>
    <x v="4"/>
    <x v="7"/>
    <n v="49"/>
    <n v="4"/>
    <n v="0"/>
    <n v="2"/>
    <s v="No"/>
    <n v="30"/>
    <n v="8"/>
    <s v="No"/>
    <x v="1"/>
    <n v="2026"/>
    <n v="4"/>
    <s v="abril"/>
    <x v="0"/>
    <s v="Satisfied"/>
    <s v="No"/>
    <s v="Yes"/>
    <s v="Resolved"/>
    <n v="1"/>
    <n v="0"/>
    <n v="1"/>
    <n v="0"/>
    <n v="0"/>
    <n v="0"/>
    <n v="0"/>
  </r>
  <r>
    <s v="TKT-01158"/>
    <n v="71.58"/>
    <x v="850"/>
    <d v="2026-02-16T03:56:36"/>
    <x v="0"/>
    <x v="3"/>
    <s v="Email"/>
    <x v="0"/>
    <x v="1"/>
    <x v="3"/>
    <x v="1"/>
    <x v="8"/>
    <n v="132"/>
    <n v="3"/>
    <n v="0"/>
    <n v="12"/>
    <s v="Yes"/>
    <n v="120"/>
    <n v="24"/>
    <s v="No"/>
    <x v="1"/>
    <n v="2026"/>
    <n v="2"/>
    <s v="fevereiro"/>
    <x v="4"/>
    <s v="Neutral"/>
    <s v="No"/>
    <s v="Yes"/>
    <s v="Resolved"/>
    <n v="1"/>
    <n v="0"/>
    <n v="1"/>
    <n v="0"/>
    <n v="1"/>
    <n v="0"/>
    <n v="0"/>
  </r>
  <r>
    <s v="TKT-00027"/>
    <n v="27.26"/>
    <x v="851"/>
    <d v="2026-02-04T09:53:26"/>
    <x v="0"/>
    <x v="1"/>
    <s v="Email"/>
    <x v="0"/>
    <x v="1"/>
    <x v="1"/>
    <x v="2"/>
    <x v="0"/>
    <n v="285"/>
    <n v="4"/>
    <n v="0"/>
    <n v="7"/>
    <s v="No"/>
    <n v="240"/>
    <n v="48"/>
    <s v="No"/>
    <x v="0"/>
    <n v="2026"/>
    <n v="2"/>
    <s v="fevereiro"/>
    <x v="4"/>
    <s v="Satisfied"/>
    <s v="No"/>
    <s v="Yes"/>
    <s v="Resolved"/>
    <n v="1"/>
    <n v="0"/>
    <n v="1"/>
    <n v="0"/>
    <n v="0"/>
    <n v="0"/>
    <n v="1"/>
  </r>
  <r>
    <s v="TKT-00449"/>
    <n v="72.41"/>
    <x v="852"/>
    <d v="2026-06-16T15:08:50"/>
    <x v="0"/>
    <x v="1"/>
    <s v="Email"/>
    <x v="3"/>
    <x v="2"/>
    <x v="3"/>
    <x v="3"/>
    <x v="5"/>
    <n v="147"/>
    <n v="4"/>
    <n v="0"/>
    <n v="3"/>
    <s v="No"/>
    <n v="240"/>
    <n v="48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1049"/>
    <n v="17.23"/>
    <x v="853"/>
    <d v="2026-01-06T09:19:03"/>
    <x v="0"/>
    <x v="3"/>
    <s v="Web Form"/>
    <x v="0"/>
    <x v="2"/>
    <x v="2"/>
    <x v="1"/>
    <x v="7"/>
    <n v="101"/>
    <n v="4"/>
    <n v="0"/>
    <n v="7"/>
    <s v="No"/>
    <n v="120"/>
    <n v="2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107"/>
    <n v="3.83"/>
    <x v="854"/>
    <d v="2026-04-25T09:47:53"/>
    <x v="0"/>
    <x v="0"/>
    <s v="Web Form"/>
    <x v="0"/>
    <x v="1"/>
    <x v="0"/>
    <x v="1"/>
    <x v="7"/>
    <n v="21"/>
    <n v="5"/>
    <n v="0"/>
    <n v="7"/>
    <s v="No"/>
    <n v="15"/>
    <n v="4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0735"/>
    <n v="30.98"/>
    <x v="855"/>
    <d v="2026-04-28T17:23:35"/>
    <x v="0"/>
    <x v="3"/>
    <s v="Email"/>
    <x v="3"/>
    <x v="1"/>
    <x v="2"/>
    <x v="3"/>
    <x v="10"/>
    <n v="62"/>
    <n v="4"/>
    <n v="0"/>
    <n v="6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790"/>
    <n v="3.9"/>
    <x v="856"/>
    <d v="2026-07-15T21:27:17"/>
    <x v="0"/>
    <x v="3"/>
    <s v="Chat"/>
    <x v="2"/>
    <x v="1"/>
    <x v="0"/>
    <x v="0"/>
    <x v="0"/>
    <n v="204"/>
    <n v="4"/>
    <n v="0"/>
    <n v="5"/>
    <s v="No"/>
    <n v="120"/>
    <n v="24"/>
    <s v="No"/>
    <x v="0"/>
    <n v="2026"/>
    <n v="7"/>
    <s v="julho"/>
    <x v="6"/>
    <s v="Satisfied"/>
    <s v="No"/>
    <s v="Yes"/>
    <s v="Resolved"/>
    <n v="1"/>
    <n v="0"/>
    <n v="1"/>
    <n v="0"/>
    <n v="0"/>
    <n v="0"/>
    <n v="1"/>
  </r>
  <r>
    <s v="TKT-00185"/>
    <n v="31.19"/>
    <x v="857"/>
    <d v="2026-02-09T17:10:35"/>
    <x v="0"/>
    <x v="3"/>
    <s v="Chat"/>
    <x v="2"/>
    <x v="1"/>
    <x v="1"/>
    <x v="4"/>
    <x v="2"/>
    <n v="187"/>
    <n v="3"/>
    <n v="2"/>
    <n v="13"/>
    <s v="No"/>
    <n v="120"/>
    <n v="24"/>
    <s v="No"/>
    <x v="1"/>
    <n v="2026"/>
    <n v="2"/>
    <s v="fevereiro"/>
    <x v="4"/>
    <s v="Neutral"/>
    <s v="Yes"/>
    <s v="Yes"/>
    <s v="Resolved"/>
    <n v="1"/>
    <n v="0"/>
    <n v="1"/>
    <n v="1"/>
    <n v="0"/>
    <n v="0"/>
    <n v="0"/>
  </r>
  <r>
    <s v="TKT-00061"/>
    <n v="35.07"/>
    <x v="858"/>
    <d v="2026-06-03T18:55:29"/>
    <x v="0"/>
    <x v="2"/>
    <s v="Phone"/>
    <x v="0"/>
    <x v="1"/>
    <x v="0"/>
    <x v="5"/>
    <x v="0"/>
    <n v="54"/>
    <n v="4"/>
    <n v="0"/>
    <n v="6"/>
    <s v="No"/>
    <n v="30"/>
    <n v="8"/>
    <s v="No"/>
    <x v="1"/>
    <n v="2026"/>
    <n v="6"/>
    <s v="junho"/>
    <x v="5"/>
    <s v="Satisfied"/>
    <s v="No"/>
    <s v="Yes"/>
    <s v="Resolved"/>
    <n v="1"/>
    <n v="0"/>
    <n v="1"/>
    <n v="0"/>
    <n v="0"/>
    <n v="0"/>
    <n v="0"/>
  </r>
  <r>
    <s v="TKT-00275"/>
    <n v="14.77"/>
    <x v="859"/>
    <d v="2026-04-28T03:09:08"/>
    <x v="0"/>
    <x v="2"/>
    <s v="Phone"/>
    <x v="0"/>
    <x v="0"/>
    <x v="2"/>
    <x v="1"/>
    <x v="1"/>
    <n v="184"/>
    <n v="4"/>
    <n v="0"/>
    <n v="3"/>
    <s v="No"/>
    <n v="30"/>
    <n v="8"/>
    <s v="No"/>
    <x v="1"/>
    <n v="2026"/>
    <n v="4"/>
    <s v="abril"/>
    <x v="0"/>
    <s v="Satisfied"/>
    <s v="No"/>
    <s v="Yes"/>
    <s v="Resolved"/>
    <n v="1"/>
    <n v="0"/>
    <n v="1"/>
    <n v="0"/>
    <n v="0"/>
    <n v="0"/>
    <n v="0"/>
  </r>
  <r>
    <s v="TKT-01139"/>
    <n v="6.79"/>
    <x v="860"/>
    <d v="2026-04-26T01:52:16"/>
    <x v="0"/>
    <x v="0"/>
    <s v="Chat"/>
    <x v="0"/>
    <x v="0"/>
    <x v="3"/>
    <x v="1"/>
    <x v="9"/>
    <n v="14"/>
    <n v="3"/>
    <n v="2"/>
    <n v="12"/>
    <s v="No"/>
    <n v="15"/>
    <n v="4"/>
    <s v="Yes"/>
    <x v="1"/>
    <n v="2026"/>
    <n v="4"/>
    <s v="abril"/>
    <x v="0"/>
    <s v="Neutral"/>
    <s v="Yes"/>
    <s v="Yes"/>
    <s v="Resolved"/>
    <n v="1"/>
    <n v="0"/>
    <n v="1"/>
    <n v="1"/>
    <n v="0"/>
    <n v="1"/>
    <n v="0"/>
  </r>
  <r>
    <s v="TKT-01159"/>
    <n v="35.22"/>
    <x v="861"/>
    <d v="2026-06-16T04:47:28"/>
    <x v="0"/>
    <x v="1"/>
    <s v="Chat"/>
    <x v="0"/>
    <x v="2"/>
    <x v="1"/>
    <x v="4"/>
    <x v="1"/>
    <n v="462"/>
    <n v="3"/>
    <n v="0"/>
    <n v="7"/>
    <s v="No"/>
    <n v="240"/>
    <n v="48"/>
    <s v="No"/>
    <x v="0"/>
    <n v="2026"/>
    <n v="6"/>
    <s v="junho"/>
    <x v="5"/>
    <s v="Neutral"/>
    <s v="No"/>
    <s v="Yes"/>
    <s v="Resolved"/>
    <n v="1"/>
    <n v="0"/>
    <n v="1"/>
    <n v="0"/>
    <n v="0"/>
    <n v="0"/>
    <n v="1"/>
  </r>
  <r>
    <s v="TKT-00360"/>
    <n v="34.69"/>
    <x v="862"/>
    <d v="2026-04-15T14:46:23"/>
    <x v="0"/>
    <x v="1"/>
    <s v="Web Form"/>
    <x v="0"/>
    <x v="0"/>
    <x v="3"/>
    <x v="2"/>
    <x v="7"/>
    <n v="62"/>
    <n v="4"/>
    <n v="0"/>
    <n v="8"/>
    <s v="Yes"/>
    <n v="240"/>
    <n v="48"/>
    <s v="Yes"/>
    <x v="0"/>
    <n v="2026"/>
    <n v="4"/>
    <s v="abril"/>
    <x v="0"/>
    <s v="Satisfied"/>
    <s v="No"/>
    <s v="Yes"/>
    <s v="Resolved"/>
    <n v="1"/>
    <n v="0"/>
    <n v="1"/>
    <n v="0"/>
    <n v="1"/>
    <n v="1"/>
    <n v="1"/>
  </r>
  <r>
    <s v="TKT-00265"/>
    <n v="4.95"/>
    <x v="863"/>
    <d v="2026-01-25T11:23:45"/>
    <x v="0"/>
    <x v="2"/>
    <s v="Phone"/>
    <x v="4"/>
    <x v="0"/>
    <x v="1"/>
    <x v="2"/>
    <x v="0"/>
    <n v="33"/>
    <n v="4"/>
    <n v="0"/>
    <n v="6"/>
    <s v="No"/>
    <n v="30"/>
    <n v="8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0085"/>
    <n v="6.98"/>
    <x v="864"/>
    <d v="2026-01-18T13:34:53"/>
    <x v="0"/>
    <x v="0"/>
    <s v="Chat"/>
    <x v="3"/>
    <x v="2"/>
    <x v="1"/>
    <x v="4"/>
    <x v="6"/>
    <n v="14"/>
    <n v="5"/>
    <n v="0"/>
    <n v="3"/>
    <s v="No"/>
    <n v="15"/>
    <n v="4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562"/>
    <n v="21.47"/>
    <x v="865"/>
    <d v="2026-05-22T12:05:28"/>
    <x v="0"/>
    <x v="2"/>
    <s v="Chat"/>
    <x v="0"/>
    <x v="2"/>
    <x v="0"/>
    <x v="5"/>
    <x v="7"/>
    <n v="53"/>
    <n v="4"/>
    <n v="0"/>
    <n v="3"/>
    <s v="No"/>
    <n v="30"/>
    <n v="8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813"/>
    <n v="7.95"/>
    <x v="866"/>
    <d v="2026-02-24T10:07:55"/>
    <x v="0"/>
    <x v="2"/>
    <s v="Email"/>
    <x v="1"/>
    <x v="1"/>
    <x v="0"/>
    <x v="1"/>
    <x v="5"/>
    <n v="16"/>
    <n v="5"/>
    <n v="0"/>
    <n v="7"/>
    <s v="No"/>
    <n v="30"/>
    <n v="8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734"/>
    <n v="6.71"/>
    <x v="867"/>
    <d v="2026-06-26T15:59:36"/>
    <x v="0"/>
    <x v="0"/>
    <s v="Web Form"/>
    <x v="3"/>
    <x v="1"/>
    <x v="2"/>
    <x v="3"/>
    <x v="7"/>
    <n v="15"/>
    <n v="4"/>
    <n v="0"/>
    <n v="7"/>
    <s v="No"/>
    <n v="15"/>
    <n v="4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0678"/>
    <n v="22.13"/>
    <x v="868"/>
    <d v="2026-02-18T16:12:39"/>
    <x v="0"/>
    <x v="2"/>
    <s v="Phone"/>
    <x v="3"/>
    <x v="1"/>
    <x v="2"/>
    <x v="1"/>
    <x v="2"/>
    <n v="35"/>
    <n v="4"/>
    <n v="0"/>
    <n v="5"/>
    <s v="No"/>
    <n v="30"/>
    <n v="8"/>
    <s v="No"/>
    <x v="1"/>
    <n v="2026"/>
    <n v="2"/>
    <s v="fevereiro"/>
    <x v="4"/>
    <s v="Satisfied"/>
    <s v="No"/>
    <s v="Yes"/>
    <s v="Resolved"/>
    <n v="1"/>
    <n v="0"/>
    <n v="1"/>
    <n v="0"/>
    <n v="0"/>
    <n v="0"/>
    <n v="0"/>
  </r>
  <r>
    <s v="TKT-01130"/>
    <n v="33.82"/>
    <x v="869"/>
    <d v="2026-09-01T00:24:13"/>
    <x v="0"/>
    <x v="3"/>
    <s v="Email"/>
    <x v="0"/>
    <x v="0"/>
    <x v="3"/>
    <x v="3"/>
    <x v="3"/>
    <n v="99"/>
    <n v="3"/>
    <n v="1"/>
    <n v="6"/>
    <s v="No"/>
    <n v="120"/>
    <n v="24"/>
    <s v="Yes"/>
    <x v="1"/>
    <n v="2026"/>
    <n v="8"/>
    <s v="agosto"/>
    <x v="3"/>
    <s v="Neutral"/>
    <s v="Yes"/>
    <s v="Yes"/>
    <s v="Resolved"/>
    <n v="1"/>
    <n v="0"/>
    <n v="1"/>
    <n v="1"/>
    <n v="0"/>
    <n v="1"/>
    <n v="0"/>
  </r>
  <r>
    <s v="TKT-00683"/>
    <n v="7.11"/>
    <x v="870"/>
    <d v="2026-08-19T05:49:49"/>
    <x v="0"/>
    <x v="2"/>
    <s v="Email"/>
    <x v="0"/>
    <x v="2"/>
    <x v="2"/>
    <x v="0"/>
    <x v="9"/>
    <n v="48"/>
    <n v="4"/>
    <n v="0"/>
    <n v="2"/>
    <s v="No"/>
    <n v="30"/>
    <n v="8"/>
    <s v="No"/>
    <x v="0"/>
    <n v="2026"/>
    <n v="8"/>
    <s v="agosto"/>
    <x v="3"/>
    <s v="Satisfied"/>
    <s v="No"/>
    <s v="Yes"/>
    <s v="Resolved"/>
    <n v="1"/>
    <n v="0"/>
    <n v="1"/>
    <n v="0"/>
    <n v="0"/>
    <n v="0"/>
    <n v="1"/>
  </r>
  <r>
    <s v="TKT-00358"/>
    <m/>
    <x v="871"/>
    <m/>
    <x v="2"/>
    <x v="1"/>
    <s v="Phone"/>
    <x v="2"/>
    <x v="0"/>
    <x v="1"/>
    <x v="0"/>
    <x v="1"/>
    <n v="220"/>
    <m/>
    <n v="0"/>
    <n v="3"/>
    <s v="No"/>
    <n v="240"/>
    <n v="48"/>
    <s v="Yes"/>
    <x v="2"/>
    <n v="2026"/>
    <n v="6"/>
    <s v="junho"/>
    <x v="5"/>
    <s v="No Response"/>
    <s v="No"/>
    <s v="No"/>
    <s v="Pending"/>
    <n v="1"/>
    <n v="1"/>
    <n v="0"/>
    <n v="0"/>
    <n v="0"/>
    <n v="1"/>
    <m/>
  </r>
  <r>
    <s v="TKT-00156"/>
    <n v="20.27"/>
    <x v="872"/>
    <d v="2026-03-16T21:50:05"/>
    <x v="0"/>
    <x v="3"/>
    <s v="Chat"/>
    <x v="2"/>
    <x v="2"/>
    <x v="0"/>
    <x v="1"/>
    <x v="2"/>
    <n v="41"/>
    <n v="4"/>
    <n v="0"/>
    <n v="6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714"/>
    <n v="23.91"/>
    <x v="873"/>
    <d v="2026-03-04T07:01:46"/>
    <x v="0"/>
    <x v="1"/>
    <s v="Email"/>
    <x v="3"/>
    <x v="1"/>
    <x v="1"/>
    <x v="2"/>
    <x v="0"/>
    <n v="249"/>
    <n v="4"/>
    <n v="0"/>
    <n v="3"/>
    <s v="No"/>
    <n v="240"/>
    <n v="48"/>
    <s v="No"/>
    <x v="0"/>
    <n v="2026"/>
    <n v="3"/>
    <s v="março"/>
    <x v="7"/>
    <s v="Satisfied"/>
    <s v="No"/>
    <s v="Yes"/>
    <s v="Resolved"/>
    <n v="1"/>
    <n v="0"/>
    <n v="1"/>
    <n v="0"/>
    <n v="0"/>
    <n v="0"/>
    <n v="1"/>
  </r>
  <r>
    <s v="TKT-01156"/>
    <n v="43.83"/>
    <x v="874"/>
    <d v="2026-03-16T21:24:42"/>
    <x v="0"/>
    <x v="3"/>
    <s v="Chat"/>
    <x v="0"/>
    <x v="1"/>
    <x v="0"/>
    <x v="1"/>
    <x v="7"/>
    <n v="147"/>
    <n v="3"/>
    <n v="1"/>
    <n v="10"/>
    <s v="Yes"/>
    <n v="120"/>
    <n v="24"/>
    <s v="No"/>
    <x v="1"/>
    <n v="2026"/>
    <n v="3"/>
    <s v="março"/>
    <x v="7"/>
    <s v="Neutral"/>
    <s v="Yes"/>
    <s v="Yes"/>
    <s v="Resolved"/>
    <n v="1"/>
    <n v="0"/>
    <n v="1"/>
    <n v="1"/>
    <n v="1"/>
    <n v="0"/>
    <n v="0"/>
  </r>
  <r>
    <s v="TKT-00033"/>
    <n v="16.28"/>
    <x v="875"/>
    <d v="2026-02-12T05:02:50"/>
    <x v="0"/>
    <x v="2"/>
    <s v="Email"/>
    <x v="4"/>
    <x v="1"/>
    <x v="3"/>
    <x v="5"/>
    <x v="8"/>
    <n v="34"/>
    <n v="5"/>
    <n v="0"/>
    <n v="6"/>
    <s v="No"/>
    <n v="30"/>
    <n v="8"/>
    <s v="No"/>
    <x v="1"/>
    <n v="2026"/>
    <n v="2"/>
    <s v="fevereiro"/>
    <x v="4"/>
    <s v="Satisfied"/>
    <s v="No"/>
    <s v="Yes"/>
    <s v="Resolved"/>
    <n v="1"/>
    <n v="0"/>
    <n v="1"/>
    <n v="0"/>
    <n v="0"/>
    <n v="0"/>
    <n v="0"/>
  </r>
  <r>
    <s v="TKT-00154"/>
    <n v="1.55"/>
    <x v="876"/>
    <d v="2026-04-24T16:48:52"/>
    <x v="0"/>
    <x v="0"/>
    <s v="Email"/>
    <x v="0"/>
    <x v="1"/>
    <x v="1"/>
    <x v="2"/>
    <x v="10"/>
    <n v="24"/>
    <n v="4"/>
    <n v="0"/>
    <n v="2"/>
    <s v="No"/>
    <n v="15"/>
    <n v="4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1016"/>
    <n v="31.1"/>
    <x v="877"/>
    <d v="2026-05-10T16:56:06"/>
    <x v="0"/>
    <x v="1"/>
    <s v="Phone"/>
    <x v="1"/>
    <x v="2"/>
    <x v="1"/>
    <x v="0"/>
    <x v="7"/>
    <n v="100"/>
    <n v="3"/>
    <n v="2"/>
    <n v="8"/>
    <s v="No"/>
    <n v="240"/>
    <n v="48"/>
    <s v="Yes"/>
    <x v="0"/>
    <n v="2026"/>
    <n v="5"/>
    <s v="maio"/>
    <x v="2"/>
    <s v="Neutral"/>
    <s v="Yes"/>
    <s v="Yes"/>
    <s v="Resolved"/>
    <n v="1"/>
    <n v="0"/>
    <n v="1"/>
    <n v="1"/>
    <n v="0"/>
    <n v="1"/>
    <n v="1"/>
  </r>
  <r>
    <s v="TKT-00237"/>
    <n v="38.53"/>
    <x v="878"/>
    <d v="2026-04-05T02:31:47"/>
    <x v="0"/>
    <x v="3"/>
    <s v="Chat"/>
    <x v="3"/>
    <x v="1"/>
    <x v="1"/>
    <x v="3"/>
    <x v="3"/>
    <n v="65"/>
    <n v="4"/>
    <n v="0"/>
    <n v="7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213"/>
    <n v="52.39"/>
    <x v="879"/>
    <d v="2026-04-12T23:57:13"/>
    <x v="0"/>
    <x v="3"/>
    <s v="Web Form"/>
    <x v="0"/>
    <x v="1"/>
    <x v="3"/>
    <x v="1"/>
    <x v="6"/>
    <n v="105"/>
    <n v="3"/>
    <n v="0"/>
    <n v="2"/>
    <s v="No"/>
    <n v="120"/>
    <n v="24"/>
    <s v="Yes"/>
    <x v="1"/>
    <n v="2026"/>
    <n v="4"/>
    <s v="abril"/>
    <x v="0"/>
    <s v="Neutral"/>
    <s v="No"/>
    <s v="Yes"/>
    <s v="Resolved"/>
    <n v="1"/>
    <n v="0"/>
    <n v="1"/>
    <n v="0"/>
    <n v="0"/>
    <n v="1"/>
    <n v="0"/>
  </r>
  <r>
    <s v="TKT-00605"/>
    <n v="5.92"/>
    <x v="880"/>
    <d v="2026-04-02T13:37:21"/>
    <x v="0"/>
    <x v="2"/>
    <s v="Email"/>
    <x v="0"/>
    <x v="1"/>
    <x v="1"/>
    <x v="2"/>
    <x v="1"/>
    <n v="92"/>
    <n v="4"/>
    <n v="0"/>
    <n v="2"/>
    <s v="No"/>
    <n v="30"/>
    <n v="8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0502"/>
    <n v="18.5"/>
    <x v="881"/>
    <d v="2026-02-11T20:13:00"/>
    <x v="0"/>
    <x v="3"/>
    <s v="Chat"/>
    <x v="1"/>
    <x v="0"/>
    <x v="3"/>
    <x v="1"/>
    <x v="8"/>
    <n v="348"/>
    <n v="3"/>
    <n v="0"/>
    <n v="3"/>
    <s v="No"/>
    <n v="120"/>
    <n v="24"/>
    <s v="No"/>
    <x v="0"/>
    <n v="2026"/>
    <n v="2"/>
    <s v="fevereiro"/>
    <x v="4"/>
    <s v="Neutral"/>
    <s v="No"/>
    <s v="Yes"/>
    <s v="Resolved"/>
    <n v="1"/>
    <n v="0"/>
    <n v="1"/>
    <n v="0"/>
    <n v="0"/>
    <n v="0"/>
    <n v="1"/>
  </r>
  <r>
    <s v="TKT-01026"/>
    <n v="17.350000000000001"/>
    <x v="882"/>
    <d v="2026-06-13T14:15:13"/>
    <x v="0"/>
    <x v="3"/>
    <s v="Email"/>
    <x v="3"/>
    <x v="0"/>
    <x v="0"/>
    <x v="0"/>
    <x v="10"/>
    <n v="90"/>
    <n v="4"/>
    <n v="0"/>
    <n v="4"/>
    <s v="No"/>
    <n v="120"/>
    <n v="24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1093"/>
    <n v="7.89"/>
    <x v="883"/>
    <d v="2026-04-17T23:27:36"/>
    <x v="0"/>
    <x v="2"/>
    <s v="Email"/>
    <x v="2"/>
    <x v="0"/>
    <x v="2"/>
    <x v="4"/>
    <x v="0"/>
    <n v="49"/>
    <n v="5"/>
    <n v="0"/>
    <n v="3"/>
    <s v="No"/>
    <n v="30"/>
    <n v="8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0871"/>
    <n v="21.86"/>
    <x v="884"/>
    <d v="2026-02-04T06:45:37"/>
    <x v="0"/>
    <x v="3"/>
    <s v="Web Form"/>
    <x v="1"/>
    <x v="0"/>
    <x v="0"/>
    <x v="1"/>
    <x v="9"/>
    <n v="58"/>
    <n v="3"/>
    <n v="2"/>
    <n v="8"/>
    <s v="No"/>
    <n v="120"/>
    <n v="24"/>
    <s v="Yes"/>
    <x v="0"/>
    <n v="2026"/>
    <n v="2"/>
    <s v="fevereiro"/>
    <x v="4"/>
    <s v="Neutral"/>
    <s v="Yes"/>
    <s v="Yes"/>
    <s v="Resolved"/>
    <n v="1"/>
    <n v="0"/>
    <n v="1"/>
    <n v="1"/>
    <n v="0"/>
    <n v="1"/>
    <n v="1"/>
  </r>
  <r>
    <s v="TKT-00147"/>
    <n v="8.9600000000000009"/>
    <x v="885"/>
    <d v="2026-06-16T13:06:46"/>
    <x v="0"/>
    <x v="3"/>
    <s v="Email"/>
    <x v="0"/>
    <x v="1"/>
    <x v="1"/>
    <x v="2"/>
    <x v="8"/>
    <n v="122"/>
    <n v="4"/>
    <n v="1"/>
    <n v="7"/>
    <s v="No"/>
    <n v="120"/>
    <n v="24"/>
    <s v="No"/>
    <x v="0"/>
    <n v="2026"/>
    <n v="6"/>
    <s v="junho"/>
    <x v="5"/>
    <s v="Satisfied"/>
    <s v="Yes"/>
    <s v="Yes"/>
    <s v="Resolved"/>
    <n v="1"/>
    <n v="0"/>
    <n v="1"/>
    <n v="1"/>
    <n v="0"/>
    <n v="0"/>
    <n v="1"/>
  </r>
  <r>
    <s v="TKT-00703"/>
    <n v="66.63"/>
    <x v="886"/>
    <d v="2026-02-08T20:27:49"/>
    <x v="0"/>
    <x v="1"/>
    <s v="Chat"/>
    <x v="0"/>
    <x v="2"/>
    <x v="0"/>
    <x v="1"/>
    <x v="1"/>
    <n v="175"/>
    <n v="3"/>
    <n v="0"/>
    <n v="6"/>
    <s v="No"/>
    <n v="240"/>
    <n v="48"/>
    <s v="Yes"/>
    <x v="1"/>
    <n v="2026"/>
    <n v="2"/>
    <s v="fevereiro"/>
    <x v="4"/>
    <s v="Neutral"/>
    <s v="No"/>
    <s v="Yes"/>
    <s v="Resolved"/>
    <n v="1"/>
    <n v="0"/>
    <n v="1"/>
    <n v="0"/>
    <n v="0"/>
    <n v="1"/>
    <n v="0"/>
  </r>
  <r>
    <s v="TKT-01038"/>
    <n v="5.67"/>
    <x v="887"/>
    <d v="2026-06-15T21:45:56"/>
    <x v="0"/>
    <x v="0"/>
    <s v="Phone"/>
    <x v="2"/>
    <x v="1"/>
    <x v="1"/>
    <x v="2"/>
    <x v="9"/>
    <n v="34"/>
    <n v="4"/>
    <n v="1"/>
    <n v="6"/>
    <s v="No"/>
    <n v="15"/>
    <n v="4"/>
    <s v="No"/>
    <x v="1"/>
    <n v="2026"/>
    <n v="6"/>
    <s v="junho"/>
    <x v="5"/>
    <s v="Satisfied"/>
    <s v="Yes"/>
    <s v="Yes"/>
    <s v="Resolved"/>
    <n v="1"/>
    <n v="0"/>
    <n v="1"/>
    <n v="1"/>
    <n v="0"/>
    <n v="0"/>
    <n v="0"/>
  </r>
  <r>
    <s v="TKT-00304"/>
    <n v="73.83"/>
    <x v="888"/>
    <d v="2026-05-30T18:23:37"/>
    <x v="0"/>
    <x v="1"/>
    <s v="Web Form"/>
    <x v="1"/>
    <x v="0"/>
    <x v="0"/>
    <x v="1"/>
    <x v="0"/>
    <n v="241"/>
    <n v="3"/>
    <n v="0"/>
    <n v="6"/>
    <s v="No"/>
    <n v="240"/>
    <n v="48"/>
    <s v="No"/>
    <x v="1"/>
    <n v="2026"/>
    <n v="5"/>
    <s v="maio"/>
    <x v="2"/>
    <s v="Neutral"/>
    <s v="No"/>
    <s v="Yes"/>
    <s v="Resolved"/>
    <n v="1"/>
    <n v="0"/>
    <n v="1"/>
    <n v="0"/>
    <n v="0"/>
    <n v="0"/>
    <n v="0"/>
  </r>
  <r>
    <s v="TKT-00942"/>
    <n v="23.33"/>
    <x v="889"/>
    <d v="2026-02-13T13:57:02"/>
    <x v="0"/>
    <x v="1"/>
    <s v="Chat"/>
    <x v="2"/>
    <x v="1"/>
    <x v="2"/>
    <x v="4"/>
    <x v="1"/>
    <n v="492"/>
    <n v="3"/>
    <n v="0"/>
    <n v="5"/>
    <s v="No"/>
    <n v="240"/>
    <n v="48"/>
    <s v="No"/>
    <x v="0"/>
    <n v="2026"/>
    <n v="2"/>
    <s v="fevereiro"/>
    <x v="4"/>
    <s v="Neutral"/>
    <s v="No"/>
    <s v="Yes"/>
    <s v="Resolved"/>
    <n v="1"/>
    <n v="0"/>
    <n v="1"/>
    <n v="0"/>
    <n v="0"/>
    <n v="0"/>
    <n v="1"/>
  </r>
  <r>
    <s v="TKT-00903"/>
    <n v="50.94"/>
    <x v="890"/>
    <d v="2026-08-21T17:21:21"/>
    <x v="0"/>
    <x v="1"/>
    <s v="Email"/>
    <x v="0"/>
    <x v="1"/>
    <x v="1"/>
    <x v="3"/>
    <x v="0"/>
    <n v="116"/>
    <n v="4"/>
    <n v="0"/>
    <n v="2"/>
    <s v="No"/>
    <n v="240"/>
    <n v="48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396"/>
    <n v="2.17"/>
    <x v="891"/>
    <d v="2026-05-16T11:24:02"/>
    <x v="0"/>
    <x v="2"/>
    <s v="Email"/>
    <x v="0"/>
    <x v="1"/>
    <x v="2"/>
    <x v="0"/>
    <x v="0"/>
    <n v="34"/>
    <n v="5"/>
    <n v="0"/>
    <n v="4"/>
    <s v="No"/>
    <n v="30"/>
    <n v="8"/>
    <s v="No"/>
    <x v="0"/>
    <n v="2026"/>
    <n v="5"/>
    <s v="maio"/>
    <x v="2"/>
    <s v="Satisfied"/>
    <s v="No"/>
    <s v="Yes"/>
    <s v="Resolved"/>
    <n v="1"/>
    <n v="0"/>
    <n v="1"/>
    <n v="0"/>
    <n v="0"/>
    <n v="0"/>
    <n v="1"/>
  </r>
  <r>
    <s v="TKT-00818"/>
    <n v="11.99"/>
    <x v="892"/>
    <d v="2026-07-05T10:02:38"/>
    <x v="0"/>
    <x v="3"/>
    <s v="Chat"/>
    <x v="3"/>
    <x v="1"/>
    <x v="1"/>
    <x v="0"/>
    <x v="9"/>
    <n v="346"/>
    <n v="3"/>
    <n v="0"/>
    <n v="2"/>
    <s v="No"/>
    <n v="120"/>
    <n v="24"/>
    <s v="No"/>
    <x v="0"/>
    <n v="2026"/>
    <n v="7"/>
    <s v="julho"/>
    <x v="6"/>
    <s v="Neutral"/>
    <s v="No"/>
    <s v="Yes"/>
    <s v="Resolved"/>
    <n v="1"/>
    <n v="0"/>
    <n v="1"/>
    <n v="0"/>
    <n v="0"/>
    <n v="0"/>
    <n v="1"/>
  </r>
  <r>
    <s v="TKT-00925"/>
    <n v="8.94"/>
    <x v="893"/>
    <d v="2026-04-20T02:58:18"/>
    <x v="0"/>
    <x v="3"/>
    <s v="Chat"/>
    <x v="1"/>
    <x v="2"/>
    <x v="1"/>
    <x v="0"/>
    <x v="1"/>
    <n v="105"/>
    <n v="4"/>
    <n v="0"/>
    <n v="6"/>
    <s v="No"/>
    <n v="120"/>
    <n v="24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530"/>
    <n v="26.21"/>
    <x v="894"/>
    <d v="2026-06-19T12:01:19"/>
    <x v="0"/>
    <x v="3"/>
    <s v="Email"/>
    <x v="3"/>
    <x v="2"/>
    <x v="1"/>
    <x v="1"/>
    <x v="2"/>
    <n v="73"/>
    <n v="4"/>
    <n v="1"/>
    <n v="7"/>
    <s v="No"/>
    <n v="120"/>
    <n v="24"/>
    <s v="Yes"/>
    <x v="1"/>
    <n v="2026"/>
    <n v="6"/>
    <s v="junho"/>
    <x v="5"/>
    <s v="Satisfied"/>
    <s v="Yes"/>
    <s v="Yes"/>
    <s v="Resolved"/>
    <n v="1"/>
    <n v="0"/>
    <n v="1"/>
    <n v="1"/>
    <n v="0"/>
    <n v="1"/>
    <n v="0"/>
  </r>
  <r>
    <s v="TKT-00127"/>
    <n v="113.91"/>
    <x v="895"/>
    <d v="2026-06-21T03:53:34"/>
    <x v="0"/>
    <x v="3"/>
    <s v="Email"/>
    <x v="1"/>
    <x v="0"/>
    <x v="0"/>
    <x v="1"/>
    <x v="2"/>
    <n v="70"/>
    <n v="3"/>
    <n v="1"/>
    <n v="11"/>
    <s v="Yes"/>
    <n v="120"/>
    <n v="24"/>
    <s v="Yes"/>
    <x v="1"/>
    <n v="2026"/>
    <n v="6"/>
    <s v="junho"/>
    <x v="5"/>
    <s v="Neutral"/>
    <s v="Yes"/>
    <s v="Yes"/>
    <s v="Resolved"/>
    <n v="1"/>
    <n v="0"/>
    <n v="1"/>
    <n v="1"/>
    <n v="1"/>
    <n v="1"/>
    <n v="0"/>
  </r>
  <r>
    <s v="TKT-00985"/>
    <n v="15.39"/>
    <x v="896"/>
    <d v="2026-07-10T17:24:20"/>
    <x v="0"/>
    <x v="1"/>
    <s v="Email"/>
    <x v="0"/>
    <x v="0"/>
    <x v="1"/>
    <x v="3"/>
    <x v="3"/>
    <n v="144"/>
    <n v="4"/>
    <n v="0"/>
    <n v="3"/>
    <s v="No"/>
    <n v="240"/>
    <n v="48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1010"/>
    <n v="7.49"/>
    <x v="897"/>
    <d v="2026-06-08T09:43:10"/>
    <x v="0"/>
    <x v="2"/>
    <s v="Chat"/>
    <x v="4"/>
    <x v="1"/>
    <x v="3"/>
    <x v="2"/>
    <x v="9"/>
    <n v="34"/>
    <n v="4"/>
    <n v="1"/>
    <n v="7"/>
    <s v="No"/>
    <n v="30"/>
    <n v="8"/>
    <s v="No"/>
    <x v="0"/>
    <n v="2026"/>
    <n v="6"/>
    <s v="junho"/>
    <x v="5"/>
    <s v="Satisfied"/>
    <s v="Yes"/>
    <s v="Yes"/>
    <s v="Resolved"/>
    <n v="1"/>
    <n v="0"/>
    <n v="1"/>
    <n v="1"/>
    <n v="0"/>
    <n v="0"/>
    <n v="1"/>
  </r>
  <r>
    <s v="TKT-00055"/>
    <n v="74.87"/>
    <x v="898"/>
    <d v="2026-03-09T07:20:56"/>
    <x v="0"/>
    <x v="1"/>
    <s v="Email"/>
    <x v="2"/>
    <x v="2"/>
    <x v="1"/>
    <x v="1"/>
    <x v="10"/>
    <n v="86"/>
    <n v="4"/>
    <n v="0"/>
    <n v="6"/>
    <s v="No"/>
    <n v="240"/>
    <n v="48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108"/>
    <n v="16.34"/>
    <x v="899"/>
    <d v="2026-03-10T18:05:29"/>
    <x v="0"/>
    <x v="3"/>
    <s v="Email"/>
    <x v="1"/>
    <x v="1"/>
    <x v="0"/>
    <x v="2"/>
    <x v="9"/>
    <n v="168"/>
    <n v="4"/>
    <n v="0"/>
    <n v="5"/>
    <s v="No"/>
    <n v="120"/>
    <n v="24"/>
    <s v="No"/>
    <x v="0"/>
    <n v="2026"/>
    <n v="3"/>
    <s v="março"/>
    <x v="7"/>
    <s v="Satisfied"/>
    <s v="No"/>
    <s v="Yes"/>
    <s v="Resolved"/>
    <n v="1"/>
    <n v="0"/>
    <n v="1"/>
    <n v="0"/>
    <n v="0"/>
    <n v="0"/>
    <n v="1"/>
  </r>
  <r>
    <s v="TKT-00998"/>
    <n v="31.13"/>
    <x v="900"/>
    <d v="2026-01-16T12:30:57"/>
    <x v="0"/>
    <x v="3"/>
    <s v="Chat"/>
    <x v="1"/>
    <x v="2"/>
    <x v="1"/>
    <x v="1"/>
    <x v="7"/>
    <n v="86"/>
    <n v="4"/>
    <n v="0"/>
    <n v="4"/>
    <s v="No"/>
    <n v="120"/>
    <n v="24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037"/>
    <n v="32.770000000000003"/>
    <x v="901"/>
    <d v="2026-02-09T18:52:12"/>
    <x v="0"/>
    <x v="3"/>
    <s v="Email"/>
    <x v="0"/>
    <x v="2"/>
    <x v="2"/>
    <x v="5"/>
    <x v="8"/>
    <n v="103"/>
    <n v="4"/>
    <n v="0"/>
    <n v="4"/>
    <s v="No"/>
    <n v="120"/>
    <n v="24"/>
    <s v="Yes"/>
    <x v="1"/>
    <n v="2026"/>
    <n v="2"/>
    <s v="fevereiro"/>
    <x v="4"/>
    <s v="Satisfied"/>
    <s v="No"/>
    <s v="Yes"/>
    <s v="Resolved"/>
    <n v="1"/>
    <n v="0"/>
    <n v="1"/>
    <n v="0"/>
    <n v="0"/>
    <n v="1"/>
    <n v="0"/>
  </r>
  <r>
    <s v="TKT-00933"/>
    <n v="39.29"/>
    <x v="902"/>
    <d v="2026-07-05T08:00:40"/>
    <x v="0"/>
    <x v="1"/>
    <s v="Email"/>
    <x v="0"/>
    <x v="1"/>
    <x v="3"/>
    <x v="4"/>
    <x v="8"/>
    <n v="143"/>
    <n v="3"/>
    <n v="0"/>
    <n v="4"/>
    <s v="No"/>
    <n v="240"/>
    <n v="48"/>
    <s v="Yes"/>
    <x v="0"/>
    <n v="2026"/>
    <n v="7"/>
    <s v="julho"/>
    <x v="6"/>
    <s v="Neutral"/>
    <s v="No"/>
    <s v="Yes"/>
    <s v="Resolved"/>
    <n v="1"/>
    <n v="0"/>
    <n v="1"/>
    <n v="0"/>
    <n v="0"/>
    <n v="1"/>
    <n v="1"/>
  </r>
  <r>
    <s v="TKT-01115"/>
    <n v="34.049999999999997"/>
    <x v="903"/>
    <d v="2026-08-05T15:36:03"/>
    <x v="0"/>
    <x v="1"/>
    <s v="Email"/>
    <x v="0"/>
    <x v="1"/>
    <x v="3"/>
    <x v="5"/>
    <x v="10"/>
    <n v="57"/>
    <n v="4"/>
    <n v="0"/>
    <n v="6"/>
    <s v="No"/>
    <n v="240"/>
    <n v="48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508"/>
    <n v="40.08"/>
    <x v="904"/>
    <d v="2026-08-20T19:15:46"/>
    <x v="0"/>
    <x v="2"/>
    <s v="Chat"/>
    <x v="3"/>
    <x v="0"/>
    <x v="1"/>
    <x v="3"/>
    <x v="5"/>
    <n v="44"/>
    <n v="4"/>
    <n v="0"/>
    <n v="5"/>
    <s v="No"/>
    <n v="30"/>
    <n v="8"/>
    <s v="No"/>
    <x v="1"/>
    <n v="2026"/>
    <n v="8"/>
    <s v="agosto"/>
    <x v="3"/>
    <s v="Satisfied"/>
    <s v="No"/>
    <s v="Yes"/>
    <s v="Resolved"/>
    <n v="1"/>
    <n v="0"/>
    <n v="1"/>
    <n v="0"/>
    <n v="0"/>
    <n v="0"/>
    <n v="0"/>
  </r>
  <r>
    <s v="TKT-00004"/>
    <n v="11.98"/>
    <x v="905"/>
    <d v="2026-01-16T10:19:55"/>
    <x v="0"/>
    <x v="3"/>
    <s v="Email"/>
    <x v="2"/>
    <x v="2"/>
    <x v="0"/>
    <x v="2"/>
    <x v="7"/>
    <n v="124"/>
    <n v="4"/>
    <n v="0"/>
    <n v="5"/>
    <s v="No"/>
    <n v="120"/>
    <n v="24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0395"/>
    <n v="9.3000000000000007"/>
    <x v="906"/>
    <d v="2026-01-23T09:28:49"/>
    <x v="0"/>
    <x v="3"/>
    <s v="Chat"/>
    <x v="0"/>
    <x v="1"/>
    <x v="1"/>
    <x v="2"/>
    <x v="8"/>
    <n v="81"/>
    <n v="4"/>
    <n v="0"/>
    <n v="3"/>
    <s v="No"/>
    <n v="120"/>
    <n v="2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306"/>
    <n v="5.75"/>
    <x v="907"/>
    <d v="2026-06-05T01:52:08"/>
    <x v="0"/>
    <x v="2"/>
    <s v="Chat"/>
    <x v="0"/>
    <x v="2"/>
    <x v="1"/>
    <x v="2"/>
    <x v="3"/>
    <n v="35"/>
    <n v="4"/>
    <n v="0"/>
    <n v="6"/>
    <s v="No"/>
    <n v="30"/>
    <n v="8"/>
    <s v="No"/>
    <x v="0"/>
    <n v="2026"/>
    <n v="6"/>
    <s v="junho"/>
    <x v="5"/>
    <s v="Satisfied"/>
    <s v="No"/>
    <s v="Yes"/>
    <s v="Resolved"/>
    <n v="1"/>
    <n v="0"/>
    <n v="1"/>
    <n v="0"/>
    <n v="0"/>
    <n v="0"/>
    <n v="1"/>
  </r>
  <r>
    <s v="TKT-00345"/>
    <n v="9.35"/>
    <x v="908"/>
    <d v="2026-01-18T17:47:02"/>
    <x v="0"/>
    <x v="0"/>
    <s v="Email"/>
    <x v="0"/>
    <x v="0"/>
    <x v="0"/>
    <x v="3"/>
    <x v="3"/>
    <n v="3"/>
    <n v="5"/>
    <n v="0"/>
    <n v="5"/>
    <s v="No"/>
    <n v="15"/>
    <n v="4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336"/>
    <n v="8.6300000000000008"/>
    <x v="909"/>
    <d v="2026-02-16T23:29:31"/>
    <x v="0"/>
    <x v="3"/>
    <s v="Web Form"/>
    <x v="0"/>
    <x v="2"/>
    <x v="3"/>
    <x v="2"/>
    <x v="7"/>
    <n v="160"/>
    <n v="4"/>
    <n v="0"/>
    <n v="6"/>
    <s v="No"/>
    <n v="120"/>
    <n v="24"/>
    <s v="No"/>
    <x v="0"/>
    <n v="2026"/>
    <n v="2"/>
    <s v="fevereiro"/>
    <x v="4"/>
    <s v="Satisfied"/>
    <s v="No"/>
    <s v="Yes"/>
    <s v="Resolved"/>
    <n v="1"/>
    <n v="0"/>
    <n v="1"/>
    <n v="0"/>
    <n v="0"/>
    <n v="0"/>
    <n v="1"/>
  </r>
  <r>
    <s v="TKT-00338"/>
    <n v="81.89"/>
    <x v="910"/>
    <d v="2026-06-20T11:49:38"/>
    <x v="0"/>
    <x v="1"/>
    <s v="Chat"/>
    <x v="2"/>
    <x v="2"/>
    <x v="2"/>
    <x v="1"/>
    <x v="8"/>
    <n v="227"/>
    <n v="3"/>
    <n v="0"/>
    <n v="2"/>
    <s v="No"/>
    <n v="240"/>
    <n v="48"/>
    <s v="Yes"/>
    <x v="1"/>
    <n v="2026"/>
    <n v="6"/>
    <s v="junho"/>
    <x v="5"/>
    <s v="Neutral"/>
    <s v="No"/>
    <s v="Yes"/>
    <s v="Resolved"/>
    <n v="1"/>
    <n v="0"/>
    <n v="1"/>
    <n v="0"/>
    <n v="0"/>
    <n v="1"/>
    <n v="0"/>
  </r>
  <r>
    <s v="TKT-00225"/>
    <n v="10.220000000000001"/>
    <x v="911"/>
    <d v="2026-07-19T15:38:24"/>
    <x v="0"/>
    <x v="2"/>
    <s v="Web Form"/>
    <x v="0"/>
    <x v="0"/>
    <x v="1"/>
    <x v="1"/>
    <x v="10"/>
    <n v="16"/>
    <n v="5"/>
    <n v="0"/>
    <n v="5"/>
    <s v="No"/>
    <n v="30"/>
    <n v="8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1052"/>
    <n v="63.82"/>
    <x v="912"/>
    <d v="2026-08-10T14:14:18"/>
    <x v="0"/>
    <x v="3"/>
    <s v="Email"/>
    <x v="3"/>
    <x v="1"/>
    <x v="0"/>
    <x v="1"/>
    <x v="0"/>
    <n v="124"/>
    <n v="3"/>
    <n v="0"/>
    <n v="2"/>
    <s v="No"/>
    <n v="120"/>
    <n v="24"/>
    <s v="No"/>
    <x v="1"/>
    <n v="2026"/>
    <n v="8"/>
    <s v="agosto"/>
    <x v="3"/>
    <s v="Neutral"/>
    <s v="No"/>
    <s v="Yes"/>
    <s v="Resolved"/>
    <n v="1"/>
    <n v="0"/>
    <n v="1"/>
    <n v="0"/>
    <n v="0"/>
    <n v="0"/>
    <n v="0"/>
  </r>
  <r>
    <s v="TKT-00746"/>
    <n v="21.21"/>
    <x v="913"/>
    <d v="2026-03-12T22:36:18"/>
    <x v="0"/>
    <x v="1"/>
    <s v="Chat"/>
    <x v="4"/>
    <x v="2"/>
    <x v="2"/>
    <x v="2"/>
    <x v="2"/>
    <n v="89"/>
    <n v="4"/>
    <n v="0"/>
    <n v="7"/>
    <s v="No"/>
    <n v="240"/>
    <n v="48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1131"/>
    <n v="3.52"/>
    <x v="914"/>
    <d v="2026-02-11T07:45:07"/>
    <x v="0"/>
    <x v="2"/>
    <s v="Email"/>
    <x v="2"/>
    <x v="1"/>
    <x v="3"/>
    <x v="0"/>
    <x v="3"/>
    <n v="28"/>
    <n v="4"/>
    <n v="0"/>
    <n v="2"/>
    <s v="No"/>
    <n v="30"/>
    <n v="8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346"/>
    <n v="29.21"/>
    <x v="915"/>
    <d v="2026-02-27T00:01:44"/>
    <x v="0"/>
    <x v="3"/>
    <s v="Email"/>
    <x v="0"/>
    <x v="1"/>
    <x v="2"/>
    <x v="3"/>
    <x v="6"/>
    <n v="99"/>
    <n v="4"/>
    <n v="0"/>
    <n v="2"/>
    <s v="No"/>
    <n v="120"/>
    <n v="24"/>
    <s v="Yes"/>
    <x v="1"/>
    <n v="2026"/>
    <n v="2"/>
    <s v="fevereiro"/>
    <x v="4"/>
    <s v="Satisfied"/>
    <s v="No"/>
    <s v="Yes"/>
    <s v="Resolved"/>
    <n v="1"/>
    <n v="0"/>
    <n v="1"/>
    <n v="0"/>
    <n v="0"/>
    <n v="1"/>
    <n v="0"/>
  </r>
  <r>
    <s v="TKT-00401"/>
    <n v="38.119999999999997"/>
    <x v="916"/>
    <d v="2026-03-20T14:31:25"/>
    <x v="0"/>
    <x v="1"/>
    <s v="Web Form"/>
    <x v="0"/>
    <x v="1"/>
    <x v="3"/>
    <x v="2"/>
    <x v="7"/>
    <n v="442"/>
    <n v="2"/>
    <n v="2"/>
    <n v="13"/>
    <s v="No"/>
    <n v="240"/>
    <n v="48"/>
    <s v="No"/>
    <x v="0"/>
    <n v="2026"/>
    <n v="3"/>
    <s v="março"/>
    <x v="7"/>
    <s v="Dissatisfied"/>
    <s v="Yes"/>
    <s v="Yes"/>
    <s v="Resolved"/>
    <n v="1"/>
    <n v="0"/>
    <n v="1"/>
    <n v="1"/>
    <n v="0"/>
    <n v="0"/>
    <n v="1"/>
  </r>
  <r>
    <s v="TKT-00596"/>
    <n v="34.700000000000003"/>
    <x v="917"/>
    <d v="2026-01-10T21:16:45"/>
    <x v="0"/>
    <x v="1"/>
    <s v="Email"/>
    <x v="0"/>
    <x v="2"/>
    <x v="0"/>
    <x v="4"/>
    <x v="2"/>
    <n v="207"/>
    <n v="4"/>
    <n v="0"/>
    <n v="6"/>
    <s v="No"/>
    <n v="240"/>
    <n v="48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379"/>
    <n v="40.98"/>
    <x v="918"/>
    <d v="2026-03-21T19:00:43"/>
    <x v="0"/>
    <x v="1"/>
    <s v="Email"/>
    <x v="0"/>
    <x v="2"/>
    <x v="0"/>
    <x v="2"/>
    <x v="6"/>
    <n v="166"/>
    <n v="3"/>
    <n v="1"/>
    <n v="7"/>
    <s v="No"/>
    <n v="240"/>
    <n v="48"/>
    <s v="Yes"/>
    <x v="0"/>
    <n v="2026"/>
    <n v="3"/>
    <s v="março"/>
    <x v="7"/>
    <s v="Neutral"/>
    <s v="Yes"/>
    <s v="Yes"/>
    <s v="Resolved"/>
    <n v="1"/>
    <n v="0"/>
    <n v="1"/>
    <n v="1"/>
    <n v="0"/>
    <n v="1"/>
    <n v="1"/>
  </r>
  <r>
    <s v="TKT-00631"/>
    <n v="19.57"/>
    <x v="919"/>
    <d v="2026-07-15T23:43:00"/>
    <x v="0"/>
    <x v="3"/>
    <s v="Chat"/>
    <x v="0"/>
    <x v="1"/>
    <x v="2"/>
    <x v="1"/>
    <x v="7"/>
    <n v="101"/>
    <n v="4"/>
    <n v="1"/>
    <n v="11"/>
    <s v="No"/>
    <n v="120"/>
    <n v="24"/>
    <s v="Yes"/>
    <x v="0"/>
    <n v="2026"/>
    <n v="7"/>
    <s v="julho"/>
    <x v="6"/>
    <s v="Satisfied"/>
    <s v="Yes"/>
    <s v="Yes"/>
    <s v="Resolved"/>
    <n v="1"/>
    <n v="0"/>
    <n v="1"/>
    <n v="1"/>
    <n v="0"/>
    <n v="1"/>
    <n v="1"/>
  </r>
  <r>
    <s v="TKT-00855"/>
    <n v="35.9"/>
    <x v="920"/>
    <d v="2026-08-13T21:17:57"/>
    <x v="0"/>
    <x v="3"/>
    <s v="Email"/>
    <x v="3"/>
    <x v="1"/>
    <x v="2"/>
    <x v="1"/>
    <x v="6"/>
    <n v="125"/>
    <n v="4"/>
    <n v="0"/>
    <n v="5"/>
    <s v="No"/>
    <n v="120"/>
    <n v="24"/>
    <s v="No"/>
    <x v="1"/>
    <n v="2026"/>
    <n v="8"/>
    <s v="agosto"/>
    <x v="3"/>
    <s v="Satisfied"/>
    <s v="No"/>
    <s v="Yes"/>
    <s v="Resolved"/>
    <n v="1"/>
    <n v="0"/>
    <n v="1"/>
    <n v="0"/>
    <n v="0"/>
    <n v="0"/>
    <n v="0"/>
  </r>
  <r>
    <s v="TKT-00302"/>
    <n v="8.61"/>
    <x v="921"/>
    <d v="2026-06-22T14:30:27"/>
    <x v="0"/>
    <x v="0"/>
    <s v="Email"/>
    <x v="4"/>
    <x v="2"/>
    <x v="3"/>
    <x v="1"/>
    <x v="3"/>
    <n v="21"/>
    <n v="3"/>
    <n v="3"/>
    <n v="12"/>
    <s v="No"/>
    <n v="15"/>
    <n v="4"/>
    <s v="No"/>
    <x v="1"/>
    <n v="2026"/>
    <n v="6"/>
    <s v="junho"/>
    <x v="5"/>
    <s v="Neutral"/>
    <s v="Yes"/>
    <s v="Yes"/>
    <s v="Resolved"/>
    <n v="1"/>
    <n v="0"/>
    <n v="1"/>
    <n v="1"/>
    <n v="0"/>
    <n v="0"/>
    <n v="0"/>
  </r>
  <r>
    <s v="TKT-00793"/>
    <n v="60.99"/>
    <x v="922"/>
    <d v="2026-07-18T20:05:16"/>
    <x v="0"/>
    <x v="1"/>
    <s v="Chat"/>
    <x v="0"/>
    <x v="1"/>
    <x v="1"/>
    <x v="1"/>
    <x v="0"/>
    <n v="99"/>
    <n v="4"/>
    <n v="0"/>
    <n v="5"/>
    <s v="No"/>
    <n v="240"/>
    <n v="48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0111"/>
    <n v="8"/>
    <x v="923"/>
    <d v="2026-03-07T08:56:01"/>
    <x v="0"/>
    <x v="4"/>
    <s v="Chat"/>
    <x v="4"/>
    <x v="0"/>
    <x v="3"/>
    <x v="0"/>
    <x v="9"/>
    <n v="104"/>
    <n v="4"/>
    <n v="0"/>
    <n v="7"/>
    <s v="No"/>
    <m/>
    <m/>
    <m/>
    <x v="3"/>
    <n v="2026"/>
    <n v="3"/>
    <s v="março"/>
    <x v="7"/>
    <s v="Satisfied"/>
    <s v="No"/>
    <s v="Yes"/>
    <s v="Resolved"/>
    <n v="1"/>
    <n v="0"/>
    <n v="1"/>
    <n v="0"/>
    <n v="0"/>
    <m/>
    <m/>
  </r>
  <r>
    <s v="TKT-00187"/>
    <n v="30.78"/>
    <x v="924"/>
    <d v="2026-01-12T17:18:33"/>
    <x v="0"/>
    <x v="1"/>
    <s v="Email"/>
    <x v="3"/>
    <x v="1"/>
    <x v="1"/>
    <x v="4"/>
    <x v="2"/>
    <n v="438"/>
    <n v="3"/>
    <n v="0"/>
    <n v="6"/>
    <s v="No"/>
    <n v="240"/>
    <n v="48"/>
    <s v="No"/>
    <x v="0"/>
    <n v="2026"/>
    <n v="1"/>
    <s v="janeiro"/>
    <x v="1"/>
    <s v="Neutral"/>
    <s v="No"/>
    <s v="Yes"/>
    <s v="Resolved"/>
    <n v="1"/>
    <n v="0"/>
    <n v="1"/>
    <n v="0"/>
    <n v="0"/>
    <n v="0"/>
    <n v="1"/>
  </r>
  <r>
    <s v="TKT-00236"/>
    <n v="21.53"/>
    <x v="925"/>
    <d v="2026-02-16T03:26:05"/>
    <x v="0"/>
    <x v="1"/>
    <s v="Email"/>
    <x v="0"/>
    <x v="1"/>
    <x v="3"/>
    <x v="0"/>
    <x v="6"/>
    <n v="252"/>
    <n v="3"/>
    <n v="0"/>
    <n v="3"/>
    <s v="No"/>
    <n v="240"/>
    <n v="48"/>
    <s v="No"/>
    <x v="0"/>
    <n v="2026"/>
    <n v="2"/>
    <s v="fevereiro"/>
    <x v="4"/>
    <s v="Neutral"/>
    <s v="No"/>
    <s v="Yes"/>
    <s v="Resolved"/>
    <n v="1"/>
    <n v="0"/>
    <n v="1"/>
    <n v="0"/>
    <n v="0"/>
    <n v="0"/>
    <n v="1"/>
  </r>
  <r>
    <s v="TKT-00464"/>
    <m/>
    <x v="926"/>
    <m/>
    <x v="1"/>
    <x v="3"/>
    <s v="Email"/>
    <x v="0"/>
    <x v="1"/>
    <x v="1"/>
    <x v="4"/>
    <x v="9"/>
    <n v="73"/>
    <m/>
    <n v="0"/>
    <n v="4"/>
    <s v="No"/>
    <n v="120"/>
    <n v="24"/>
    <s v="Yes"/>
    <x v="2"/>
    <n v="2026"/>
    <n v="4"/>
    <s v="abril"/>
    <x v="0"/>
    <s v="No Response"/>
    <s v="No"/>
    <s v="No"/>
    <s v="Open"/>
    <n v="1"/>
    <n v="1"/>
    <n v="0"/>
    <n v="0"/>
    <n v="0"/>
    <n v="1"/>
    <m/>
  </r>
  <r>
    <s v="TKT-00054"/>
    <n v="14.64"/>
    <x v="927"/>
    <d v="2026-04-25T15:25:28"/>
    <x v="0"/>
    <x v="3"/>
    <s v="Chat"/>
    <x v="1"/>
    <x v="1"/>
    <x v="1"/>
    <x v="1"/>
    <x v="0"/>
    <n v="93"/>
    <n v="4"/>
    <n v="0"/>
    <n v="4"/>
    <s v="No"/>
    <n v="120"/>
    <n v="24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560"/>
    <n v="28.54"/>
    <x v="928"/>
    <d v="2026-04-17T20:13:10"/>
    <x v="0"/>
    <x v="3"/>
    <s v="Email"/>
    <x v="1"/>
    <x v="1"/>
    <x v="0"/>
    <x v="2"/>
    <x v="1"/>
    <n v="74"/>
    <n v="4"/>
    <n v="0"/>
    <n v="5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106"/>
    <n v="35.369999999999997"/>
    <x v="929"/>
    <d v="2026-04-04T19:51:59"/>
    <x v="0"/>
    <x v="1"/>
    <s v="Chat"/>
    <x v="0"/>
    <x v="1"/>
    <x v="3"/>
    <x v="5"/>
    <x v="10"/>
    <n v="135"/>
    <n v="4"/>
    <n v="0"/>
    <n v="5"/>
    <s v="No"/>
    <n v="240"/>
    <n v="48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589"/>
    <n v="31.57"/>
    <x v="930"/>
    <d v="2026-06-14T15:56:18"/>
    <x v="0"/>
    <x v="1"/>
    <s v="Email"/>
    <x v="2"/>
    <x v="2"/>
    <x v="2"/>
    <x v="0"/>
    <x v="5"/>
    <n v="62"/>
    <n v="4"/>
    <n v="1"/>
    <n v="14"/>
    <s v="Yes"/>
    <n v="240"/>
    <n v="48"/>
    <s v="Yes"/>
    <x v="0"/>
    <n v="2026"/>
    <n v="6"/>
    <s v="junho"/>
    <x v="5"/>
    <s v="Satisfied"/>
    <s v="Yes"/>
    <s v="Yes"/>
    <s v="Resolved"/>
    <n v="1"/>
    <n v="0"/>
    <n v="1"/>
    <n v="1"/>
    <n v="1"/>
    <n v="1"/>
    <n v="1"/>
  </r>
  <r>
    <s v="TKT-00978"/>
    <n v="17.07"/>
    <x v="931"/>
    <d v="2026-06-30T12:31:00"/>
    <x v="0"/>
    <x v="3"/>
    <s v="Chat"/>
    <x v="0"/>
    <x v="2"/>
    <x v="3"/>
    <x v="4"/>
    <x v="9"/>
    <n v="124"/>
    <n v="4"/>
    <n v="0"/>
    <n v="2"/>
    <s v="No"/>
    <n v="120"/>
    <n v="24"/>
    <s v="No"/>
    <x v="0"/>
    <n v="2026"/>
    <n v="6"/>
    <s v="junho"/>
    <x v="5"/>
    <s v="Satisfied"/>
    <s v="No"/>
    <s v="Yes"/>
    <s v="Resolved"/>
    <n v="1"/>
    <n v="0"/>
    <n v="1"/>
    <n v="0"/>
    <n v="0"/>
    <n v="0"/>
    <n v="1"/>
  </r>
  <r>
    <s v="TKT-00827"/>
    <n v="12.83"/>
    <x v="932"/>
    <d v="2026-07-23T23:41:55"/>
    <x v="0"/>
    <x v="2"/>
    <s v="Email"/>
    <x v="0"/>
    <x v="0"/>
    <x v="0"/>
    <x v="4"/>
    <x v="7"/>
    <n v="36"/>
    <n v="4"/>
    <n v="0"/>
    <n v="5"/>
    <s v="No"/>
    <n v="30"/>
    <n v="8"/>
    <s v="No"/>
    <x v="1"/>
    <n v="2026"/>
    <n v="7"/>
    <s v="julho"/>
    <x v="6"/>
    <s v="Satisfied"/>
    <s v="No"/>
    <s v="Yes"/>
    <s v="Resolved"/>
    <n v="1"/>
    <n v="0"/>
    <n v="1"/>
    <n v="0"/>
    <n v="0"/>
    <n v="0"/>
    <n v="0"/>
  </r>
  <r>
    <s v="TKT-00786"/>
    <n v="18.39"/>
    <x v="933"/>
    <d v="2026-02-15T08:54:26"/>
    <x v="0"/>
    <x v="2"/>
    <s v="Chat"/>
    <x v="1"/>
    <x v="0"/>
    <x v="0"/>
    <x v="4"/>
    <x v="5"/>
    <n v="28"/>
    <n v="4"/>
    <n v="0"/>
    <n v="5"/>
    <s v="No"/>
    <n v="30"/>
    <n v="8"/>
    <s v="Yes"/>
    <x v="1"/>
    <n v="2026"/>
    <n v="2"/>
    <s v="fevereiro"/>
    <x v="4"/>
    <s v="Satisfied"/>
    <s v="No"/>
    <s v="Yes"/>
    <s v="Resolved"/>
    <n v="1"/>
    <n v="0"/>
    <n v="1"/>
    <n v="0"/>
    <n v="0"/>
    <n v="1"/>
    <n v="0"/>
  </r>
  <r>
    <s v="TKT-00426"/>
    <n v="7.44"/>
    <x v="934"/>
    <d v="2026-01-19T19:35:12"/>
    <x v="0"/>
    <x v="1"/>
    <s v="Phone"/>
    <x v="1"/>
    <x v="2"/>
    <x v="1"/>
    <x v="0"/>
    <x v="6"/>
    <n v="346"/>
    <n v="3"/>
    <n v="0"/>
    <n v="6"/>
    <s v="No"/>
    <n v="240"/>
    <n v="48"/>
    <s v="No"/>
    <x v="0"/>
    <n v="2026"/>
    <n v="1"/>
    <s v="janeiro"/>
    <x v="1"/>
    <s v="Neutral"/>
    <s v="No"/>
    <s v="Yes"/>
    <s v="Resolved"/>
    <n v="1"/>
    <n v="0"/>
    <n v="1"/>
    <n v="0"/>
    <n v="0"/>
    <n v="0"/>
    <n v="1"/>
  </r>
  <r>
    <s v="TKT-00840"/>
    <n v="78.41"/>
    <x v="935"/>
    <d v="2026-03-14T14:28:53"/>
    <x v="0"/>
    <x v="3"/>
    <s v="Email"/>
    <x v="0"/>
    <x v="0"/>
    <x v="0"/>
    <x v="3"/>
    <x v="5"/>
    <n v="73"/>
    <n v="4"/>
    <n v="0"/>
    <n v="7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1172"/>
    <n v="10.01"/>
    <x v="936"/>
    <d v="2026-03-21T20:18:48"/>
    <x v="0"/>
    <x v="3"/>
    <s v="Web Form"/>
    <x v="0"/>
    <x v="0"/>
    <x v="0"/>
    <x v="2"/>
    <x v="0"/>
    <n v="122"/>
    <n v="4"/>
    <n v="1"/>
    <n v="8"/>
    <s v="No"/>
    <n v="120"/>
    <n v="24"/>
    <s v="No"/>
    <x v="0"/>
    <n v="2026"/>
    <n v="3"/>
    <s v="março"/>
    <x v="7"/>
    <s v="Satisfied"/>
    <s v="Yes"/>
    <s v="Yes"/>
    <s v="Resolved"/>
    <n v="1"/>
    <n v="0"/>
    <n v="1"/>
    <n v="1"/>
    <n v="0"/>
    <n v="0"/>
    <n v="1"/>
  </r>
  <r>
    <s v="TKT-00190"/>
    <n v="15.95"/>
    <x v="937"/>
    <d v="2026-06-28T00:12:16"/>
    <x v="0"/>
    <x v="3"/>
    <s v="Email"/>
    <x v="1"/>
    <x v="2"/>
    <x v="1"/>
    <x v="2"/>
    <x v="5"/>
    <n v="52"/>
    <n v="4"/>
    <n v="0"/>
    <n v="7"/>
    <s v="No"/>
    <n v="120"/>
    <n v="24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427"/>
    <n v="14.3"/>
    <x v="938"/>
    <d v="2026-05-29T21:50:18"/>
    <x v="0"/>
    <x v="3"/>
    <s v="Email"/>
    <x v="1"/>
    <x v="0"/>
    <x v="2"/>
    <x v="1"/>
    <x v="9"/>
    <n v="70"/>
    <n v="4"/>
    <n v="0"/>
    <n v="4"/>
    <s v="No"/>
    <n v="120"/>
    <n v="24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0250"/>
    <n v="19.37"/>
    <x v="939"/>
    <d v="2026-06-24T05:21:19"/>
    <x v="0"/>
    <x v="3"/>
    <s v="Email"/>
    <x v="3"/>
    <x v="1"/>
    <x v="1"/>
    <x v="3"/>
    <x v="2"/>
    <n v="212"/>
    <n v="4"/>
    <n v="0"/>
    <n v="5"/>
    <s v="No"/>
    <n v="120"/>
    <n v="24"/>
    <s v="No"/>
    <x v="0"/>
    <n v="2026"/>
    <n v="6"/>
    <s v="junho"/>
    <x v="5"/>
    <s v="Satisfied"/>
    <s v="No"/>
    <s v="Yes"/>
    <s v="Resolved"/>
    <n v="1"/>
    <n v="0"/>
    <n v="1"/>
    <n v="0"/>
    <n v="0"/>
    <n v="0"/>
    <n v="1"/>
  </r>
  <r>
    <s v="TKT-00440"/>
    <n v="13.95"/>
    <x v="940"/>
    <d v="2026-06-20T04:55:17"/>
    <x v="0"/>
    <x v="3"/>
    <s v="Chat"/>
    <x v="4"/>
    <x v="1"/>
    <x v="0"/>
    <x v="2"/>
    <x v="2"/>
    <n v="64"/>
    <n v="4"/>
    <n v="1"/>
    <n v="8"/>
    <s v="No"/>
    <n v="120"/>
    <n v="24"/>
    <s v="Yes"/>
    <x v="0"/>
    <n v="2026"/>
    <n v="6"/>
    <s v="junho"/>
    <x v="5"/>
    <s v="Satisfied"/>
    <s v="Yes"/>
    <s v="Yes"/>
    <s v="Resolved"/>
    <n v="1"/>
    <n v="0"/>
    <n v="1"/>
    <n v="1"/>
    <n v="0"/>
    <n v="1"/>
    <n v="1"/>
  </r>
  <r>
    <s v="TKT-00889"/>
    <n v="37.96"/>
    <x v="941"/>
    <d v="2026-07-03T22:45:44"/>
    <x v="0"/>
    <x v="1"/>
    <s v="Chat"/>
    <x v="0"/>
    <x v="2"/>
    <x v="2"/>
    <x v="4"/>
    <x v="5"/>
    <n v="225"/>
    <n v="3"/>
    <n v="0"/>
    <n v="5"/>
    <s v="No"/>
    <n v="240"/>
    <n v="48"/>
    <s v="Yes"/>
    <x v="0"/>
    <n v="2026"/>
    <n v="7"/>
    <s v="julho"/>
    <x v="6"/>
    <s v="Neutral"/>
    <s v="No"/>
    <s v="Yes"/>
    <s v="Resolved"/>
    <n v="1"/>
    <n v="0"/>
    <n v="1"/>
    <n v="0"/>
    <n v="0"/>
    <n v="1"/>
    <n v="1"/>
  </r>
  <r>
    <s v="TKT-00074"/>
    <n v="21.71"/>
    <x v="942"/>
    <d v="2026-04-05T20:41:21"/>
    <x v="0"/>
    <x v="3"/>
    <s v="Chat"/>
    <x v="3"/>
    <x v="0"/>
    <x v="3"/>
    <x v="5"/>
    <x v="0"/>
    <n v="141"/>
    <n v="4"/>
    <n v="0"/>
    <n v="2"/>
    <s v="No"/>
    <n v="120"/>
    <n v="24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0761"/>
    <n v="21.36"/>
    <x v="943"/>
    <d v="2026-06-01T16:23:31"/>
    <x v="0"/>
    <x v="2"/>
    <s v="Email"/>
    <x v="0"/>
    <x v="2"/>
    <x v="0"/>
    <x v="1"/>
    <x v="3"/>
    <n v="41"/>
    <n v="4"/>
    <n v="0"/>
    <n v="2"/>
    <s v="No"/>
    <n v="30"/>
    <n v="8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1003"/>
    <n v="20.53"/>
    <x v="944"/>
    <d v="2026-01-14T13:02:34"/>
    <x v="0"/>
    <x v="1"/>
    <s v="Chat"/>
    <x v="2"/>
    <x v="0"/>
    <x v="2"/>
    <x v="3"/>
    <x v="3"/>
    <n v="402"/>
    <n v="3"/>
    <n v="0"/>
    <n v="5"/>
    <s v="No"/>
    <n v="240"/>
    <n v="48"/>
    <s v="No"/>
    <x v="0"/>
    <n v="2026"/>
    <n v="1"/>
    <s v="janeiro"/>
    <x v="1"/>
    <s v="Neutral"/>
    <s v="No"/>
    <s v="Yes"/>
    <s v="Resolved"/>
    <n v="1"/>
    <n v="0"/>
    <n v="1"/>
    <n v="0"/>
    <n v="0"/>
    <n v="0"/>
    <n v="1"/>
  </r>
  <r>
    <s v="TKT-00113"/>
    <n v="40.869999999999997"/>
    <x v="945"/>
    <d v="2026-03-31T20:48:00"/>
    <x v="0"/>
    <x v="3"/>
    <s v="Chat"/>
    <x v="0"/>
    <x v="2"/>
    <x v="2"/>
    <x v="2"/>
    <x v="5"/>
    <n v="102"/>
    <n v="4"/>
    <n v="0"/>
    <n v="6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320"/>
    <n v="6.36"/>
    <x v="946"/>
    <d v="2026-04-30T11:11:46"/>
    <x v="0"/>
    <x v="4"/>
    <s v="Email"/>
    <x v="0"/>
    <x v="1"/>
    <x v="2"/>
    <x v="2"/>
    <x v="0"/>
    <n v="145"/>
    <n v="4"/>
    <n v="0"/>
    <n v="3"/>
    <s v="No"/>
    <m/>
    <m/>
    <m/>
    <x v="3"/>
    <n v="2026"/>
    <n v="4"/>
    <s v="abril"/>
    <x v="0"/>
    <s v="Satisfied"/>
    <s v="No"/>
    <s v="Yes"/>
    <s v="Resolved"/>
    <n v="1"/>
    <n v="0"/>
    <n v="1"/>
    <n v="0"/>
    <n v="0"/>
    <m/>
    <m/>
  </r>
  <r>
    <s v="TKT-00757"/>
    <n v="7.55"/>
    <x v="947"/>
    <d v="2026-07-01T18:56:49"/>
    <x v="0"/>
    <x v="3"/>
    <s v="Web Form"/>
    <x v="2"/>
    <x v="2"/>
    <x v="3"/>
    <x v="0"/>
    <x v="5"/>
    <n v="50"/>
    <n v="5"/>
    <n v="0"/>
    <n v="2"/>
    <s v="No"/>
    <n v="120"/>
    <n v="24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918"/>
    <n v="42.84"/>
    <x v="948"/>
    <d v="2026-02-07T21:24:37"/>
    <x v="0"/>
    <x v="1"/>
    <s v="Chat"/>
    <x v="1"/>
    <x v="0"/>
    <x v="1"/>
    <x v="1"/>
    <x v="2"/>
    <n v="234"/>
    <n v="3"/>
    <n v="0"/>
    <n v="5"/>
    <s v="No"/>
    <n v="240"/>
    <n v="48"/>
    <s v="Yes"/>
    <x v="0"/>
    <n v="2026"/>
    <n v="2"/>
    <s v="fevereiro"/>
    <x v="4"/>
    <s v="Neutral"/>
    <s v="No"/>
    <s v="Yes"/>
    <s v="Resolved"/>
    <n v="1"/>
    <n v="0"/>
    <n v="1"/>
    <n v="0"/>
    <n v="0"/>
    <n v="1"/>
    <n v="1"/>
  </r>
  <r>
    <s v="TKT-00394"/>
    <n v="59.98"/>
    <x v="949"/>
    <d v="2026-05-27T09:12:34"/>
    <x v="0"/>
    <x v="1"/>
    <s v="Web Form"/>
    <x v="4"/>
    <x v="0"/>
    <x v="1"/>
    <x v="3"/>
    <x v="2"/>
    <n v="325"/>
    <n v="3"/>
    <n v="0"/>
    <n v="6"/>
    <s v="No"/>
    <n v="240"/>
    <n v="48"/>
    <s v="No"/>
    <x v="1"/>
    <n v="2026"/>
    <n v="5"/>
    <s v="maio"/>
    <x v="2"/>
    <s v="Neutral"/>
    <s v="No"/>
    <s v="Yes"/>
    <s v="Resolved"/>
    <n v="1"/>
    <n v="0"/>
    <n v="1"/>
    <n v="0"/>
    <n v="0"/>
    <n v="0"/>
    <n v="0"/>
  </r>
  <r>
    <s v="TKT-00539"/>
    <n v="51.29"/>
    <x v="950"/>
    <d v="2026-06-13T19:14:23"/>
    <x v="0"/>
    <x v="3"/>
    <s v="Chat"/>
    <x v="0"/>
    <x v="2"/>
    <x v="2"/>
    <x v="3"/>
    <x v="7"/>
    <n v="72"/>
    <n v="3"/>
    <n v="1"/>
    <n v="8"/>
    <s v="No"/>
    <n v="120"/>
    <n v="24"/>
    <s v="Yes"/>
    <x v="1"/>
    <n v="2026"/>
    <n v="6"/>
    <s v="junho"/>
    <x v="5"/>
    <s v="Neutral"/>
    <s v="Yes"/>
    <s v="Yes"/>
    <s v="Resolved"/>
    <n v="1"/>
    <n v="0"/>
    <n v="1"/>
    <n v="1"/>
    <n v="0"/>
    <n v="1"/>
    <n v="0"/>
  </r>
  <r>
    <s v="TKT-00730"/>
    <n v="19.760000000000002"/>
    <x v="951"/>
    <d v="2026-07-24T07:01:27"/>
    <x v="0"/>
    <x v="3"/>
    <s v="Web Form"/>
    <x v="0"/>
    <x v="0"/>
    <x v="0"/>
    <x v="2"/>
    <x v="8"/>
    <n v="50"/>
    <n v="4"/>
    <n v="1"/>
    <n v="10"/>
    <s v="No"/>
    <n v="120"/>
    <n v="24"/>
    <s v="Yes"/>
    <x v="0"/>
    <n v="2026"/>
    <n v="7"/>
    <s v="julho"/>
    <x v="6"/>
    <s v="Satisfied"/>
    <s v="Yes"/>
    <s v="Yes"/>
    <s v="Resolved"/>
    <n v="1"/>
    <n v="0"/>
    <n v="1"/>
    <n v="1"/>
    <n v="0"/>
    <n v="1"/>
    <n v="1"/>
  </r>
  <r>
    <s v="TKT-01104"/>
    <m/>
    <x v="952"/>
    <m/>
    <x v="2"/>
    <x v="1"/>
    <s v="Email"/>
    <x v="2"/>
    <x v="0"/>
    <x v="0"/>
    <x v="0"/>
    <x v="3"/>
    <n v="614"/>
    <m/>
    <n v="0"/>
    <n v="6"/>
    <s v="No"/>
    <n v="240"/>
    <n v="48"/>
    <s v="No"/>
    <x v="2"/>
    <n v="2026"/>
    <n v="5"/>
    <s v="maio"/>
    <x v="2"/>
    <s v="No Response"/>
    <s v="No"/>
    <s v="No"/>
    <s v="Pending"/>
    <n v="1"/>
    <n v="1"/>
    <n v="0"/>
    <n v="0"/>
    <n v="0"/>
    <n v="0"/>
    <m/>
  </r>
  <r>
    <s v="TKT-00479"/>
    <n v="20.32"/>
    <x v="953"/>
    <d v="2026-06-05T22:58:00"/>
    <x v="0"/>
    <x v="2"/>
    <s v="Web Form"/>
    <x v="1"/>
    <x v="0"/>
    <x v="0"/>
    <x v="5"/>
    <x v="8"/>
    <n v="31"/>
    <n v="4"/>
    <n v="0"/>
    <n v="3"/>
    <s v="No"/>
    <n v="30"/>
    <n v="8"/>
    <s v="No"/>
    <x v="1"/>
    <n v="2026"/>
    <n v="6"/>
    <s v="junho"/>
    <x v="5"/>
    <s v="Satisfied"/>
    <s v="No"/>
    <s v="Yes"/>
    <s v="Resolved"/>
    <n v="1"/>
    <n v="0"/>
    <n v="1"/>
    <n v="0"/>
    <n v="0"/>
    <n v="0"/>
    <n v="0"/>
  </r>
  <r>
    <s v="TKT-00090"/>
    <n v="103.73"/>
    <x v="954"/>
    <d v="2026-03-03T02:40:55"/>
    <x v="0"/>
    <x v="1"/>
    <s v="Email"/>
    <x v="0"/>
    <x v="2"/>
    <x v="0"/>
    <x v="5"/>
    <x v="9"/>
    <n v="179"/>
    <n v="3"/>
    <n v="0"/>
    <n v="10"/>
    <s v="Yes"/>
    <n v="240"/>
    <n v="48"/>
    <s v="Yes"/>
    <x v="1"/>
    <n v="2026"/>
    <n v="2"/>
    <s v="fevereiro"/>
    <x v="4"/>
    <s v="Neutral"/>
    <s v="No"/>
    <s v="Yes"/>
    <s v="Resolved"/>
    <n v="1"/>
    <n v="0"/>
    <n v="1"/>
    <n v="0"/>
    <n v="1"/>
    <n v="1"/>
    <n v="0"/>
  </r>
  <r>
    <s v="TKT-00542"/>
    <n v="10.15"/>
    <x v="955"/>
    <d v="2026-07-07T15:18:11"/>
    <x v="0"/>
    <x v="2"/>
    <s v="Email"/>
    <x v="1"/>
    <x v="1"/>
    <x v="3"/>
    <x v="1"/>
    <x v="6"/>
    <n v="126"/>
    <n v="3"/>
    <n v="0"/>
    <n v="8"/>
    <s v="Yes"/>
    <n v="30"/>
    <n v="8"/>
    <s v="No"/>
    <x v="1"/>
    <n v="2026"/>
    <n v="7"/>
    <s v="julho"/>
    <x v="6"/>
    <s v="Neutral"/>
    <s v="No"/>
    <s v="Yes"/>
    <s v="Resolved"/>
    <n v="1"/>
    <n v="0"/>
    <n v="1"/>
    <n v="0"/>
    <n v="1"/>
    <n v="0"/>
    <n v="0"/>
  </r>
  <r>
    <s v="TKT-00782"/>
    <n v="18.82"/>
    <x v="956"/>
    <d v="2026-07-11T13:43:16"/>
    <x v="0"/>
    <x v="3"/>
    <s v="Email"/>
    <x v="3"/>
    <x v="2"/>
    <x v="3"/>
    <x v="1"/>
    <x v="8"/>
    <n v="58"/>
    <n v="3"/>
    <n v="3"/>
    <n v="14"/>
    <s v="No"/>
    <n v="120"/>
    <n v="24"/>
    <s v="Yes"/>
    <x v="0"/>
    <n v="2026"/>
    <n v="7"/>
    <s v="julho"/>
    <x v="6"/>
    <s v="Neutral"/>
    <s v="Yes"/>
    <s v="Yes"/>
    <s v="Resolved"/>
    <n v="1"/>
    <n v="0"/>
    <n v="1"/>
    <n v="1"/>
    <n v="0"/>
    <n v="1"/>
    <n v="1"/>
  </r>
  <r>
    <s v="TKT-01105"/>
    <n v="18.5"/>
    <x v="957"/>
    <d v="2026-07-19T22:08:55"/>
    <x v="0"/>
    <x v="3"/>
    <s v="Chat"/>
    <x v="0"/>
    <x v="2"/>
    <x v="0"/>
    <x v="4"/>
    <x v="6"/>
    <n v="65"/>
    <n v="4"/>
    <n v="0"/>
    <n v="5"/>
    <s v="No"/>
    <n v="120"/>
    <n v="24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760"/>
    <n v="33.299999999999997"/>
    <x v="958"/>
    <d v="2026-06-28T13:43:47"/>
    <x v="0"/>
    <x v="3"/>
    <s v="Web Form"/>
    <x v="0"/>
    <x v="0"/>
    <x v="0"/>
    <x v="3"/>
    <x v="5"/>
    <n v="461"/>
    <n v="3"/>
    <n v="0"/>
    <n v="2"/>
    <s v="No"/>
    <n v="120"/>
    <n v="24"/>
    <s v="No"/>
    <x v="1"/>
    <n v="2026"/>
    <n v="6"/>
    <s v="junho"/>
    <x v="5"/>
    <s v="Neutral"/>
    <s v="No"/>
    <s v="Yes"/>
    <s v="Resolved"/>
    <n v="1"/>
    <n v="0"/>
    <n v="1"/>
    <n v="0"/>
    <n v="0"/>
    <n v="0"/>
    <n v="0"/>
  </r>
  <r>
    <s v="TKT-00558"/>
    <n v="39.24"/>
    <x v="959"/>
    <d v="2026-05-13T15:50:32"/>
    <x v="0"/>
    <x v="1"/>
    <s v="Web Form"/>
    <x v="0"/>
    <x v="1"/>
    <x v="0"/>
    <x v="1"/>
    <x v="5"/>
    <n v="231"/>
    <n v="3"/>
    <n v="1"/>
    <n v="7"/>
    <s v="No"/>
    <n v="240"/>
    <n v="48"/>
    <s v="Yes"/>
    <x v="0"/>
    <n v="2026"/>
    <n v="5"/>
    <s v="maio"/>
    <x v="2"/>
    <s v="Neutral"/>
    <s v="Yes"/>
    <s v="Yes"/>
    <s v="Resolved"/>
    <n v="1"/>
    <n v="0"/>
    <n v="1"/>
    <n v="1"/>
    <n v="0"/>
    <n v="1"/>
    <n v="1"/>
  </r>
  <r>
    <s v="TKT-00246"/>
    <n v="16.649999999999999"/>
    <x v="960"/>
    <d v="2026-05-13T07:23:06"/>
    <x v="0"/>
    <x v="3"/>
    <s v="Email"/>
    <x v="0"/>
    <x v="1"/>
    <x v="2"/>
    <x v="1"/>
    <x v="8"/>
    <n v="67"/>
    <n v="4"/>
    <n v="0"/>
    <n v="7"/>
    <s v="No"/>
    <n v="120"/>
    <n v="24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0702"/>
    <n v="13.45"/>
    <x v="961"/>
    <d v="2026-07-22T02:30:11"/>
    <x v="0"/>
    <x v="2"/>
    <s v="Email"/>
    <x v="2"/>
    <x v="2"/>
    <x v="0"/>
    <x v="3"/>
    <x v="8"/>
    <n v="69"/>
    <n v="4"/>
    <n v="0"/>
    <n v="2"/>
    <s v="No"/>
    <n v="30"/>
    <n v="8"/>
    <s v="No"/>
    <x v="1"/>
    <n v="2026"/>
    <n v="7"/>
    <s v="julho"/>
    <x v="6"/>
    <s v="Satisfied"/>
    <s v="No"/>
    <s v="Yes"/>
    <s v="Resolved"/>
    <n v="1"/>
    <n v="0"/>
    <n v="1"/>
    <n v="0"/>
    <n v="0"/>
    <n v="0"/>
    <n v="0"/>
  </r>
  <r>
    <s v="TKT-00226"/>
    <n v="44.4"/>
    <x v="962"/>
    <d v="2026-03-03T15:15:57"/>
    <x v="0"/>
    <x v="1"/>
    <s v="Email"/>
    <x v="1"/>
    <x v="0"/>
    <x v="1"/>
    <x v="5"/>
    <x v="10"/>
    <n v="89"/>
    <n v="4"/>
    <n v="0"/>
    <n v="4"/>
    <s v="No"/>
    <n v="240"/>
    <n v="48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971"/>
    <n v="26.82"/>
    <x v="963"/>
    <d v="2026-04-14T11:17:04"/>
    <x v="0"/>
    <x v="3"/>
    <s v="Phone"/>
    <x v="4"/>
    <x v="1"/>
    <x v="3"/>
    <x v="5"/>
    <x v="6"/>
    <n v="89"/>
    <n v="4"/>
    <n v="0"/>
    <n v="3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334"/>
    <n v="23.42"/>
    <x v="964"/>
    <d v="2026-07-12T22:38:00"/>
    <x v="0"/>
    <x v="3"/>
    <s v="Phone"/>
    <x v="0"/>
    <x v="1"/>
    <x v="0"/>
    <x v="4"/>
    <x v="5"/>
    <n v="89"/>
    <n v="4"/>
    <n v="0"/>
    <n v="7"/>
    <s v="No"/>
    <n v="120"/>
    <n v="24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165"/>
    <n v="23.66"/>
    <x v="965"/>
    <d v="2026-01-25T00:48:52"/>
    <x v="0"/>
    <x v="3"/>
    <s v="Web Form"/>
    <x v="2"/>
    <x v="2"/>
    <x v="2"/>
    <x v="2"/>
    <x v="0"/>
    <n v="73"/>
    <n v="4"/>
    <n v="0"/>
    <n v="2"/>
    <s v="No"/>
    <n v="120"/>
    <n v="2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771"/>
    <n v="16.05"/>
    <x v="966"/>
    <d v="2026-01-14T07:19:06"/>
    <x v="0"/>
    <x v="2"/>
    <s v="Phone"/>
    <x v="3"/>
    <x v="1"/>
    <x v="1"/>
    <x v="1"/>
    <x v="8"/>
    <n v="78"/>
    <n v="4"/>
    <n v="0"/>
    <n v="8"/>
    <s v="Yes"/>
    <n v="30"/>
    <n v="8"/>
    <s v="No"/>
    <x v="1"/>
    <n v="2026"/>
    <n v="1"/>
    <s v="janeiro"/>
    <x v="1"/>
    <s v="Satisfied"/>
    <s v="No"/>
    <s v="Yes"/>
    <s v="Resolved"/>
    <n v="1"/>
    <n v="0"/>
    <n v="1"/>
    <n v="0"/>
    <n v="1"/>
    <n v="0"/>
    <n v="0"/>
  </r>
  <r>
    <s v="TKT-00546"/>
    <n v="45.88"/>
    <x v="967"/>
    <d v="2026-01-20T23:10:39"/>
    <x v="0"/>
    <x v="1"/>
    <s v="Chat"/>
    <x v="0"/>
    <x v="2"/>
    <x v="0"/>
    <x v="3"/>
    <x v="3"/>
    <n v="224"/>
    <n v="3"/>
    <n v="0"/>
    <n v="3"/>
    <s v="No"/>
    <n v="240"/>
    <n v="48"/>
    <s v="Yes"/>
    <x v="0"/>
    <n v="2026"/>
    <n v="1"/>
    <s v="janeiro"/>
    <x v="1"/>
    <s v="Neutral"/>
    <s v="No"/>
    <s v="Yes"/>
    <s v="Resolved"/>
    <n v="1"/>
    <n v="0"/>
    <n v="1"/>
    <n v="0"/>
    <n v="0"/>
    <n v="1"/>
    <n v="1"/>
  </r>
  <r>
    <s v="TKT-00543"/>
    <n v="6.98"/>
    <x v="968"/>
    <d v="2026-05-14T01:37:43"/>
    <x v="0"/>
    <x v="2"/>
    <s v="Chat"/>
    <x v="1"/>
    <x v="0"/>
    <x v="2"/>
    <x v="2"/>
    <x v="0"/>
    <n v="49"/>
    <n v="4"/>
    <n v="0"/>
    <n v="7"/>
    <s v="No"/>
    <n v="30"/>
    <n v="8"/>
    <s v="No"/>
    <x v="0"/>
    <n v="2026"/>
    <n v="5"/>
    <s v="maio"/>
    <x v="2"/>
    <s v="Satisfied"/>
    <s v="No"/>
    <s v="Yes"/>
    <s v="Resolved"/>
    <n v="1"/>
    <n v="0"/>
    <n v="1"/>
    <n v="0"/>
    <n v="0"/>
    <n v="0"/>
    <n v="1"/>
  </r>
  <r>
    <s v="TKT-00410"/>
    <n v="86.47"/>
    <x v="969"/>
    <d v="2026-03-13T00:47:58"/>
    <x v="0"/>
    <x v="1"/>
    <s v="Web Form"/>
    <x v="2"/>
    <x v="0"/>
    <x v="3"/>
    <x v="4"/>
    <x v="2"/>
    <n v="61"/>
    <n v="4"/>
    <n v="0"/>
    <n v="4"/>
    <s v="No"/>
    <n v="240"/>
    <n v="48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166"/>
    <n v="17.760000000000002"/>
    <x v="970"/>
    <d v="2026-08-15T08:17:21"/>
    <x v="0"/>
    <x v="3"/>
    <s v="Chat"/>
    <x v="3"/>
    <x v="1"/>
    <x v="1"/>
    <x v="0"/>
    <x v="0"/>
    <n v="238"/>
    <n v="3"/>
    <n v="1"/>
    <n v="8"/>
    <s v="No"/>
    <n v="120"/>
    <n v="24"/>
    <s v="No"/>
    <x v="0"/>
    <n v="2026"/>
    <n v="8"/>
    <s v="agosto"/>
    <x v="3"/>
    <s v="Neutral"/>
    <s v="Yes"/>
    <s v="Yes"/>
    <s v="Resolved"/>
    <n v="1"/>
    <n v="0"/>
    <n v="1"/>
    <n v="1"/>
    <n v="0"/>
    <n v="0"/>
    <n v="1"/>
  </r>
  <r>
    <s v="TKT-00592"/>
    <n v="7.76"/>
    <x v="971"/>
    <d v="2026-03-16T12:43:44"/>
    <x v="0"/>
    <x v="3"/>
    <s v="Phone"/>
    <x v="0"/>
    <x v="1"/>
    <x v="1"/>
    <x v="0"/>
    <x v="0"/>
    <n v="78"/>
    <n v="4"/>
    <n v="0"/>
    <n v="4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312"/>
    <n v="37.46"/>
    <x v="972"/>
    <d v="2026-04-19T18:23:19"/>
    <x v="0"/>
    <x v="3"/>
    <s v="Email"/>
    <x v="2"/>
    <x v="1"/>
    <x v="3"/>
    <x v="1"/>
    <x v="10"/>
    <n v="52"/>
    <n v="4"/>
    <n v="0"/>
    <n v="5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167"/>
    <n v="28.42"/>
    <x v="973"/>
    <d v="2026-01-08T04:39:03"/>
    <x v="0"/>
    <x v="3"/>
    <s v="Email"/>
    <x v="2"/>
    <x v="2"/>
    <x v="2"/>
    <x v="1"/>
    <x v="2"/>
    <n v="53"/>
    <n v="4"/>
    <n v="0"/>
    <n v="3"/>
    <s v="No"/>
    <n v="120"/>
    <n v="24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298"/>
    <n v="11.66"/>
    <x v="974"/>
    <d v="2026-08-29T16:19:45"/>
    <x v="0"/>
    <x v="3"/>
    <s v="Web Form"/>
    <x v="2"/>
    <x v="2"/>
    <x v="1"/>
    <x v="1"/>
    <x v="2"/>
    <n v="198"/>
    <n v="4"/>
    <n v="0"/>
    <n v="4"/>
    <s v="No"/>
    <n v="120"/>
    <n v="24"/>
    <s v="No"/>
    <x v="0"/>
    <n v="2026"/>
    <n v="8"/>
    <s v="agosto"/>
    <x v="3"/>
    <s v="Satisfied"/>
    <s v="No"/>
    <s v="Yes"/>
    <s v="Resolved"/>
    <n v="1"/>
    <n v="0"/>
    <n v="1"/>
    <n v="0"/>
    <n v="0"/>
    <n v="0"/>
    <n v="1"/>
  </r>
  <r>
    <s v="TKT-00518"/>
    <n v="3.7"/>
    <x v="975"/>
    <d v="2026-06-01T22:39:06"/>
    <x v="0"/>
    <x v="3"/>
    <s v="Chat"/>
    <x v="1"/>
    <x v="1"/>
    <x v="0"/>
    <x v="0"/>
    <x v="7"/>
    <n v="235"/>
    <n v="4"/>
    <n v="0"/>
    <n v="5"/>
    <s v="No"/>
    <n v="120"/>
    <n v="24"/>
    <s v="No"/>
    <x v="0"/>
    <n v="2026"/>
    <n v="6"/>
    <s v="junho"/>
    <x v="5"/>
    <s v="Satisfied"/>
    <s v="No"/>
    <s v="Yes"/>
    <s v="Resolved"/>
    <n v="1"/>
    <n v="0"/>
    <n v="1"/>
    <n v="0"/>
    <n v="0"/>
    <n v="0"/>
    <n v="1"/>
  </r>
  <r>
    <s v="TKT-00618"/>
    <n v="93.37"/>
    <x v="976"/>
    <d v="2026-06-04T08:29:06"/>
    <x v="0"/>
    <x v="1"/>
    <s v="Chat"/>
    <x v="4"/>
    <x v="1"/>
    <x v="2"/>
    <x v="5"/>
    <x v="2"/>
    <n v="223"/>
    <n v="3"/>
    <n v="0"/>
    <n v="7"/>
    <s v="No"/>
    <n v="240"/>
    <n v="48"/>
    <s v="Yes"/>
    <x v="1"/>
    <n v="2026"/>
    <n v="5"/>
    <s v="maio"/>
    <x v="2"/>
    <s v="Neutral"/>
    <s v="No"/>
    <s v="Yes"/>
    <s v="Resolved"/>
    <n v="1"/>
    <n v="0"/>
    <n v="1"/>
    <n v="0"/>
    <n v="0"/>
    <n v="1"/>
    <n v="0"/>
  </r>
  <r>
    <s v="TKT-00537"/>
    <n v="26.9"/>
    <x v="977"/>
    <d v="2026-04-15T10:09:53"/>
    <x v="0"/>
    <x v="3"/>
    <s v="Phone"/>
    <x v="4"/>
    <x v="1"/>
    <x v="2"/>
    <x v="5"/>
    <x v="9"/>
    <n v="79"/>
    <n v="4"/>
    <n v="0"/>
    <n v="2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144"/>
    <n v="28.48"/>
    <x v="978"/>
    <d v="2026-06-13T19:06:05"/>
    <x v="0"/>
    <x v="3"/>
    <s v="Email"/>
    <x v="3"/>
    <x v="1"/>
    <x v="2"/>
    <x v="1"/>
    <x v="5"/>
    <n v="153"/>
    <n v="4"/>
    <n v="0"/>
    <n v="3"/>
    <s v="No"/>
    <n v="120"/>
    <n v="24"/>
    <s v="No"/>
    <x v="1"/>
    <n v="2026"/>
    <n v="6"/>
    <s v="junho"/>
    <x v="5"/>
    <s v="Satisfied"/>
    <s v="No"/>
    <s v="Yes"/>
    <s v="Resolved"/>
    <n v="1"/>
    <n v="0"/>
    <n v="1"/>
    <n v="0"/>
    <n v="0"/>
    <n v="0"/>
    <n v="0"/>
  </r>
  <r>
    <s v="TKT-00799"/>
    <n v="74.2"/>
    <x v="979"/>
    <d v="2026-02-23T18:53:16"/>
    <x v="0"/>
    <x v="1"/>
    <s v="Email"/>
    <x v="3"/>
    <x v="1"/>
    <x v="2"/>
    <x v="5"/>
    <x v="7"/>
    <n v="243"/>
    <n v="2"/>
    <n v="1"/>
    <n v="8"/>
    <s v="No"/>
    <n v="240"/>
    <n v="48"/>
    <s v="No"/>
    <x v="1"/>
    <n v="2026"/>
    <n v="2"/>
    <s v="fevereiro"/>
    <x v="4"/>
    <s v="Dissatisfied"/>
    <s v="Yes"/>
    <s v="Yes"/>
    <s v="Resolved"/>
    <n v="1"/>
    <n v="0"/>
    <n v="1"/>
    <n v="1"/>
    <n v="0"/>
    <n v="0"/>
    <n v="0"/>
  </r>
  <r>
    <s v="TKT-00142"/>
    <n v="21.86"/>
    <x v="980"/>
    <d v="2026-01-06T11:22:21"/>
    <x v="0"/>
    <x v="3"/>
    <s v="Chat"/>
    <x v="0"/>
    <x v="1"/>
    <x v="2"/>
    <x v="3"/>
    <x v="7"/>
    <n v="167"/>
    <n v="4"/>
    <n v="0"/>
    <n v="2"/>
    <s v="No"/>
    <n v="120"/>
    <n v="24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1094"/>
    <n v="9.01"/>
    <x v="981"/>
    <d v="2026-06-25T13:08:36"/>
    <x v="0"/>
    <x v="0"/>
    <s v="Chat"/>
    <x v="2"/>
    <x v="1"/>
    <x v="3"/>
    <x v="5"/>
    <x v="10"/>
    <n v="6"/>
    <n v="5"/>
    <n v="0"/>
    <n v="5"/>
    <s v="No"/>
    <n v="15"/>
    <n v="4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0718"/>
    <n v="11.19"/>
    <x v="982"/>
    <d v="2026-02-02T18:29:13"/>
    <x v="0"/>
    <x v="2"/>
    <s v="Email"/>
    <x v="2"/>
    <x v="1"/>
    <x v="1"/>
    <x v="3"/>
    <x v="9"/>
    <n v="13"/>
    <n v="5"/>
    <n v="0"/>
    <n v="10"/>
    <s v="Yes"/>
    <n v="30"/>
    <n v="8"/>
    <s v="Yes"/>
    <x v="1"/>
    <n v="2026"/>
    <n v="2"/>
    <s v="fevereiro"/>
    <x v="4"/>
    <s v="Satisfied"/>
    <s v="No"/>
    <s v="Yes"/>
    <s v="Resolved"/>
    <n v="1"/>
    <n v="0"/>
    <n v="1"/>
    <n v="0"/>
    <n v="1"/>
    <n v="1"/>
    <n v="0"/>
  </r>
  <r>
    <s v="TKT-00018"/>
    <n v="12.18"/>
    <x v="983"/>
    <d v="2026-04-07T08:08:39"/>
    <x v="0"/>
    <x v="3"/>
    <s v="Email"/>
    <x v="0"/>
    <x v="1"/>
    <x v="1"/>
    <x v="2"/>
    <x v="2"/>
    <n v="68"/>
    <n v="4"/>
    <n v="0"/>
    <n v="3"/>
    <s v="No"/>
    <n v="120"/>
    <n v="24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253"/>
    <n v="5.89"/>
    <x v="984"/>
    <d v="2026-02-18T18:46:31"/>
    <x v="0"/>
    <x v="3"/>
    <s v="Email"/>
    <x v="1"/>
    <x v="1"/>
    <x v="2"/>
    <x v="2"/>
    <x v="2"/>
    <n v="312"/>
    <n v="4"/>
    <n v="0"/>
    <n v="2"/>
    <s v="No"/>
    <n v="120"/>
    <n v="24"/>
    <s v="No"/>
    <x v="0"/>
    <n v="2026"/>
    <n v="2"/>
    <s v="fevereiro"/>
    <x v="4"/>
    <s v="Satisfied"/>
    <s v="No"/>
    <s v="Yes"/>
    <s v="Resolved"/>
    <n v="1"/>
    <n v="0"/>
    <n v="1"/>
    <n v="0"/>
    <n v="0"/>
    <n v="0"/>
    <n v="1"/>
  </r>
  <r>
    <s v="TKT-00087"/>
    <n v="7.11"/>
    <x v="985"/>
    <d v="2026-02-03T00:14:53"/>
    <x v="0"/>
    <x v="2"/>
    <s v="Chat"/>
    <x v="1"/>
    <x v="2"/>
    <x v="1"/>
    <x v="1"/>
    <x v="9"/>
    <n v="35"/>
    <n v="4"/>
    <n v="0"/>
    <n v="6"/>
    <s v="No"/>
    <n v="30"/>
    <n v="8"/>
    <s v="No"/>
    <x v="0"/>
    <n v="2026"/>
    <n v="2"/>
    <s v="fevereiro"/>
    <x v="4"/>
    <s v="Satisfied"/>
    <s v="No"/>
    <s v="Yes"/>
    <s v="Resolved"/>
    <n v="1"/>
    <n v="0"/>
    <n v="1"/>
    <n v="0"/>
    <n v="0"/>
    <n v="0"/>
    <n v="1"/>
  </r>
  <r>
    <s v="TKT-01031"/>
    <n v="24.08"/>
    <x v="986"/>
    <d v="2026-05-09T16:51:58"/>
    <x v="0"/>
    <x v="2"/>
    <s v="Phone"/>
    <x v="2"/>
    <x v="1"/>
    <x v="2"/>
    <x v="4"/>
    <x v="5"/>
    <n v="27"/>
    <n v="5"/>
    <n v="0"/>
    <n v="3"/>
    <s v="No"/>
    <n v="30"/>
    <n v="8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025"/>
    <n v="19.239999999999998"/>
    <x v="987"/>
    <d v="2026-02-26T13:56:29"/>
    <x v="0"/>
    <x v="3"/>
    <s v="Web Form"/>
    <x v="2"/>
    <x v="2"/>
    <x v="2"/>
    <x v="2"/>
    <x v="1"/>
    <n v="71"/>
    <n v="4"/>
    <n v="0"/>
    <n v="5"/>
    <s v="No"/>
    <n v="120"/>
    <n v="24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365"/>
    <n v="26.37"/>
    <x v="988"/>
    <d v="2026-08-10T17:56:21"/>
    <x v="0"/>
    <x v="3"/>
    <s v="Chat"/>
    <x v="0"/>
    <x v="1"/>
    <x v="1"/>
    <x v="3"/>
    <x v="3"/>
    <n v="37"/>
    <n v="4"/>
    <n v="0"/>
    <n v="3"/>
    <s v="No"/>
    <n v="120"/>
    <n v="24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415"/>
    <n v="70.13"/>
    <x v="989"/>
    <d v="2026-05-02T16:39:39"/>
    <x v="0"/>
    <x v="1"/>
    <s v="Web Form"/>
    <x v="0"/>
    <x v="1"/>
    <x v="1"/>
    <x v="5"/>
    <x v="1"/>
    <n v="380"/>
    <n v="2"/>
    <n v="1"/>
    <n v="13"/>
    <s v="Yes"/>
    <n v="240"/>
    <n v="48"/>
    <s v="No"/>
    <x v="1"/>
    <n v="2026"/>
    <n v="4"/>
    <s v="abril"/>
    <x v="0"/>
    <s v="Dissatisfied"/>
    <s v="Yes"/>
    <s v="Yes"/>
    <s v="Resolved"/>
    <n v="1"/>
    <n v="0"/>
    <n v="1"/>
    <n v="1"/>
    <n v="1"/>
    <n v="0"/>
    <n v="0"/>
  </r>
  <r>
    <s v="TKT-00986"/>
    <n v="7.1"/>
    <x v="990"/>
    <d v="2026-04-06T13:00:53"/>
    <x v="0"/>
    <x v="2"/>
    <s v="Email"/>
    <x v="3"/>
    <x v="2"/>
    <x v="1"/>
    <x v="2"/>
    <x v="0"/>
    <n v="58"/>
    <n v="4"/>
    <n v="0"/>
    <n v="3"/>
    <s v="No"/>
    <n v="30"/>
    <n v="8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0926"/>
    <n v="7.18"/>
    <x v="991"/>
    <d v="2026-07-02T01:20:04"/>
    <x v="0"/>
    <x v="3"/>
    <s v="Web Form"/>
    <x v="3"/>
    <x v="0"/>
    <x v="2"/>
    <x v="2"/>
    <x v="6"/>
    <n v="78"/>
    <n v="4"/>
    <n v="0"/>
    <n v="6"/>
    <s v="No"/>
    <n v="120"/>
    <n v="24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929"/>
    <n v="42.67"/>
    <x v="992"/>
    <d v="2026-01-24T21:58:15"/>
    <x v="0"/>
    <x v="3"/>
    <s v="Web Form"/>
    <x v="0"/>
    <x v="2"/>
    <x v="3"/>
    <x v="1"/>
    <x v="2"/>
    <n v="245"/>
    <n v="3"/>
    <n v="0"/>
    <n v="5"/>
    <s v="No"/>
    <n v="120"/>
    <n v="24"/>
    <s v="No"/>
    <x v="1"/>
    <n v="2026"/>
    <n v="1"/>
    <s v="janeiro"/>
    <x v="1"/>
    <s v="Neutral"/>
    <s v="No"/>
    <s v="Yes"/>
    <s v="Resolved"/>
    <n v="1"/>
    <n v="0"/>
    <n v="1"/>
    <n v="0"/>
    <n v="0"/>
    <n v="0"/>
    <n v="0"/>
  </r>
  <r>
    <s v="TKT-00901"/>
    <n v="68.89"/>
    <x v="993"/>
    <d v="2026-08-15T22:17:08"/>
    <x v="0"/>
    <x v="3"/>
    <s v="Chat"/>
    <x v="0"/>
    <x v="2"/>
    <x v="2"/>
    <x v="1"/>
    <x v="0"/>
    <n v="79"/>
    <n v="4"/>
    <n v="0"/>
    <n v="5"/>
    <s v="No"/>
    <n v="120"/>
    <n v="24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821"/>
    <n v="10.88"/>
    <x v="994"/>
    <d v="2026-03-17T00:37:00"/>
    <x v="0"/>
    <x v="2"/>
    <s v="Email"/>
    <x v="0"/>
    <x v="1"/>
    <x v="3"/>
    <x v="1"/>
    <x v="2"/>
    <n v="42"/>
    <n v="4"/>
    <n v="0"/>
    <n v="5"/>
    <s v="No"/>
    <n v="30"/>
    <n v="8"/>
    <s v="No"/>
    <x v="1"/>
    <n v="2026"/>
    <n v="3"/>
    <s v="março"/>
    <x v="7"/>
    <s v="Satisfied"/>
    <s v="No"/>
    <s v="Yes"/>
    <s v="Resolved"/>
    <n v="1"/>
    <n v="0"/>
    <n v="1"/>
    <n v="0"/>
    <n v="0"/>
    <n v="0"/>
    <n v="0"/>
  </r>
  <r>
    <s v="TKT-00382"/>
    <n v="24.54"/>
    <x v="995"/>
    <d v="2026-02-25T05:00:33"/>
    <x v="0"/>
    <x v="3"/>
    <s v="Chat"/>
    <x v="4"/>
    <x v="0"/>
    <x v="0"/>
    <x v="0"/>
    <x v="10"/>
    <n v="219"/>
    <n v="3"/>
    <n v="0"/>
    <n v="5"/>
    <s v="No"/>
    <n v="120"/>
    <n v="24"/>
    <s v="No"/>
    <x v="1"/>
    <n v="2026"/>
    <n v="2"/>
    <s v="fevereiro"/>
    <x v="4"/>
    <s v="Neutral"/>
    <s v="No"/>
    <s v="Yes"/>
    <s v="Resolved"/>
    <n v="1"/>
    <n v="0"/>
    <n v="1"/>
    <n v="0"/>
    <n v="0"/>
    <n v="0"/>
    <n v="0"/>
  </r>
  <r>
    <s v="TKT-00043"/>
    <n v="19.34"/>
    <x v="996"/>
    <d v="2026-01-10T07:04:08"/>
    <x v="0"/>
    <x v="3"/>
    <s v="Web Form"/>
    <x v="1"/>
    <x v="2"/>
    <x v="0"/>
    <x v="5"/>
    <x v="7"/>
    <n v="58"/>
    <n v="4"/>
    <n v="0"/>
    <n v="3"/>
    <s v="No"/>
    <n v="120"/>
    <n v="2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668"/>
    <m/>
    <x v="997"/>
    <m/>
    <x v="1"/>
    <x v="2"/>
    <s v="Chat"/>
    <x v="4"/>
    <x v="2"/>
    <x v="0"/>
    <x v="2"/>
    <x v="9"/>
    <n v="20"/>
    <m/>
    <n v="0"/>
    <n v="4"/>
    <s v="No"/>
    <n v="30"/>
    <n v="8"/>
    <s v="Yes"/>
    <x v="2"/>
    <n v="2026"/>
    <n v="6"/>
    <s v="junho"/>
    <x v="5"/>
    <s v="No Response"/>
    <s v="No"/>
    <s v="No"/>
    <s v="Open"/>
    <n v="1"/>
    <n v="1"/>
    <n v="0"/>
    <n v="0"/>
    <n v="0"/>
    <n v="1"/>
    <m/>
  </r>
  <r>
    <s v="TKT-00955"/>
    <n v="53.95"/>
    <x v="998"/>
    <d v="2026-08-23T13:45:09"/>
    <x v="0"/>
    <x v="1"/>
    <s v="Email"/>
    <x v="2"/>
    <x v="0"/>
    <x v="3"/>
    <x v="1"/>
    <x v="8"/>
    <n v="282"/>
    <n v="3"/>
    <n v="0"/>
    <n v="7"/>
    <s v="No"/>
    <n v="240"/>
    <n v="48"/>
    <s v="No"/>
    <x v="1"/>
    <n v="2026"/>
    <n v="8"/>
    <s v="agosto"/>
    <x v="3"/>
    <s v="Neutral"/>
    <s v="No"/>
    <s v="Yes"/>
    <s v="Resolved"/>
    <n v="1"/>
    <n v="0"/>
    <n v="1"/>
    <n v="0"/>
    <n v="0"/>
    <n v="0"/>
    <n v="0"/>
  </r>
  <r>
    <s v="TKT-00495"/>
    <m/>
    <x v="999"/>
    <m/>
    <x v="2"/>
    <x v="3"/>
    <s v="Chat"/>
    <x v="3"/>
    <x v="1"/>
    <x v="1"/>
    <x v="4"/>
    <x v="10"/>
    <n v="334"/>
    <m/>
    <n v="0"/>
    <n v="2"/>
    <s v="No"/>
    <n v="120"/>
    <n v="24"/>
    <s v="No"/>
    <x v="2"/>
    <n v="2026"/>
    <n v="5"/>
    <s v="maio"/>
    <x v="2"/>
    <s v="No Response"/>
    <s v="No"/>
    <s v="No"/>
    <s v="Pending"/>
    <n v="1"/>
    <n v="1"/>
    <n v="0"/>
    <n v="0"/>
    <n v="0"/>
    <n v="0"/>
    <m/>
  </r>
  <r>
    <s v="TKT-01065"/>
    <n v="19.350000000000001"/>
    <x v="1000"/>
    <d v="2026-08-09T13:23:54"/>
    <x v="0"/>
    <x v="3"/>
    <s v="Web Form"/>
    <x v="0"/>
    <x v="1"/>
    <x v="1"/>
    <x v="2"/>
    <x v="0"/>
    <n v="48"/>
    <n v="5"/>
    <n v="0"/>
    <n v="5"/>
    <s v="No"/>
    <n v="120"/>
    <n v="24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905"/>
    <n v="45.57"/>
    <x v="1001"/>
    <d v="2026-02-03T08:57:01"/>
    <x v="0"/>
    <x v="1"/>
    <s v="Phone"/>
    <x v="3"/>
    <x v="1"/>
    <x v="1"/>
    <x v="0"/>
    <x v="6"/>
    <n v="176"/>
    <n v="3"/>
    <n v="0"/>
    <n v="9"/>
    <s v="Yes"/>
    <n v="240"/>
    <n v="48"/>
    <s v="Yes"/>
    <x v="0"/>
    <n v="2026"/>
    <n v="2"/>
    <s v="fevereiro"/>
    <x v="4"/>
    <s v="Neutral"/>
    <s v="No"/>
    <s v="Yes"/>
    <s v="Resolved"/>
    <n v="1"/>
    <n v="0"/>
    <n v="1"/>
    <n v="0"/>
    <n v="1"/>
    <n v="1"/>
    <n v="1"/>
  </r>
  <r>
    <s v="TKT-00989"/>
    <n v="7.61"/>
    <x v="1002"/>
    <d v="2026-01-18T16:28:30"/>
    <x v="0"/>
    <x v="2"/>
    <s v="Chat"/>
    <x v="0"/>
    <x v="2"/>
    <x v="3"/>
    <x v="1"/>
    <x v="0"/>
    <n v="23"/>
    <n v="4"/>
    <n v="1"/>
    <n v="4"/>
    <s v="No"/>
    <n v="30"/>
    <n v="8"/>
    <s v="Yes"/>
    <x v="0"/>
    <n v="2026"/>
    <n v="1"/>
    <s v="janeiro"/>
    <x v="1"/>
    <s v="Satisfied"/>
    <s v="Yes"/>
    <s v="Yes"/>
    <s v="Resolved"/>
    <n v="1"/>
    <n v="0"/>
    <n v="1"/>
    <n v="1"/>
    <n v="0"/>
    <n v="1"/>
    <n v="1"/>
  </r>
  <r>
    <s v="TKT-00507"/>
    <n v="28.19"/>
    <x v="1003"/>
    <d v="2026-04-30T08:39:11"/>
    <x v="0"/>
    <x v="3"/>
    <s v="Email"/>
    <x v="0"/>
    <x v="2"/>
    <x v="2"/>
    <x v="5"/>
    <x v="9"/>
    <n v="62"/>
    <n v="4"/>
    <n v="0"/>
    <n v="5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992"/>
    <n v="13.14"/>
    <x v="1004"/>
    <d v="2026-07-31T17:34:11"/>
    <x v="0"/>
    <x v="2"/>
    <s v="Email"/>
    <x v="4"/>
    <x v="1"/>
    <x v="2"/>
    <x v="5"/>
    <x v="10"/>
    <n v="36"/>
    <n v="4"/>
    <n v="0"/>
    <n v="5"/>
    <s v="No"/>
    <n v="30"/>
    <n v="8"/>
    <s v="No"/>
    <x v="1"/>
    <n v="2026"/>
    <n v="7"/>
    <s v="julho"/>
    <x v="6"/>
    <s v="Satisfied"/>
    <s v="No"/>
    <s v="Yes"/>
    <s v="Resolved"/>
    <n v="1"/>
    <n v="0"/>
    <n v="1"/>
    <n v="0"/>
    <n v="0"/>
    <n v="0"/>
    <n v="0"/>
  </r>
  <r>
    <s v="TKT-01124"/>
    <n v="18.309999999999999"/>
    <x v="1005"/>
    <d v="2026-05-13T12:40:38"/>
    <x v="0"/>
    <x v="2"/>
    <s v="Email"/>
    <x v="0"/>
    <x v="1"/>
    <x v="2"/>
    <x v="1"/>
    <x v="3"/>
    <n v="48"/>
    <n v="4"/>
    <n v="0"/>
    <n v="5"/>
    <s v="No"/>
    <n v="30"/>
    <n v="8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287"/>
    <n v="6.85"/>
    <x v="1006"/>
    <d v="2026-01-20T11:23:50"/>
    <x v="0"/>
    <x v="2"/>
    <s v="Email"/>
    <x v="3"/>
    <x v="1"/>
    <x v="1"/>
    <x v="5"/>
    <x v="3"/>
    <n v="26"/>
    <n v="5"/>
    <n v="0"/>
    <n v="3"/>
    <s v="No"/>
    <n v="30"/>
    <n v="8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908"/>
    <n v="19.8"/>
    <x v="1007"/>
    <d v="2026-06-02T10:40:51"/>
    <x v="0"/>
    <x v="1"/>
    <s v="Phone"/>
    <x v="0"/>
    <x v="1"/>
    <x v="1"/>
    <x v="0"/>
    <x v="5"/>
    <n v="213"/>
    <n v="4"/>
    <n v="0"/>
    <n v="7"/>
    <s v="No"/>
    <n v="240"/>
    <n v="48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435"/>
    <n v="7.16"/>
    <x v="1008"/>
    <d v="2026-01-25T14:31:30"/>
    <x v="0"/>
    <x v="3"/>
    <s v="Chat"/>
    <x v="1"/>
    <x v="1"/>
    <x v="1"/>
    <x v="2"/>
    <x v="0"/>
    <n v="96"/>
    <n v="5"/>
    <n v="0"/>
    <n v="5"/>
    <s v="No"/>
    <n v="120"/>
    <n v="2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0139"/>
    <n v="3.48"/>
    <x v="1009"/>
    <d v="2026-04-10T15:08:30"/>
    <x v="0"/>
    <x v="2"/>
    <s v="Chat"/>
    <x v="3"/>
    <x v="2"/>
    <x v="3"/>
    <x v="0"/>
    <x v="7"/>
    <n v="25"/>
    <n v="4"/>
    <n v="0"/>
    <n v="5"/>
    <s v="No"/>
    <n v="30"/>
    <n v="8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1059"/>
    <n v="4.5999999999999996"/>
    <x v="1010"/>
    <d v="2026-06-02T21:50:07"/>
    <x v="0"/>
    <x v="4"/>
    <s v="Web Form"/>
    <x v="3"/>
    <x v="1"/>
    <x v="1"/>
    <x v="0"/>
    <x v="3"/>
    <n v="81"/>
    <n v="4"/>
    <n v="1"/>
    <n v="7"/>
    <s v="No"/>
    <m/>
    <m/>
    <m/>
    <x v="3"/>
    <n v="2026"/>
    <n v="6"/>
    <s v="junho"/>
    <x v="5"/>
    <s v="Satisfied"/>
    <s v="Yes"/>
    <s v="Yes"/>
    <s v="Resolved"/>
    <n v="1"/>
    <n v="0"/>
    <n v="1"/>
    <n v="1"/>
    <n v="0"/>
    <m/>
    <m/>
  </r>
  <r>
    <s v="TKT-00961"/>
    <n v="12.59"/>
    <x v="1011"/>
    <d v="2026-04-16T19:56:16"/>
    <x v="0"/>
    <x v="3"/>
    <s v="Email"/>
    <x v="0"/>
    <x v="2"/>
    <x v="0"/>
    <x v="2"/>
    <x v="8"/>
    <n v="193"/>
    <n v="4"/>
    <n v="0"/>
    <n v="7"/>
    <s v="No"/>
    <n v="120"/>
    <n v="24"/>
    <s v="No"/>
    <x v="0"/>
    <n v="2026"/>
    <n v="4"/>
    <s v="abril"/>
    <x v="0"/>
    <s v="Satisfied"/>
    <s v="No"/>
    <s v="Yes"/>
    <s v="Resolved"/>
    <n v="1"/>
    <n v="0"/>
    <n v="1"/>
    <n v="0"/>
    <n v="0"/>
    <n v="0"/>
    <n v="1"/>
  </r>
  <r>
    <s v="TKT-00183"/>
    <n v="13.49"/>
    <x v="1012"/>
    <d v="2026-05-31T10:01:22"/>
    <x v="0"/>
    <x v="2"/>
    <s v="Email"/>
    <x v="3"/>
    <x v="2"/>
    <x v="2"/>
    <x v="3"/>
    <x v="5"/>
    <n v="23"/>
    <n v="5"/>
    <n v="0"/>
    <n v="7"/>
    <s v="No"/>
    <n v="30"/>
    <n v="8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089"/>
    <n v="23.8"/>
    <x v="1013"/>
    <d v="2026-05-27T03:48:42"/>
    <x v="0"/>
    <x v="3"/>
    <s v="Email"/>
    <x v="2"/>
    <x v="2"/>
    <x v="0"/>
    <x v="1"/>
    <x v="6"/>
    <n v="85"/>
    <n v="4"/>
    <n v="0"/>
    <n v="6"/>
    <s v="No"/>
    <n v="120"/>
    <n v="24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0727"/>
    <n v="24.58"/>
    <x v="1014"/>
    <d v="2026-07-19T16:29:44"/>
    <x v="0"/>
    <x v="1"/>
    <s v="Chat"/>
    <x v="2"/>
    <x v="2"/>
    <x v="2"/>
    <x v="3"/>
    <x v="7"/>
    <n v="229"/>
    <n v="4"/>
    <n v="0"/>
    <n v="2"/>
    <s v="No"/>
    <n v="240"/>
    <n v="48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347"/>
    <n v="14.73"/>
    <x v="1015"/>
    <d v="2026-08-19T03:10:02"/>
    <x v="0"/>
    <x v="3"/>
    <s v="Email"/>
    <x v="1"/>
    <x v="1"/>
    <x v="3"/>
    <x v="0"/>
    <x v="10"/>
    <n v="293"/>
    <n v="3"/>
    <n v="0"/>
    <n v="7"/>
    <s v="Yes"/>
    <n v="120"/>
    <n v="24"/>
    <s v="No"/>
    <x v="0"/>
    <n v="2026"/>
    <n v="8"/>
    <s v="agosto"/>
    <x v="3"/>
    <s v="Neutral"/>
    <s v="No"/>
    <s v="Yes"/>
    <s v="Resolved"/>
    <n v="1"/>
    <n v="0"/>
    <n v="1"/>
    <n v="0"/>
    <n v="1"/>
    <n v="0"/>
    <n v="1"/>
  </r>
  <r>
    <s v="TKT-00675"/>
    <n v="36.89"/>
    <x v="1016"/>
    <d v="2026-05-31T16:49:33"/>
    <x v="0"/>
    <x v="1"/>
    <s v="Email"/>
    <x v="0"/>
    <x v="2"/>
    <x v="3"/>
    <x v="4"/>
    <x v="0"/>
    <n v="512"/>
    <n v="3"/>
    <n v="0"/>
    <n v="7"/>
    <s v="No"/>
    <n v="240"/>
    <n v="48"/>
    <s v="No"/>
    <x v="0"/>
    <n v="2026"/>
    <n v="5"/>
    <s v="maio"/>
    <x v="2"/>
    <s v="Neutral"/>
    <s v="No"/>
    <s v="Yes"/>
    <s v="Resolved"/>
    <n v="1"/>
    <n v="0"/>
    <n v="1"/>
    <n v="0"/>
    <n v="0"/>
    <n v="0"/>
    <n v="1"/>
  </r>
  <r>
    <s v="TKT-00835"/>
    <n v="31.24"/>
    <x v="1017"/>
    <d v="2026-06-30T23:46:24"/>
    <x v="0"/>
    <x v="1"/>
    <s v="Email"/>
    <x v="2"/>
    <x v="2"/>
    <x v="1"/>
    <x v="2"/>
    <x v="5"/>
    <n v="260"/>
    <n v="3"/>
    <n v="0"/>
    <n v="7"/>
    <s v="Yes"/>
    <n v="240"/>
    <n v="48"/>
    <s v="No"/>
    <x v="0"/>
    <n v="2026"/>
    <n v="6"/>
    <s v="junho"/>
    <x v="5"/>
    <s v="Neutral"/>
    <s v="No"/>
    <s v="Yes"/>
    <s v="Resolved"/>
    <n v="1"/>
    <n v="0"/>
    <n v="1"/>
    <n v="0"/>
    <n v="1"/>
    <n v="0"/>
    <n v="1"/>
  </r>
  <r>
    <s v="TKT-01080"/>
    <n v="4.59"/>
    <x v="1018"/>
    <d v="2026-03-08T06:07:15"/>
    <x v="0"/>
    <x v="3"/>
    <s v="Email"/>
    <x v="2"/>
    <x v="2"/>
    <x v="3"/>
    <x v="0"/>
    <x v="8"/>
    <n v="45"/>
    <n v="4"/>
    <n v="0"/>
    <n v="3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588"/>
    <n v="79.87"/>
    <x v="1019"/>
    <d v="2026-02-14T06:36:58"/>
    <x v="0"/>
    <x v="1"/>
    <s v="Email"/>
    <x v="4"/>
    <x v="1"/>
    <x v="1"/>
    <x v="5"/>
    <x v="9"/>
    <n v="156"/>
    <n v="3"/>
    <n v="0"/>
    <n v="10"/>
    <s v="Yes"/>
    <n v="240"/>
    <n v="48"/>
    <s v="Yes"/>
    <x v="1"/>
    <n v="2026"/>
    <n v="2"/>
    <s v="fevereiro"/>
    <x v="4"/>
    <s v="Neutral"/>
    <s v="No"/>
    <s v="Yes"/>
    <s v="Resolved"/>
    <n v="1"/>
    <n v="0"/>
    <n v="1"/>
    <n v="0"/>
    <n v="1"/>
    <n v="1"/>
    <n v="0"/>
  </r>
  <r>
    <s v="TKT-01056"/>
    <n v="36.409999999999997"/>
    <x v="1020"/>
    <d v="2026-02-06T17:22:52"/>
    <x v="0"/>
    <x v="3"/>
    <s v="Chat"/>
    <x v="0"/>
    <x v="0"/>
    <x v="0"/>
    <x v="5"/>
    <x v="5"/>
    <n v="129"/>
    <n v="4"/>
    <n v="0"/>
    <n v="3"/>
    <s v="No"/>
    <n v="120"/>
    <n v="24"/>
    <s v="No"/>
    <x v="1"/>
    <n v="2026"/>
    <n v="2"/>
    <s v="fevereiro"/>
    <x v="4"/>
    <s v="Satisfied"/>
    <s v="No"/>
    <s v="Yes"/>
    <s v="Resolved"/>
    <n v="1"/>
    <n v="0"/>
    <n v="1"/>
    <n v="0"/>
    <n v="0"/>
    <n v="0"/>
    <n v="0"/>
  </r>
  <r>
    <s v="TKT-00031"/>
    <n v="27.51"/>
    <x v="1021"/>
    <d v="2026-02-02T18:57:30"/>
    <x v="0"/>
    <x v="3"/>
    <s v="Email"/>
    <x v="1"/>
    <x v="2"/>
    <x v="3"/>
    <x v="2"/>
    <x v="6"/>
    <n v="115"/>
    <n v="4"/>
    <n v="0"/>
    <n v="4"/>
    <s v="No"/>
    <n v="120"/>
    <n v="24"/>
    <s v="Yes"/>
    <x v="1"/>
    <n v="2026"/>
    <n v="2"/>
    <s v="fevereiro"/>
    <x v="4"/>
    <s v="Satisfied"/>
    <s v="No"/>
    <s v="Yes"/>
    <s v="Resolved"/>
    <n v="1"/>
    <n v="0"/>
    <n v="1"/>
    <n v="0"/>
    <n v="0"/>
    <n v="1"/>
    <n v="0"/>
  </r>
  <r>
    <s v="TKT-00882"/>
    <n v="74.099999999999994"/>
    <x v="1022"/>
    <d v="2026-07-11T17:09:59"/>
    <x v="0"/>
    <x v="3"/>
    <s v="Email"/>
    <x v="0"/>
    <x v="0"/>
    <x v="1"/>
    <x v="4"/>
    <x v="9"/>
    <n v="196"/>
    <n v="2"/>
    <n v="3"/>
    <n v="13"/>
    <s v="No"/>
    <n v="120"/>
    <n v="24"/>
    <s v="No"/>
    <x v="1"/>
    <n v="2026"/>
    <n v="7"/>
    <s v="julho"/>
    <x v="6"/>
    <s v="Dissatisfied"/>
    <s v="Yes"/>
    <s v="Yes"/>
    <s v="Resolved"/>
    <n v="1"/>
    <n v="0"/>
    <n v="1"/>
    <n v="1"/>
    <n v="0"/>
    <n v="0"/>
    <n v="0"/>
  </r>
  <r>
    <s v="TKT-00993"/>
    <n v="25.72"/>
    <x v="1023"/>
    <d v="2026-08-18T09:31:08"/>
    <x v="0"/>
    <x v="3"/>
    <s v="Email"/>
    <x v="0"/>
    <x v="1"/>
    <x v="0"/>
    <x v="1"/>
    <x v="2"/>
    <n v="43"/>
    <n v="5"/>
    <n v="0"/>
    <n v="2"/>
    <s v="No"/>
    <n v="120"/>
    <n v="24"/>
    <s v="Yes"/>
    <x v="1"/>
    <n v="2026"/>
    <n v="8"/>
    <s v="agosto"/>
    <x v="3"/>
    <s v="Satisfied"/>
    <s v="No"/>
    <s v="Yes"/>
    <s v="Resolved"/>
    <n v="1"/>
    <n v="0"/>
    <n v="1"/>
    <n v="0"/>
    <n v="0"/>
    <n v="1"/>
    <n v="0"/>
  </r>
  <r>
    <s v="TKT-00443"/>
    <n v="64.36"/>
    <x v="1024"/>
    <d v="2026-03-06T09:51:21"/>
    <x v="0"/>
    <x v="3"/>
    <s v="Chat"/>
    <x v="0"/>
    <x v="0"/>
    <x v="1"/>
    <x v="5"/>
    <x v="7"/>
    <n v="91"/>
    <n v="4"/>
    <n v="0"/>
    <n v="7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874"/>
    <n v="20.95"/>
    <x v="1025"/>
    <d v="2026-07-29T00:04:53"/>
    <x v="0"/>
    <x v="3"/>
    <s v="Web Form"/>
    <x v="0"/>
    <x v="0"/>
    <x v="3"/>
    <x v="2"/>
    <x v="6"/>
    <n v="225"/>
    <n v="4"/>
    <n v="0"/>
    <n v="5"/>
    <s v="No"/>
    <n v="120"/>
    <n v="24"/>
    <s v="No"/>
    <x v="0"/>
    <n v="2026"/>
    <n v="7"/>
    <s v="julho"/>
    <x v="6"/>
    <s v="Satisfied"/>
    <s v="No"/>
    <s v="Yes"/>
    <s v="Resolved"/>
    <n v="1"/>
    <n v="0"/>
    <n v="1"/>
    <n v="0"/>
    <n v="0"/>
    <n v="0"/>
    <n v="1"/>
  </r>
  <r>
    <s v="TKT-00171"/>
    <n v="46.63"/>
    <x v="1026"/>
    <d v="2026-08-10T18:39:48"/>
    <x v="0"/>
    <x v="1"/>
    <s v="Email"/>
    <x v="4"/>
    <x v="1"/>
    <x v="3"/>
    <x v="5"/>
    <x v="5"/>
    <n v="126"/>
    <n v="3"/>
    <n v="0"/>
    <n v="12"/>
    <s v="Yes"/>
    <n v="240"/>
    <n v="48"/>
    <s v="Yes"/>
    <x v="0"/>
    <n v="2026"/>
    <n v="8"/>
    <s v="agosto"/>
    <x v="3"/>
    <s v="Neutral"/>
    <s v="No"/>
    <s v="Yes"/>
    <s v="Resolved"/>
    <n v="1"/>
    <n v="0"/>
    <n v="1"/>
    <n v="0"/>
    <n v="1"/>
    <n v="1"/>
    <n v="1"/>
  </r>
  <r>
    <s v="TKT-00988"/>
    <n v="19.260000000000002"/>
    <x v="1027"/>
    <d v="2026-07-25T21:52:53"/>
    <x v="0"/>
    <x v="1"/>
    <s v="Email"/>
    <x v="3"/>
    <x v="2"/>
    <x v="1"/>
    <x v="0"/>
    <x v="8"/>
    <n v="397"/>
    <n v="4"/>
    <n v="0"/>
    <n v="2"/>
    <s v="No"/>
    <n v="240"/>
    <n v="48"/>
    <s v="No"/>
    <x v="0"/>
    <n v="2026"/>
    <n v="7"/>
    <s v="julho"/>
    <x v="6"/>
    <s v="Satisfied"/>
    <s v="No"/>
    <s v="Yes"/>
    <s v="Resolved"/>
    <n v="1"/>
    <n v="0"/>
    <n v="1"/>
    <n v="0"/>
    <n v="0"/>
    <n v="0"/>
    <n v="1"/>
  </r>
  <r>
    <s v="TKT-00736"/>
    <n v="12.75"/>
    <x v="1028"/>
    <d v="2026-02-10T07:05:45"/>
    <x v="0"/>
    <x v="3"/>
    <s v="Chat"/>
    <x v="0"/>
    <x v="1"/>
    <x v="1"/>
    <x v="0"/>
    <x v="5"/>
    <n v="120"/>
    <n v="4"/>
    <n v="1"/>
    <n v="8"/>
    <s v="No"/>
    <n v="120"/>
    <n v="24"/>
    <s v="Yes"/>
    <x v="0"/>
    <n v="2026"/>
    <n v="2"/>
    <s v="fevereiro"/>
    <x v="4"/>
    <s v="Satisfied"/>
    <s v="Yes"/>
    <s v="Yes"/>
    <s v="Resolved"/>
    <n v="1"/>
    <n v="0"/>
    <n v="1"/>
    <n v="1"/>
    <n v="0"/>
    <n v="1"/>
    <n v="1"/>
  </r>
  <r>
    <s v="TKT-00876"/>
    <n v="88.54"/>
    <x v="1029"/>
    <d v="2026-05-06T17:36:09"/>
    <x v="0"/>
    <x v="1"/>
    <s v="Email"/>
    <x v="2"/>
    <x v="1"/>
    <x v="3"/>
    <x v="3"/>
    <x v="9"/>
    <n v="277"/>
    <n v="2"/>
    <n v="2"/>
    <n v="13"/>
    <s v="No"/>
    <n v="240"/>
    <n v="48"/>
    <s v="No"/>
    <x v="1"/>
    <n v="2026"/>
    <n v="5"/>
    <s v="maio"/>
    <x v="2"/>
    <s v="Dissatisfied"/>
    <s v="Yes"/>
    <s v="Yes"/>
    <s v="Resolved"/>
    <n v="1"/>
    <n v="0"/>
    <n v="1"/>
    <n v="1"/>
    <n v="0"/>
    <n v="0"/>
    <n v="0"/>
  </r>
  <r>
    <s v="TKT-00981"/>
    <n v="14.93"/>
    <x v="1030"/>
    <d v="2026-06-05T10:43:34"/>
    <x v="0"/>
    <x v="1"/>
    <s v="Email"/>
    <x v="0"/>
    <x v="1"/>
    <x v="0"/>
    <x v="1"/>
    <x v="7"/>
    <n v="210"/>
    <n v="4"/>
    <n v="0"/>
    <n v="3"/>
    <s v="No"/>
    <n v="240"/>
    <n v="48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1062"/>
    <n v="15.23"/>
    <x v="1031"/>
    <d v="2026-03-17T07:26:50"/>
    <x v="0"/>
    <x v="3"/>
    <s v="Web Form"/>
    <x v="2"/>
    <x v="0"/>
    <x v="0"/>
    <x v="0"/>
    <x v="3"/>
    <n v="49"/>
    <n v="5"/>
    <n v="0"/>
    <n v="4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084"/>
    <n v="12.24"/>
    <x v="1032"/>
    <d v="2026-06-04T15:47:33"/>
    <x v="0"/>
    <x v="1"/>
    <s v="Email"/>
    <x v="0"/>
    <x v="1"/>
    <x v="3"/>
    <x v="4"/>
    <x v="6"/>
    <n v="218"/>
    <n v="4"/>
    <n v="0"/>
    <n v="2"/>
    <s v="No"/>
    <n v="240"/>
    <n v="48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083"/>
    <n v="30.29"/>
    <x v="1033"/>
    <d v="2026-07-12T12:34:30"/>
    <x v="0"/>
    <x v="1"/>
    <s v="Chat"/>
    <x v="1"/>
    <x v="2"/>
    <x v="0"/>
    <x v="2"/>
    <x v="10"/>
    <n v="91"/>
    <n v="4"/>
    <n v="0"/>
    <n v="6"/>
    <s v="No"/>
    <n v="240"/>
    <n v="48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884"/>
    <n v="16.43"/>
    <x v="1034"/>
    <d v="2026-04-12T12:18:47"/>
    <x v="0"/>
    <x v="2"/>
    <s v="Web Form"/>
    <x v="0"/>
    <x v="2"/>
    <x v="2"/>
    <x v="3"/>
    <x v="8"/>
    <n v="11"/>
    <n v="4"/>
    <n v="1"/>
    <n v="8"/>
    <s v="No"/>
    <n v="30"/>
    <n v="8"/>
    <s v="Yes"/>
    <x v="1"/>
    <n v="2026"/>
    <n v="4"/>
    <s v="abril"/>
    <x v="0"/>
    <s v="Satisfied"/>
    <s v="Yes"/>
    <s v="Yes"/>
    <s v="Resolved"/>
    <n v="1"/>
    <n v="0"/>
    <n v="1"/>
    <n v="1"/>
    <n v="0"/>
    <n v="1"/>
    <n v="0"/>
  </r>
  <r>
    <s v="TKT-00109"/>
    <n v="8.0500000000000007"/>
    <x v="1035"/>
    <d v="2026-07-22T09:57:43"/>
    <x v="0"/>
    <x v="2"/>
    <s v="Chat"/>
    <x v="1"/>
    <x v="1"/>
    <x v="3"/>
    <x v="2"/>
    <x v="2"/>
    <n v="24"/>
    <n v="4"/>
    <n v="0"/>
    <n v="4"/>
    <s v="No"/>
    <n v="30"/>
    <n v="8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1134"/>
    <n v="56.54"/>
    <x v="1036"/>
    <d v="2026-02-04T04:39:28"/>
    <x v="0"/>
    <x v="1"/>
    <s v="Email"/>
    <x v="4"/>
    <x v="2"/>
    <x v="2"/>
    <x v="3"/>
    <x v="9"/>
    <n v="181"/>
    <n v="2"/>
    <n v="3"/>
    <n v="21"/>
    <s v="No"/>
    <n v="240"/>
    <n v="48"/>
    <s v="Yes"/>
    <x v="1"/>
    <n v="2026"/>
    <n v="2"/>
    <s v="fevereiro"/>
    <x v="4"/>
    <s v="Dissatisfied"/>
    <s v="Yes"/>
    <s v="Yes"/>
    <s v="Resolved"/>
    <n v="1"/>
    <n v="0"/>
    <n v="1"/>
    <n v="1"/>
    <n v="0"/>
    <n v="1"/>
    <n v="0"/>
  </r>
  <r>
    <s v="TKT-00967"/>
    <n v="64.48"/>
    <x v="1037"/>
    <d v="2026-07-24T07:10:36"/>
    <x v="0"/>
    <x v="1"/>
    <s v="Web Form"/>
    <x v="4"/>
    <x v="1"/>
    <x v="0"/>
    <x v="3"/>
    <x v="5"/>
    <n v="381"/>
    <m/>
    <n v="0"/>
    <n v="2"/>
    <s v="No"/>
    <n v="240"/>
    <n v="48"/>
    <s v="No"/>
    <x v="1"/>
    <n v="2026"/>
    <n v="7"/>
    <s v="julho"/>
    <x v="6"/>
    <s v="No Response"/>
    <s v="No"/>
    <s v="No"/>
    <s v="Resolved"/>
    <n v="1"/>
    <n v="0"/>
    <n v="1"/>
    <n v="0"/>
    <n v="0"/>
    <n v="0"/>
    <n v="0"/>
  </r>
  <r>
    <s v="TKT-00663"/>
    <n v="6.62"/>
    <x v="1038"/>
    <d v="2026-03-12T18:56:57"/>
    <x v="0"/>
    <x v="3"/>
    <s v="Web Form"/>
    <x v="2"/>
    <x v="0"/>
    <x v="1"/>
    <x v="2"/>
    <x v="3"/>
    <n v="114"/>
    <n v="4"/>
    <n v="0"/>
    <n v="4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420"/>
    <n v="42.08"/>
    <x v="1039"/>
    <d v="2026-04-21T06:53:00"/>
    <x v="0"/>
    <x v="1"/>
    <s v="Email"/>
    <x v="0"/>
    <x v="1"/>
    <x v="2"/>
    <x v="1"/>
    <x v="3"/>
    <n v="250"/>
    <n v="3"/>
    <n v="0"/>
    <n v="6"/>
    <s v="No"/>
    <n v="240"/>
    <n v="48"/>
    <s v="No"/>
    <x v="0"/>
    <n v="2026"/>
    <n v="4"/>
    <s v="abril"/>
    <x v="0"/>
    <s v="Neutral"/>
    <s v="No"/>
    <s v="Yes"/>
    <s v="Resolved"/>
    <n v="1"/>
    <n v="0"/>
    <n v="1"/>
    <n v="0"/>
    <n v="0"/>
    <n v="0"/>
    <n v="1"/>
  </r>
  <r>
    <s v="TKT-00602"/>
    <n v="91.55"/>
    <x v="1040"/>
    <d v="2026-08-23T11:29:56"/>
    <x v="0"/>
    <x v="3"/>
    <s v="Email"/>
    <x v="2"/>
    <x v="0"/>
    <x v="3"/>
    <x v="3"/>
    <x v="0"/>
    <n v="179"/>
    <n v="3"/>
    <n v="0"/>
    <n v="5"/>
    <s v="No"/>
    <n v="120"/>
    <n v="24"/>
    <s v="No"/>
    <x v="1"/>
    <n v="2026"/>
    <n v="8"/>
    <s v="agosto"/>
    <x v="3"/>
    <s v="Neutral"/>
    <s v="No"/>
    <s v="Yes"/>
    <s v="Resolved"/>
    <n v="1"/>
    <n v="0"/>
    <n v="1"/>
    <n v="0"/>
    <n v="0"/>
    <n v="0"/>
    <n v="0"/>
  </r>
  <r>
    <s v="TKT-00570"/>
    <n v="22.71"/>
    <x v="1041"/>
    <d v="2026-05-20T00:07:24"/>
    <x v="0"/>
    <x v="3"/>
    <s v="Email"/>
    <x v="0"/>
    <x v="0"/>
    <x v="1"/>
    <x v="3"/>
    <x v="9"/>
    <n v="78"/>
    <n v="4"/>
    <n v="0"/>
    <n v="7"/>
    <s v="No"/>
    <n v="120"/>
    <n v="24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0758"/>
    <n v="7.95"/>
    <x v="1042"/>
    <d v="2026-01-08T05:24:57"/>
    <x v="0"/>
    <x v="4"/>
    <s v="Email"/>
    <x v="1"/>
    <x v="1"/>
    <x v="2"/>
    <x v="0"/>
    <x v="8"/>
    <n v="147"/>
    <n v="4"/>
    <n v="0"/>
    <n v="4"/>
    <s v="No"/>
    <m/>
    <m/>
    <m/>
    <x v="3"/>
    <n v="2026"/>
    <n v="1"/>
    <s v="janeiro"/>
    <x v="1"/>
    <s v="Satisfied"/>
    <s v="No"/>
    <s v="Yes"/>
    <s v="Resolved"/>
    <n v="1"/>
    <n v="0"/>
    <n v="1"/>
    <n v="0"/>
    <n v="0"/>
    <m/>
    <m/>
  </r>
  <r>
    <s v="TKT-00205"/>
    <n v="49.04"/>
    <x v="1043"/>
    <d v="2026-04-08T01:40:08"/>
    <x v="0"/>
    <x v="3"/>
    <s v="Chat"/>
    <x v="0"/>
    <x v="0"/>
    <x v="3"/>
    <x v="4"/>
    <x v="7"/>
    <n v="112"/>
    <n v="3"/>
    <n v="0"/>
    <n v="6"/>
    <s v="No"/>
    <n v="120"/>
    <n v="24"/>
    <s v="Yes"/>
    <x v="1"/>
    <n v="2026"/>
    <n v="4"/>
    <s v="abril"/>
    <x v="0"/>
    <s v="Neutral"/>
    <s v="No"/>
    <s v="Yes"/>
    <s v="Resolved"/>
    <n v="1"/>
    <n v="0"/>
    <n v="1"/>
    <n v="0"/>
    <n v="0"/>
    <n v="1"/>
    <n v="0"/>
  </r>
  <r>
    <s v="TKT-00351"/>
    <n v="16.489999999999998"/>
    <x v="1044"/>
    <d v="2026-01-31T07:16:22"/>
    <x v="0"/>
    <x v="2"/>
    <s v="Phone"/>
    <x v="3"/>
    <x v="2"/>
    <x v="3"/>
    <x v="5"/>
    <x v="7"/>
    <n v="117"/>
    <n v="4"/>
    <n v="0"/>
    <n v="2"/>
    <s v="No"/>
    <n v="30"/>
    <n v="8"/>
    <s v="No"/>
    <x v="1"/>
    <n v="2026"/>
    <n v="1"/>
    <s v="janeiro"/>
    <x v="1"/>
    <s v="Satisfied"/>
    <s v="No"/>
    <s v="Yes"/>
    <s v="Resolved"/>
    <n v="1"/>
    <n v="0"/>
    <n v="1"/>
    <n v="0"/>
    <n v="0"/>
    <n v="0"/>
    <n v="0"/>
  </r>
  <r>
    <s v="TKT-01047"/>
    <n v="8.09"/>
    <x v="1045"/>
    <d v="2026-08-24T09:44:08"/>
    <x v="0"/>
    <x v="3"/>
    <s v="Email"/>
    <x v="2"/>
    <x v="1"/>
    <x v="1"/>
    <x v="0"/>
    <x v="7"/>
    <n v="81"/>
    <n v="4"/>
    <n v="0"/>
    <n v="6"/>
    <s v="No"/>
    <n v="120"/>
    <n v="24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777"/>
    <n v="96.3"/>
    <x v="1046"/>
    <d v="2026-03-03T00:47:56"/>
    <x v="0"/>
    <x v="1"/>
    <s v="Web Form"/>
    <x v="1"/>
    <x v="2"/>
    <x v="1"/>
    <x v="1"/>
    <x v="1"/>
    <n v="180"/>
    <n v="3"/>
    <n v="0"/>
    <n v="10"/>
    <s v="Yes"/>
    <n v="240"/>
    <n v="48"/>
    <s v="Yes"/>
    <x v="1"/>
    <n v="2026"/>
    <n v="2"/>
    <s v="fevereiro"/>
    <x v="4"/>
    <s v="Neutral"/>
    <s v="No"/>
    <s v="Yes"/>
    <s v="Resolved"/>
    <n v="1"/>
    <n v="0"/>
    <n v="1"/>
    <n v="0"/>
    <n v="1"/>
    <n v="1"/>
    <n v="0"/>
  </r>
  <r>
    <s v="TKT-01142"/>
    <n v="32.46"/>
    <x v="1047"/>
    <d v="2026-03-14T23:58:38"/>
    <x v="0"/>
    <x v="1"/>
    <s v="Phone"/>
    <x v="3"/>
    <x v="0"/>
    <x v="0"/>
    <x v="1"/>
    <x v="3"/>
    <n v="122"/>
    <n v="3"/>
    <n v="1"/>
    <n v="10"/>
    <s v="No"/>
    <n v="240"/>
    <n v="48"/>
    <s v="Yes"/>
    <x v="0"/>
    <n v="2026"/>
    <n v="3"/>
    <s v="março"/>
    <x v="7"/>
    <s v="Neutral"/>
    <s v="Yes"/>
    <s v="Yes"/>
    <s v="Resolved"/>
    <n v="1"/>
    <n v="0"/>
    <n v="1"/>
    <n v="1"/>
    <n v="0"/>
    <n v="1"/>
    <n v="1"/>
  </r>
  <r>
    <s v="TKT-00188"/>
    <n v="31.16"/>
    <x v="1048"/>
    <d v="2026-02-24T15:12:51"/>
    <x v="0"/>
    <x v="3"/>
    <s v="Chat"/>
    <x v="1"/>
    <x v="1"/>
    <x v="3"/>
    <x v="1"/>
    <x v="3"/>
    <n v="112"/>
    <n v="4"/>
    <n v="0"/>
    <n v="7"/>
    <s v="No"/>
    <n v="120"/>
    <n v="24"/>
    <s v="Yes"/>
    <x v="1"/>
    <n v="2026"/>
    <n v="2"/>
    <s v="fevereiro"/>
    <x v="4"/>
    <s v="Satisfied"/>
    <s v="No"/>
    <s v="Yes"/>
    <s v="Resolved"/>
    <n v="1"/>
    <n v="0"/>
    <n v="1"/>
    <n v="0"/>
    <n v="0"/>
    <n v="1"/>
    <n v="0"/>
  </r>
  <r>
    <s v="TKT-00100"/>
    <n v="19.510000000000002"/>
    <x v="1049"/>
    <d v="2026-06-22T10:25:45"/>
    <x v="0"/>
    <x v="1"/>
    <s v="Email"/>
    <x v="0"/>
    <x v="0"/>
    <x v="2"/>
    <x v="2"/>
    <x v="2"/>
    <n v="547"/>
    <n v="3"/>
    <n v="0"/>
    <n v="4"/>
    <s v="No"/>
    <n v="240"/>
    <n v="48"/>
    <s v="No"/>
    <x v="0"/>
    <n v="2026"/>
    <n v="6"/>
    <s v="junho"/>
    <x v="5"/>
    <s v="Neutral"/>
    <s v="No"/>
    <s v="Yes"/>
    <s v="Resolved"/>
    <n v="1"/>
    <n v="0"/>
    <n v="1"/>
    <n v="0"/>
    <n v="0"/>
    <n v="0"/>
    <n v="1"/>
  </r>
  <r>
    <s v="TKT-00510"/>
    <n v="25.9"/>
    <x v="1050"/>
    <d v="2026-07-04T12:51:54"/>
    <x v="0"/>
    <x v="3"/>
    <s v="Email"/>
    <x v="0"/>
    <x v="1"/>
    <x v="3"/>
    <x v="5"/>
    <x v="9"/>
    <n v="92"/>
    <n v="4"/>
    <n v="0"/>
    <n v="4"/>
    <s v="No"/>
    <n v="120"/>
    <n v="24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1073"/>
    <n v="16.72"/>
    <x v="1051"/>
    <d v="2026-07-13T04:49:18"/>
    <x v="0"/>
    <x v="2"/>
    <s v="Email"/>
    <x v="4"/>
    <x v="1"/>
    <x v="3"/>
    <x v="2"/>
    <x v="2"/>
    <n v="75"/>
    <n v="4"/>
    <n v="2"/>
    <n v="6"/>
    <s v="No"/>
    <n v="30"/>
    <n v="8"/>
    <s v="No"/>
    <x v="1"/>
    <n v="2026"/>
    <n v="7"/>
    <s v="julho"/>
    <x v="6"/>
    <s v="Satisfied"/>
    <s v="Yes"/>
    <s v="Yes"/>
    <s v="Resolved"/>
    <n v="1"/>
    <n v="0"/>
    <n v="1"/>
    <n v="1"/>
    <n v="0"/>
    <n v="0"/>
    <n v="0"/>
  </r>
  <r>
    <s v="TKT-00816"/>
    <n v="49.29"/>
    <x v="1052"/>
    <d v="2026-02-19T18:20:09"/>
    <x v="0"/>
    <x v="1"/>
    <s v="Phone"/>
    <x v="3"/>
    <x v="1"/>
    <x v="0"/>
    <x v="1"/>
    <x v="6"/>
    <n v="168"/>
    <n v="3"/>
    <n v="1"/>
    <n v="11"/>
    <s v="No"/>
    <n v="240"/>
    <n v="48"/>
    <s v="Yes"/>
    <x v="1"/>
    <n v="2026"/>
    <n v="2"/>
    <s v="fevereiro"/>
    <x v="4"/>
    <s v="Neutral"/>
    <s v="Yes"/>
    <s v="Yes"/>
    <s v="Resolved"/>
    <n v="1"/>
    <n v="0"/>
    <n v="1"/>
    <n v="1"/>
    <n v="0"/>
    <n v="1"/>
    <n v="0"/>
  </r>
  <r>
    <s v="TKT-00101"/>
    <n v="27.17"/>
    <x v="1053"/>
    <d v="2026-03-25T01:29:25"/>
    <x v="0"/>
    <x v="3"/>
    <s v="Chat"/>
    <x v="3"/>
    <x v="1"/>
    <x v="3"/>
    <x v="1"/>
    <x v="9"/>
    <n v="126"/>
    <n v="4"/>
    <n v="0"/>
    <n v="5"/>
    <s v="No"/>
    <n v="120"/>
    <n v="24"/>
    <s v="No"/>
    <x v="1"/>
    <n v="2026"/>
    <n v="3"/>
    <s v="março"/>
    <x v="7"/>
    <s v="Satisfied"/>
    <s v="No"/>
    <s v="Yes"/>
    <s v="Resolved"/>
    <n v="1"/>
    <n v="0"/>
    <n v="1"/>
    <n v="0"/>
    <n v="0"/>
    <n v="0"/>
    <n v="0"/>
  </r>
  <r>
    <s v="TKT-01100"/>
    <n v="31.35"/>
    <x v="1054"/>
    <d v="2026-05-14T15:17:52"/>
    <x v="0"/>
    <x v="3"/>
    <s v="Chat"/>
    <x v="4"/>
    <x v="2"/>
    <x v="2"/>
    <x v="3"/>
    <x v="10"/>
    <n v="172"/>
    <n v="3"/>
    <n v="0"/>
    <n v="3"/>
    <s v="No"/>
    <n v="120"/>
    <n v="24"/>
    <s v="No"/>
    <x v="1"/>
    <n v="2026"/>
    <n v="5"/>
    <s v="maio"/>
    <x v="2"/>
    <s v="Neutral"/>
    <s v="No"/>
    <s v="Yes"/>
    <s v="Resolved"/>
    <n v="1"/>
    <n v="0"/>
    <n v="1"/>
    <n v="0"/>
    <n v="0"/>
    <n v="0"/>
    <n v="0"/>
  </r>
  <r>
    <s v="TKT-00709"/>
    <n v="52.31"/>
    <x v="1055"/>
    <d v="2026-03-19T10:30:21"/>
    <x v="0"/>
    <x v="1"/>
    <s v="Chat"/>
    <x v="4"/>
    <x v="1"/>
    <x v="2"/>
    <x v="1"/>
    <x v="2"/>
    <n v="231"/>
    <n v="3"/>
    <n v="1"/>
    <n v="11"/>
    <s v="No"/>
    <n v="240"/>
    <n v="48"/>
    <s v="Yes"/>
    <x v="1"/>
    <n v="2026"/>
    <n v="3"/>
    <s v="março"/>
    <x v="7"/>
    <s v="Neutral"/>
    <s v="Yes"/>
    <s v="Yes"/>
    <s v="Resolved"/>
    <n v="1"/>
    <n v="0"/>
    <n v="1"/>
    <n v="1"/>
    <n v="0"/>
    <n v="1"/>
    <n v="0"/>
  </r>
  <r>
    <s v="TKT-00423"/>
    <n v="24.85"/>
    <x v="1056"/>
    <d v="2026-03-12T10:24:06"/>
    <x v="0"/>
    <x v="1"/>
    <s v="Email"/>
    <x v="3"/>
    <x v="2"/>
    <x v="3"/>
    <x v="0"/>
    <x v="0"/>
    <n v="249"/>
    <n v="3"/>
    <n v="0"/>
    <n v="2"/>
    <s v="No"/>
    <n v="240"/>
    <n v="48"/>
    <s v="No"/>
    <x v="0"/>
    <n v="2026"/>
    <n v="3"/>
    <s v="março"/>
    <x v="7"/>
    <s v="Neutral"/>
    <s v="No"/>
    <s v="Yes"/>
    <s v="Resolved"/>
    <n v="1"/>
    <n v="0"/>
    <n v="1"/>
    <n v="0"/>
    <n v="0"/>
    <n v="0"/>
    <n v="1"/>
  </r>
  <r>
    <s v="TKT-00954"/>
    <n v="71.12"/>
    <x v="1057"/>
    <d v="2026-04-03T07:34:58"/>
    <x v="0"/>
    <x v="3"/>
    <s v="Email"/>
    <x v="2"/>
    <x v="2"/>
    <x v="2"/>
    <x v="3"/>
    <x v="5"/>
    <n v="135"/>
    <n v="3"/>
    <n v="0"/>
    <n v="3"/>
    <s v="No"/>
    <n v="120"/>
    <n v="24"/>
    <s v="No"/>
    <x v="1"/>
    <n v="2026"/>
    <n v="3"/>
    <s v="março"/>
    <x v="7"/>
    <s v="Neutral"/>
    <s v="No"/>
    <s v="Yes"/>
    <s v="Resolved"/>
    <n v="1"/>
    <n v="0"/>
    <n v="1"/>
    <n v="0"/>
    <n v="0"/>
    <n v="0"/>
    <n v="0"/>
  </r>
  <r>
    <s v="TKT-00759"/>
    <n v="20.89"/>
    <x v="1058"/>
    <d v="2026-02-08T20:43:19"/>
    <x v="0"/>
    <x v="3"/>
    <s v="Email"/>
    <x v="0"/>
    <x v="2"/>
    <x v="3"/>
    <x v="0"/>
    <x v="2"/>
    <n v="156"/>
    <n v="4"/>
    <n v="0"/>
    <n v="2"/>
    <s v="No"/>
    <n v="120"/>
    <n v="24"/>
    <s v="No"/>
    <x v="0"/>
    <n v="2026"/>
    <n v="2"/>
    <s v="fevereiro"/>
    <x v="4"/>
    <s v="Satisfied"/>
    <s v="No"/>
    <s v="Yes"/>
    <s v="Resolved"/>
    <n v="1"/>
    <n v="0"/>
    <n v="1"/>
    <n v="0"/>
    <n v="0"/>
    <n v="0"/>
    <n v="1"/>
  </r>
  <r>
    <s v="TKT-01132"/>
    <n v="87.25"/>
    <x v="1059"/>
    <d v="2026-08-28T22:23:56"/>
    <x v="0"/>
    <x v="1"/>
    <s v="Chat"/>
    <x v="0"/>
    <x v="2"/>
    <x v="2"/>
    <x v="1"/>
    <x v="8"/>
    <n v="260"/>
    <n v="3"/>
    <n v="0"/>
    <n v="4"/>
    <s v="No"/>
    <n v="240"/>
    <n v="48"/>
    <s v="No"/>
    <x v="1"/>
    <n v="2026"/>
    <n v="8"/>
    <s v="agosto"/>
    <x v="3"/>
    <s v="Neutral"/>
    <s v="No"/>
    <s v="Yes"/>
    <s v="Resolved"/>
    <n v="1"/>
    <n v="0"/>
    <n v="1"/>
    <n v="0"/>
    <n v="0"/>
    <n v="0"/>
    <n v="0"/>
  </r>
  <r>
    <s v="TKT-00781"/>
    <n v="44.2"/>
    <x v="1060"/>
    <d v="2026-07-03T22:58:00"/>
    <x v="0"/>
    <x v="1"/>
    <s v="Email"/>
    <x v="2"/>
    <x v="2"/>
    <x v="1"/>
    <x v="5"/>
    <x v="1"/>
    <n v="210"/>
    <n v="4"/>
    <n v="0"/>
    <n v="2"/>
    <s v="No"/>
    <n v="240"/>
    <n v="48"/>
    <s v="Yes"/>
    <x v="0"/>
    <n v="2026"/>
    <n v="7"/>
    <s v="julho"/>
    <x v="6"/>
    <s v="Satisfied"/>
    <s v="No"/>
    <s v="Yes"/>
    <s v="Resolved"/>
    <n v="1"/>
    <n v="0"/>
    <n v="1"/>
    <n v="0"/>
    <n v="0"/>
    <n v="1"/>
    <n v="1"/>
  </r>
  <r>
    <s v="TKT-00836"/>
    <n v="9.35"/>
    <x v="1061"/>
    <d v="2026-02-25T20:05:08"/>
    <x v="0"/>
    <x v="4"/>
    <s v="Chat"/>
    <x v="3"/>
    <x v="0"/>
    <x v="2"/>
    <x v="1"/>
    <x v="10"/>
    <n v="38"/>
    <n v="4"/>
    <n v="0"/>
    <n v="7"/>
    <s v="No"/>
    <m/>
    <m/>
    <m/>
    <x v="3"/>
    <n v="2026"/>
    <n v="2"/>
    <s v="fevereiro"/>
    <x v="4"/>
    <s v="Satisfied"/>
    <s v="No"/>
    <s v="Yes"/>
    <s v="Resolved"/>
    <n v="1"/>
    <n v="0"/>
    <n v="1"/>
    <n v="0"/>
    <n v="0"/>
    <m/>
    <m/>
  </r>
  <r>
    <s v="TKT-00587"/>
    <n v="17.91"/>
    <x v="1062"/>
    <d v="2026-05-03T12:05:37"/>
    <x v="0"/>
    <x v="2"/>
    <s v="Email"/>
    <x v="0"/>
    <x v="1"/>
    <x v="2"/>
    <x v="4"/>
    <x v="3"/>
    <n v="38"/>
    <n v="3"/>
    <n v="2"/>
    <n v="13"/>
    <s v="No"/>
    <n v="30"/>
    <n v="8"/>
    <s v="No"/>
    <x v="1"/>
    <n v="2026"/>
    <n v="5"/>
    <s v="maio"/>
    <x v="2"/>
    <s v="Neutral"/>
    <s v="Yes"/>
    <s v="Yes"/>
    <s v="Resolved"/>
    <n v="1"/>
    <n v="0"/>
    <n v="1"/>
    <n v="1"/>
    <n v="0"/>
    <n v="0"/>
    <n v="0"/>
  </r>
  <r>
    <s v="TKT-00815"/>
    <n v="55.91"/>
    <x v="1063"/>
    <d v="2026-07-30T05:53:49"/>
    <x v="0"/>
    <x v="1"/>
    <s v="Chat"/>
    <x v="1"/>
    <x v="2"/>
    <x v="0"/>
    <x v="1"/>
    <x v="3"/>
    <n v="234"/>
    <n v="3"/>
    <n v="1"/>
    <n v="5"/>
    <s v="No"/>
    <n v="240"/>
    <n v="48"/>
    <s v="Yes"/>
    <x v="1"/>
    <n v="2026"/>
    <n v="7"/>
    <s v="julho"/>
    <x v="6"/>
    <s v="Neutral"/>
    <s v="Yes"/>
    <s v="Yes"/>
    <s v="Resolved"/>
    <n v="1"/>
    <n v="0"/>
    <n v="1"/>
    <n v="1"/>
    <n v="0"/>
    <n v="1"/>
    <n v="0"/>
  </r>
  <r>
    <s v="TKT-00849"/>
    <n v="1.35"/>
    <x v="1064"/>
    <d v="2026-01-22T21:29:00"/>
    <x v="0"/>
    <x v="0"/>
    <s v="Email"/>
    <x v="0"/>
    <x v="1"/>
    <x v="1"/>
    <x v="2"/>
    <x v="3"/>
    <n v="11"/>
    <n v="4"/>
    <n v="0"/>
    <n v="7"/>
    <s v="No"/>
    <n v="15"/>
    <n v="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1102"/>
    <n v="57.53"/>
    <x v="1065"/>
    <d v="2026-07-18T01:47:34"/>
    <x v="0"/>
    <x v="3"/>
    <s v="Web Form"/>
    <x v="2"/>
    <x v="2"/>
    <x v="2"/>
    <x v="5"/>
    <x v="10"/>
    <n v="132"/>
    <n v="3"/>
    <n v="0"/>
    <n v="5"/>
    <s v="Yes"/>
    <n v="120"/>
    <n v="24"/>
    <s v="No"/>
    <x v="1"/>
    <n v="2026"/>
    <n v="7"/>
    <s v="julho"/>
    <x v="6"/>
    <s v="Neutral"/>
    <s v="No"/>
    <s v="Yes"/>
    <s v="Resolved"/>
    <n v="1"/>
    <n v="0"/>
    <n v="1"/>
    <n v="0"/>
    <n v="1"/>
    <n v="0"/>
    <n v="0"/>
  </r>
  <r>
    <s v="TKT-00958"/>
    <n v="26.53"/>
    <x v="1066"/>
    <d v="2026-05-14T14:31:54"/>
    <x v="0"/>
    <x v="1"/>
    <s v="Chat"/>
    <x v="3"/>
    <x v="2"/>
    <x v="1"/>
    <x v="4"/>
    <x v="8"/>
    <n v="247"/>
    <n v="4"/>
    <n v="0"/>
    <n v="7"/>
    <s v="No"/>
    <n v="240"/>
    <n v="48"/>
    <s v="No"/>
    <x v="0"/>
    <n v="2026"/>
    <n v="5"/>
    <s v="maio"/>
    <x v="2"/>
    <s v="Satisfied"/>
    <s v="No"/>
    <s v="Yes"/>
    <s v="Resolved"/>
    <n v="1"/>
    <n v="0"/>
    <n v="1"/>
    <n v="0"/>
    <n v="0"/>
    <n v="0"/>
    <n v="1"/>
  </r>
  <r>
    <s v="TKT-00062"/>
    <n v="11.65"/>
    <x v="1067"/>
    <d v="2026-04-06T17:52:16"/>
    <x v="0"/>
    <x v="3"/>
    <s v="Email"/>
    <x v="0"/>
    <x v="2"/>
    <x v="3"/>
    <x v="2"/>
    <x v="8"/>
    <n v="172"/>
    <n v="3"/>
    <n v="3"/>
    <n v="17"/>
    <s v="No"/>
    <n v="120"/>
    <n v="24"/>
    <s v="No"/>
    <x v="0"/>
    <n v="2026"/>
    <n v="4"/>
    <s v="abril"/>
    <x v="0"/>
    <s v="Neutral"/>
    <s v="Yes"/>
    <s v="Yes"/>
    <s v="Resolved"/>
    <n v="1"/>
    <n v="0"/>
    <n v="1"/>
    <n v="1"/>
    <n v="0"/>
    <n v="0"/>
    <n v="1"/>
  </r>
  <r>
    <s v="TKT-00873"/>
    <n v="20.100000000000001"/>
    <x v="1068"/>
    <d v="2026-03-21T23:45:57"/>
    <x v="0"/>
    <x v="1"/>
    <s v="Email"/>
    <x v="0"/>
    <x v="0"/>
    <x v="2"/>
    <x v="0"/>
    <x v="0"/>
    <n v="112"/>
    <n v="4"/>
    <n v="0"/>
    <n v="7"/>
    <s v="No"/>
    <n v="240"/>
    <n v="48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1086"/>
    <n v="3.98"/>
    <x v="1069"/>
    <d v="2026-07-16T08:11:59"/>
    <x v="0"/>
    <x v="0"/>
    <s v="Chat"/>
    <x v="0"/>
    <x v="1"/>
    <x v="0"/>
    <x v="0"/>
    <x v="3"/>
    <n v="18"/>
    <n v="4"/>
    <n v="0"/>
    <n v="4"/>
    <s v="No"/>
    <n v="15"/>
    <n v="4"/>
    <s v="No"/>
    <x v="0"/>
    <n v="2026"/>
    <n v="7"/>
    <s v="julho"/>
    <x v="6"/>
    <s v="Satisfied"/>
    <s v="No"/>
    <s v="Yes"/>
    <s v="Resolved"/>
    <n v="1"/>
    <n v="0"/>
    <n v="1"/>
    <n v="0"/>
    <n v="0"/>
    <n v="0"/>
    <n v="1"/>
  </r>
  <r>
    <s v="TKT-01071"/>
    <n v="148.91999999999999"/>
    <x v="1070"/>
    <d v="2026-08-10T11:06:17"/>
    <x v="0"/>
    <x v="1"/>
    <s v="Email"/>
    <x v="4"/>
    <x v="0"/>
    <x v="0"/>
    <x v="2"/>
    <x v="10"/>
    <n v="213"/>
    <n v="3"/>
    <n v="1"/>
    <n v="13"/>
    <s v="Yes"/>
    <n v="240"/>
    <n v="48"/>
    <s v="Yes"/>
    <x v="1"/>
    <n v="2026"/>
    <n v="8"/>
    <s v="agosto"/>
    <x v="3"/>
    <s v="Neutral"/>
    <s v="Yes"/>
    <s v="Yes"/>
    <s v="Resolved"/>
    <n v="1"/>
    <n v="0"/>
    <n v="1"/>
    <n v="1"/>
    <n v="1"/>
    <n v="1"/>
    <n v="0"/>
  </r>
  <r>
    <s v="TKT-00019"/>
    <n v="5.63"/>
    <x v="1071"/>
    <d v="2026-07-23T14:23:53"/>
    <x v="0"/>
    <x v="2"/>
    <s v="Chat"/>
    <x v="2"/>
    <x v="2"/>
    <x v="0"/>
    <x v="0"/>
    <x v="1"/>
    <n v="27"/>
    <n v="4"/>
    <n v="1"/>
    <n v="10"/>
    <s v="No"/>
    <n v="30"/>
    <n v="8"/>
    <s v="Yes"/>
    <x v="0"/>
    <n v="2026"/>
    <n v="7"/>
    <s v="julho"/>
    <x v="6"/>
    <s v="Satisfied"/>
    <s v="Yes"/>
    <s v="Yes"/>
    <s v="Resolved"/>
    <n v="1"/>
    <n v="0"/>
    <n v="1"/>
    <n v="1"/>
    <n v="0"/>
    <n v="1"/>
    <n v="1"/>
  </r>
  <r>
    <s v="TKT-00402"/>
    <n v="69.5"/>
    <x v="1072"/>
    <d v="2026-08-03T20:22:16"/>
    <x v="0"/>
    <x v="3"/>
    <s v="Chat"/>
    <x v="0"/>
    <x v="1"/>
    <x v="3"/>
    <x v="1"/>
    <x v="1"/>
    <n v="115"/>
    <n v="3"/>
    <n v="0"/>
    <n v="6"/>
    <s v="No"/>
    <n v="120"/>
    <n v="24"/>
    <s v="Yes"/>
    <x v="1"/>
    <n v="2026"/>
    <n v="7"/>
    <s v="julho"/>
    <x v="6"/>
    <s v="Neutral"/>
    <s v="No"/>
    <s v="Yes"/>
    <s v="Resolved"/>
    <n v="1"/>
    <n v="0"/>
    <n v="1"/>
    <n v="0"/>
    <n v="0"/>
    <n v="1"/>
    <n v="0"/>
  </r>
  <r>
    <s v="TKT-01042"/>
    <n v="5.9"/>
    <x v="1073"/>
    <d v="2026-06-20T04:31:53"/>
    <x v="0"/>
    <x v="0"/>
    <s v="Chat"/>
    <x v="2"/>
    <x v="0"/>
    <x v="0"/>
    <x v="1"/>
    <x v="0"/>
    <n v="31"/>
    <n v="4"/>
    <n v="1"/>
    <n v="5"/>
    <s v="No"/>
    <n v="15"/>
    <n v="4"/>
    <s v="No"/>
    <x v="1"/>
    <n v="2026"/>
    <n v="6"/>
    <s v="junho"/>
    <x v="5"/>
    <s v="Satisfied"/>
    <s v="Yes"/>
    <s v="Yes"/>
    <s v="Resolved"/>
    <n v="1"/>
    <n v="0"/>
    <n v="1"/>
    <n v="1"/>
    <n v="0"/>
    <n v="0"/>
    <n v="0"/>
  </r>
  <r>
    <s v="TKT-00984"/>
    <n v="114.69"/>
    <x v="1074"/>
    <d v="2026-01-23T10:37:28"/>
    <x v="0"/>
    <x v="3"/>
    <s v="Email"/>
    <x v="3"/>
    <x v="2"/>
    <x v="1"/>
    <x v="3"/>
    <x v="0"/>
    <n v="234"/>
    <n v="3"/>
    <n v="0"/>
    <n v="3"/>
    <s v="No"/>
    <n v="120"/>
    <n v="24"/>
    <s v="No"/>
    <x v="1"/>
    <n v="2026"/>
    <n v="1"/>
    <s v="janeiro"/>
    <x v="1"/>
    <s v="Neutral"/>
    <s v="No"/>
    <s v="Yes"/>
    <s v="Resolved"/>
    <n v="1"/>
    <n v="0"/>
    <n v="1"/>
    <n v="0"/>
    <n v="0"/>
    <n v="0"/>
    <n v="0"/>
  </r>
  <r>
    <s v="TKT-00181"/>
    <n v="2.58"/>
    <x v="1075"/>
    <d v="2026-07-10T06:01:48"/>
    <x v="0"/>
    <x v="0"/>
    <s v="Phone"/>
    <x v="0"/>
    <x v="1"/>
    <x v="0"/>
    <x v="2"/>
    <x v="9"/>
    <n v="16"/>
    <n v="4"/>
    <n v="0"/>
    <n v="3"/>
    <s v="No"/>
    <n v="15"/>
    <n v="4"/>
    <s v="No"/>
    <x v="0"/>
    <n v="2026"/>
    <n v="7"/>
    <s v="julho"/>
    <x v="6"/>
    <s v="Satisfied"/>
    <s v="No"/>
    <s v="Yes"/>
    <s v="Resolved"/>
    <n v="1"/>
    <n v="0"/>
    <n v="1"/>
    <n v="0"/>
    <n v="0"/>
    <n v="0"/>
    <n v="1"/>
  </r>
  <r>
    <s v="TKT-00819"/>
    <n v="12.26"/>
    <x v="1076"/>
    <d v="2026-07-23T13:42:48"/>
    <x v="0"/>
    <x v="0"/>
    <s v="Email"/>
    <x v="2"/>
    <x v="2"/>
    <x v="1"/>
    <x v="5"/>
    <x v="7"/>
    <n v="12"/>
    <n v="4"/>
    <n v="1"/>
    <n v="5"/>
    <s v="No"/>
    <n v="15"/>
    <n v="4"/>
    <s v="Yes"/>
    <x v="1"/>
    <n v="2026"/>
    <n v="7"/>
    <s v="julho"/>
    <x v="6"/>
    <s v="Satisfied"/>
    <s v="Yes"/>
    <s v="Yes"/>
    <s v="Resolved"/>
    <n v="1"/>
    <n v="0"/>
    <n v="1"/>
    <n v="1"/>
    <n v="0"/>
    <n v="1"/>
    <n v="0"/>
  </r>
  <r>
    <s v="TKT-00491"/>
    <n v="24.58"/>
    <x v="1077"/>
    <d v="2026-06-21T09:54:02"/>
    <x v="0"/>
    <x v="3"/>
    <s v="Email"/>
    <x v="1"/>
    <x v="2"/>
    <x v="1"/>
    <x v="0"/>
    <x v="0"/>
    <n v="119"/>
    <n v="4"/>
    <n v="0"/>
    <n v="3"/>
    <s v="No"/>
    <n v="120"/>
    <n v="24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0003"/>
    <n v="12.07"/>
    <x v="1078"/>
    <d v="2026-05-17T18:29:09"/>
    <x v="0"/>
    <x v="2"/>
    <s v="Chat"/>
    <x v="0"/>
    <x v="2"/>
    <x v="0"/>
    <x v="2"/>
    <x v="9"/>
    <n v="49"/>
    <n v="4"/>
    <n v="0"/>
    <n v="4"/>
    <s v="No"/>
    <n v="30"/>
    <n v="8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551"/>
    <n v="10.09"/>
    <x v="1079"/>
    <d v="2026-05-20T09:04:30"/>
    <x v="0"/>
    <x v="2"/>
    <s v="Web Form"/>
    <x v="1"/>
    <x v="0"/>
    <x v="2"/>
    <x v="5"/>
    <x v="5"/>
    <n v="23"/>
    <n v="4"/>
    <n v="0"/>
    <n v="5"/>
    <s v="No"/>
    <n v="30"/>
    <n v="8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212"/>
    <n v="48.22"/>
    <x v="1080"/>
    <d v="2026-05-22T06:33:17"/>
    <x v="0"/>
    <x v="1"/>
    <s v="Email"/>
    <x v="0"/>
    <x v="1"/>
    <x v="0"/>
    <x v="5"/>
    <x v="3"/>
    <n v="324"/>
    <n v="3"/>
    <n v="0"/>
    <n v="4"/>
    <s v="No"/>
    <n v="240"/>
    <n v="48"/>
    <s v="No"/>
    <x v="1"/>
    <n v="2026"/>
    <n v="5"/>
    <s v="maio"/>
    <x v="2"/>
    <s v="Neutral"/>
    <s v="No"/>
    <s v="Yes"/>
    <s v="Resolved"/>
    <n v="1"/>
    <n v="0"/>
    <n v="1"/>
    <n v="0"/>
    <n v="0"/>
    <n v="0"/>
    <n v="0"/>
  </r>
  <r>
    <s v="TKT-00881"/>
    <n v="70.8"/>
    <x v="1081"/>
    <d v="2026-03-02T05:39:15"/>
    <x v="0"/>
    <x v="3"/>
    <s v="Email"/>
    <x v="0"/>
    <x v="1"/>
    <x v="3"/>
    <x v="3"/>
    <x v="0"/>
    <n v="112"/>
    <n v="3"/>
    <n v="0"/>
    <n v="12"/>
    <s v="Yes"/>
    <n v="120"/>
    <n v="24"/>
    <s v="Yes"/>
    <x v="1"/>
    <n v="2026"/>
    <n v="2"/>
    <s v="fevereiro"/>
    <x v="4"/>
    <s v="Neutral"/>
    <s v="No"/>
    <s v="Yes"/>
    <s v="Resolved"/>
    <n v="1"/>
    <n v="0"/>
    <n v="1"/>
    <n v="0"/>
    <n v="1"/>
    <n v="1"/>
    <n v="0"/>
  </r>
  <r>
    <s v="TKT-00308"/>
    <n v="68.16"/>
    <x v="1082"/>
    <d v="2026-05-18T16:05:23"/>
    <x v="0"/>
    <x v="1"/>
    <s v="Email"/>
    <x v="0"/>
    <x v="1"/>
    <x v="0"/>
    <x v="1"/>
    <x v="0"/>
    <n v="66"/>
    <n v="4"/>
    <n v="0"/>
    <n v="5"/>
    <s v="No"/>
    <n v="240"/>
    <n v="48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384"/>
    <n v="13.99"/>
    <x v="1083"/>
    <d v="2026-02-23T12:32:41"/>
    <x v="0"/>
    <x v="2"/>
    <s v="Email"/>
    <x v="0"/>
    <x v="1"/>
    <x v="2"/>
    <x v="4"/>
    <x v="9"/>
    <n v="47"/>
    <n v="4"/>
    <n v="0"/>
    <n v="5"/>
    <s v="No"/>
    <n v="30"/>
    <n v="8"/>
    <s v="No"/>
    <x v="1"/>
    <n v="2026"/>
    <n v="2"/>
    <s v="fevereiro"/>
    <x v="4"/>
    <s v="Satisfied"/>
    <s v="No"/>
    <s v="Yes"/>
    <s v="Resolved"/>
    <n v="1"/>
    <n v="0"/>
    <n v="1"/>
    <n v="0"/>
    <n v="0"/>
    <n v="0"/>
    <n v="0"/>
  </r>
  <r>
    <s v="TKT-00719"/>
    <n v="23.11"/>
    <x v="1084"/>
    <d v="2026-04-15T03:14:47"/>
    <x v="0"/>
    <x v="2"/>
    <s v="Phone"/>
    <x v="0"/>
    <x v="1"/>
    <x v="2"/>
    <x v="1"/>
    <x v="3"/>
    <n v="24"/>
    <n v="4"/>
    <n v="0"/>
    <n v="9"/>
    <s v="Yes"/>
    <n v="30"/>
    <n v="8"/>
    <s v="Yes"/>
    <x v="1"/>
    <n v="2026"/>
    <n v="4"/>
    <s v="abril"/>
    <x v="0"/>
    <s v="Satisfied"/>
    <s v="No"/>
    <s v="Yes"/>
    <s v="Resolved"/>
    <n v="1"/>
    <n v="0"/>
    <n v="1"/>
    <n v="0"/>
    <n v="1"/>
    <n v="1"/>
    <n v="0"/>
  </r>
  <r>
    <s v="TKT-00163"/>
    <n v="35.06"/>
    <x v="1085"/>
    <d v="2026-04-11T21:02:21"/>
    <x v="0"/>
    <x v="3"/>
    <s v="Email"/>
    <x v="0"/>
    <x v="2"/>
    <x v="3"/>
    <x v="3"/>
    <x v="6"/>
    <n v="181"/>
    <n v="3"/>
    <n v="0"/>
    <n v="5"/>
    <s v="No"/>
    <n v="120"/>
    <n v="24"/>
    <s v="No"/>
    <x v="1"/>
    <n v="2026"/>
    <n v="4"/>
    <s v="abril"/>
    <x v="0"/>
    <s v="Neutral"/>
    <s v="No"/>
    <s v="Yes"/>
    <s v="Resolved"/>
    <n v="1"/>
    <n v="0"/>
    <n v="1"/>
    <n v="0"/>
    <n v="0"/>
    <n v="0"/>
    <n v="0"/>
  </r>
  <r>
    <s v="TKT-00223"/>
    <n v="32.17"/>
    <x v="1086"/>
    <d v="2026-04-18T06:16:58"/>
    <x v="0"/>
    <x v="3"/>
    <s v="Email"/>
    <x v="4"/>
    <x v="0"/>
    <x v="0"/>
    <x v="3"/>
    <x v="0"/>
    <n v="118"/>
    <n v="4"/>
    <n v="0"/>
    <n v="5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743"/>
    <n v="20.04"/>
    <x v="1087"/>
    <d v="2026-01-12T06:15:34"/>
    <x v="0"/>
    <x v="3"/>
    <s v="Email"/>
    <x v="0"/>
    <x v="1"/>
    <x v="3"/>
    <x v="4"/>
    <x v="3"/>
    <n v="144"/>
    <n v="4"/>
    <n v="0"/>
    <n v="7"/>
    <s v="No"/>
    <n v="120"/>
    <n v="24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0430"/>
    <n v="36.68"/>
    <x v="1088"/>
    <d v="2026-07-01T22:12:31"/>
    <x v="0"/>
    <x v="3"/>
    <s v="Email"/>
    <x v="0"/>
    <x v="1"/>
    <x v="3"/>
    <x v="1"/>
    <x v="5"/>
    <n v="169"/>
    <n v="4"/>
    <n v="0"/>
    <n v="7"/>
    <s v="No"/>
    <n v="120"/>
    <n v="24"/>
    <s v="No"/>
    <x v="1"/>
    <n v="2026"/>
    <n v="6"/>
    <s v="junho"/>
    <x v="5"/>
    <s v="Satisfied"/>
    <s v="No"/>
    <s v="Yes"/>
    <s v="Resolved"/>
    <n v="1"/>
    <n v="0"/>
    <n v="1"/>
    <n v="0"/>
    <n v="0"/>
    <n v="0"/>
    <n v="0"/>
  </r>
  <r>
    <s v="TKT-01006"/>
    <n v="15.89"/>
    <x v="1089"/>
    <d v="2026-05-20T01:17:15"/>
    <x v="0"/>
    <x v="3"/>
    <s v="Email"/>
    <x v="0"/>
    <x v="1"/>
    <x v="2"/>
    <x v="2"/>
    <x v="7"/>
    <n v="113"/>
    <n v="4"/>
    <n v="0"/>
    <n v="2"/>
    <s v="No"/>
    <n v="120"/>
    <n v="24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0162"/>
    <n v="44.02"/>
    <x v="1090"/>
    <d v="2026-01-05T08:32:07"/>
    <x v="0"/>
    <x v="1"/>
    <s v="Phone"/>
    <x v="2"/>
    <x v="2"/>
    <x v="2"/>
    <x v="0"/>
    <x v="10"/>
    <n v="130"/>
    <n v="3"/>
    <n v="1"/>
    <n v="9"/>
    <s v="No"/>
    <n v="240"/>
    <n v="48"/>
    <s v="Yes"/>
    <x v="0"/>
    <n v="2026"/>
    <n v="1"/>
    <s v="janeiro"/>
    <x v="1"/>
    <s v="Neutral"/>
    <s v="Yes"/>
    <s v="Yes"/>
    <s v="Resolved"/>
    <n v="1"/>
    <n v="0"/>
    <n v="1"/>
    <n v="1"/>
    <n v="0"/>
    <n v="1"/>
    <n v="1"/>
  </r>
  <r>
    <s v="TKT-00455"/>
    <n v="12.76"/>
    <x v="1091"/>
    <d v="2026-02-07T16:09:43"/>
    <x v="0"/>
    <x v="2"/>
    <s v="Chat"/>
    <x v="2"/>
    <x v="2"/>
    <x v="3"/>
    <x v="5"/>
    <x v="3"/>
    <n v="14"/>
    <n v="4"/>
    <n v="0"/>
    <n v="7"/>
    <s v="No"/>
    <n v="30"/>
    <n v="8"/>
    <s v="Yes"/>
    <x v="1"/>
    <n v="2026"/>
    <n v="2"/>
    <s v="fevereiro"/>
    <x v="4"/>
    <s v="Satisfied"/>
    <s v="No"/>
    <s v="Yes"/>
    <s v="Resolved"/>
    <n v="1"/>
    <n v="0"/>
    <n v="1"/>
    <n v="0"/>
    <n v="0"/>
    <n v="1"/>
    <n v="0"/>
  </r>
  <r>
    <s v="TKT-00383"/>
    <n v="13.47"/>
    <x v="1092"/>
    <d v="2026-08-02T23:52:07"/>
    <x v="0"/>
    <x v="1"/>
    <s v="Email"/>
    <x v="2"/>
    <x v="2"/>
    <x v="0"/>
    <x v="2"/>
    <x v="7"/>
    <n v="293"/>
    <n v="3"/>
    <n v="2"/>
    <n v="14"/>
    <s v="No"/>
    <n v="240"/>
    <n v="48"/>
    <s v="No"/>
    <x v="0"/>
    <n v="2026"/>
    <n v="8"/>
    <s v="agosto"/>
    <x v="3"/>
    <s v="Neutral"/>
    <s v="Yes"/>
    <s v="Yes"/>
    <s v="Resolved"/>
    <n v="1"/>
    <n v="0"/>
    <n v="1"/>
    <n v="1"/>
    <n v="0"/>
    <n v="0"/>
    <n v="1"/>
  </r>
  <r>
    <s v="TKT-00630"/>
    <n v="28.96"/>
    <x v="1093"/>
    <d v="2026-02-15T12:49:37"/>
    <x v="0"/>
    <x v="3"/>
    <s v="Chat"/>
    <x v="2"/>
    <x v="2"/>
    <x v="2"/>
    <x v="0"/>
    <x v="0"/>
    <n v="103"/>
    <n v="3"/>
    <n v="1"/>
    <n v="11"/>
    <s v="Yes"/>
    <n v="120"/>
    <n v="24"/>
    <s v="Yes"/>
    <x v="1"/>
    <n v="2026"/>
    <n v="2"/>
    <s v="fevereiro"/>
    <x v="4"/>
    <s v="Neutral"/>
    <s v="Yes"/>
    <s v="Yes"/>
    <s v="Resolved"/>
    <n v="1"/>
    <n v="0"/>
    <n v="1"/>
    <n v="1"/>
    <n v="1"/>
    <n v="1"/>
    <n v="0"/>
  </r>
  <r>
    <s v="TKT-00117"/>
    <n v="33.47"/>
    <x v="1094"/>
    <d v="2026-02-09T08:20:22"/>
    <x v="0"/>
    <x v="3"/>
    <s v="Phone"/>
    <x v="2"/>
    <x v="2"/>
    <x v="3"/>
    <x v="1"/>
    <x v="0"/>
    <n v="102"/>
    <n v="4"/>
    <n v="0"/>
    <n v="2"/>
    <s v="No"/>
    <n v="120"/>
    <n v="24"/>
    <s v="Yes"/>
    <x v="1"/>
    <n v="2026"/>
    <n v="2"/>
    <s v="fevereiro"/>
    <x v="4"/>
    <s v="Satisfied"/>
    <s v="No"/>
    <s v="Yes"/>
    <s v="Resolved"/>
    <n v="1"/>
    <n v="0"/>
    <n v="1"/>
    <n v="0"/>
    <n v="0"/>
    <n v="1"/>
    <n v="0"/>
  </r>
  <r>
    <s v="TKT-00206"/>
    <n v="31.15"/>
    <x v="1095"/>
    <d v="2026-07-06T09:57:46"/>
    <x v="0"/>
    <x v="2"/>
    <s v="Email"/>
    <x v="1"/>
    <x v="1"/>
    <x v="0"/>
    <x v="3"/>
    <x v="2"/>
    <n v="18"/>
    <n v="5"/>
    <n v="0"/>
    <n v="3"/>
    <s v="No"/>
    <n v="30"/>
    <n v="8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0098"/>
    <n v="27.19"/>
    <x v="1096"/>
    <d v="2026-05-06T20:22:31"/>
    <x v="0"/>
    <x v="1"/>
    <s v="Phone"/>
    <x v="1"/>
    <x v="1"/>
    <x v="1"/>
    <x v="0"/>
    <x v="7"/>
    <n v="112"/>
    <n v="4"/>
    <n v="0"/>
    <n v="7"/>
    <s v="No"/>
    <n v="240"/>
    <n v="48"/>
    <s v="Yes"/>
    <x v="0"/>
    <n v="2026"/>
    <n v="5"/>
    <s v="maio"/>
    <x v="2"/>
    <s v="Satisfied"/>
    <s v="No"/>
    <s v="Yes"/>
    <s v="Resolved"/>
    <n v="1"/>
    <n v="0"/>
    <n v="1"/>
    <n v="0"/>
    <n v="0"/>
    <n v="1"/>
    <n v="1"/>
  </r>
  <r>
    <s v="TKT-01030"/>
    <n v="10.69"/>
    <x v="1097"/>
    <d v="2026-08-18T07:35:15"/>
    <x v="0"/>
    <x v="3"/>
    <s v="Email"/>
    <x v="3"/>
    <x v="0"/>
    <x v="1"/>
    <x v="0"/>
    <x v="2"/>
    <n v="251"/>
    <n v="4"/>
    <n v="0"/>
    <n v="5"/>
    <s v="No"/>
    <n v="120"/>
    <n v="24"/>
    <s v="No"/>
    <x v="0"/>
    <n v="2026"/>
    <n v="8"/>
    <s v="agosto"/>
    <x v="3"/>
    <s v="Satisfied"/>
    <s v="No"/>
    <s v="Yes"/>
    <s v="Resolved"/>
    <n v="1"/>
    <n v="0"/>
    <n v="1"/>
    <n v="0"/>
    <n v="0"/>
    <n v="0"/>
    <n v="1"/>
  </r>
  <r>
    <s v="TKT-00186"/>
    <n v="10.57"/>
    <x v="1098"/>
    <d v="2026-08-22T08:10:28"/>
    <x v="0"/>
    <x v="1"/>
    <s v="Email"/>
    <x v="3"/>
    <x v="1"/>
    <x v="3"/>
    <x v="2"/>
    <x v="0"/>
    <n v="251"/>
    <n v="3"/>
    <n v="0"/>
    <n v="6"/>
    <s v="No"/>
    <n v="240"/>
    <n v="48"/>
    <s v="No"/>
    <x v="0"/>
    <n v="2026"/>
    <n v="8"/>
    <s v="agosto"/>
    <x v="3"/>
    <s v="Neutral"/>
    <s v="No"/>
    <s v="Yes"/>
    <s v="Resolved"/>
    <n v="1"/>
    <n v="0"/>
    <n v="1"/>
    <n v="0"/>
    <n v="0"/>
    <n v="0"/>
    <n v="1"/>
  </r>
  <r>
    <s v="TKT-00075"/>
    <n v="28.79"/>
    <x v="1099"/>
    <d v="2026-02-16T10:02:18"/>
    <x v="0"/>
    <x v="3"/>
    <s v="Email"/>
    <x v="0"/>
    <x v="1"/>
    <x v="2"/>
    <x v="3"/>
    <x v="3"/>
    <n v="50"/>
    <m/>
    <n v="0"/>
    <n v="5"/>
    <s v="No"/>
    <n v="120"/>
    <n v="24"/>
    <s v="Yes"/>
    <x v="1"/>
    <n v="2026"/>
    <n v="2"/>
    <s v="fevereiro"/>
    <x v="4"/>
    <s v="No Response"/>
    <s v="No"/>
    <s v="No"/>
    <s v="Resolved"/>
    <n v="1"/>
    <n v="0"/>
    <n v="1"/>
    <n v="0"/>
    <n v="0"/>
    <n v="1"/>
    <n v="0"/>
  </r>
  <r>
    <s v="TKT-01152"/>
    <n v="32.44"/>
    <x v="1100"/>
    <d v="2026-06-27T13:04:26"/>
    <x v="0"/>
    <x v="3"/>
    <s v="Phone"/>
    <x v="3"/>
    <x v="0"/>
    <x v="0"/>
    <x v="3"/>
    <x v="7"/>
    <n v="115"/>
    <n v="3"/>
    <n v="1"/>
    <n v="18"/>
    <s v="Yes"/>
    <n v="120"/>
    <n v="24"/>
    <s v="Yes"/>
    <x v="1"/>
    <n v="2026"/>
    <n v="6"/>
    <s v="junho"/>
    <x v="5"/>
    <s v="Neutral"/>
    <s v="Yes"/>
    <s v="Yes"/>
    <s v="Resolved"/>
    <n v="1"/>
    <n v="0"/>
    <n v="1"/>
    <n v="1"/>
    <n v="1"/>
    <n v="1"/>
    <n v="0"/>
  </r>
  <r>
    <s v="TKT-00638"/>
    <n v="14.32"/>
    <x v="1101"/>
    <d v="2026-05-11T20:09:01"/>
    <x v="0"/>
    <x v="2"/>
    <s v="Chat"/>
    <x v="0"/>
    <x v="0"/>
    <x v="0"/>
    <x v="5"/>
    <x v="1"/>
    <n v="55"/>
    <n v="4"/>
    <n v="0"/>
    <n v="6"/>
    <s v="No"/>
    <n v="30"/>
    <n v="8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606"/>
    <n v="101.45"/>
    <x v="1102"/>
    <d v="2026-03-23T00:31:43"/>
    <x v="0"/>
    <x v="1"/>
    <s v="Web Form"/>
    <x v="3"/>
    <x v="2"/>
    <x v="3"/>
    <x v="4"/>
    <x v="2"/>
    <n v="264"/>
    <n v="3"/>
    <n v="0"/>
    <n v="7"/>
    <s v="No"/>
    <n v="240"/>
    <n v="48"/>
    <s v="No"/>
    <x v="1"/>
    <n v="2026"/>
    <n v="3"/>
    <s v="março"/>
    <x v="7"/>
    <s v="Neutral"/>
    <s v="No"/>
    <s v="Yes"/>
    <s v="Resolved"/>
    <n v="1"/>
    <n v="0"/>
    <n v="1"/>
    <n v="0"/>
    <n v="0"/>
    <n v="0"/>
    <n v="0"/>
  </r>
  <r>
    <s v="TKT-00660"/>
    <n v="8.42"/>
    <x v="1103"/>
    <d v="2026-07-05T17:30:29"/>
    <x v="0"/>
    <x v="3"/>
    <s v="Chat"/>
    <x v="3"/>
    <x v="1"/>
    <x v="3"/>
    <x v="0"/>
    <x v="7"/>
    <n v="27"/>
    <n v="3"/>
    <n v="2"/>
    <n v="13"/>
    <s v="No"/>
    <n v="120"/>
    <n v="24"/>
    <s v="Yes"/>
    <x v="0"/>
    <n v="2026"/>
    <n v="7"/>
    <s v="julho"/>
    <x v="6"/>
    <s v="Neutral"/>
    <s v="Yes"/>
    <s v="Yes"/>
    <s v="Resolved"/>
    <n v="1"/>
    <n v="0"/>
    <n v="1"/>
    <n v="1"/>
    <n v="0"/>
    <n v="1"/>
    <n v="1"/>
  </r>
  <r>
    <s v="TKT-01005"/>
    <n v="74.27"/>
    <x v="1104"/>
    <d v="2026-05-28T14:49:21"/>
    <x v="0"/>
    <x v="1"/>
    <s v="Chat"/>
    <x v="3"/>
    <x v="2"/>
    <x v="1"/>
    <x v="4"/>
    <x v="3"/>
    <n v="199"/>
    <n v="3"/>
    <n v="0"/>
    <n v="3"/>
    <s v="No"/>
    <n v="240"/>
    <n v="48"/>
    <s v="Yes"/>
    <x v="1"/>
    <n v="2026"/>
    <n v="5"/>
    <s v="maio"/>
    <x v="2"/>
    <s v="Neutral"/>
    <s v="No"/>
    <s v="Yes"/>
    <s v="Resolved"/>
    <n v="1"/>
    <n v="0"/>
    <n v="1"/>
    <n v="0"/>
    <n v="0"/>
    <n v="1"/>
    <n v="0"/>
  </r>
  <r>
    <s v="TKT-00489"/>
    <n v="14.03"/>
    <x v="1105"/>
    <d v="2026-07-29T07:45:50"/>
    <x v="0"/>
    <x v="1"/>
    <s v="Email"/>
    <x v="0"/>
    <x v="2"/>
    <x v="0"/>
    <x v="0"/>
    <x v="2"/>
    <n v="310"/>
    <n v="4"/>
    <n v="0"/>
    <n v="6"/>
    <s v="No"/>
    <n v="240"/>
    <n v="48"/>
    <s v="No"/>
    <x v="0"/>
    <n v="2026"/>
    <n v="7"/>
    <s v="julho"/>
    <x v="6"/>
    <s v="Satisfied"/>
    <s v="No"/>
    <s v="Yes"/>
    <s v="Resolved"/>
    <n v="1"/>
    <n v="0"/>
    <n v="1"/>
    <n v="0"/>
    <n v="0"/>
    <n v="0"/>
    <n v="1"/>
  </r>
  <r>
    <s v="TKT-00500"/>
    <n v="15.13"/>
    <x v="1106"/>
    <d v="2026-02-20T18:59:05"/>
    <x v="0"/>
    <x v="1"/>
    <s v="Email"/>
    <x v="1"/>
    <x v="2"/>
    <x v="1"/>
    <x v="0"/>
    <x v="10"/>
    <n v="125"/>
    <n v="4"/>
    <n v="0"/>
    <n v="3"/>
    <s v="No"/>
    <n v="240"/>
    <n v="48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747"/>
    <n v="28.16"/>
    <x v="1107"/>
    <d v="2026-09-01T10:59:46"/>
    <x v="0"/>
    <x v="2"/>
    <s v="Chat"/>
    <x v="0"/>
    <x v="2"/>
    <x v="0"/>
    <x v="5"/>
    <x v="3"/>
    <n v="52"/>
    <n v="4"/>
    <n v="0"/>
    <n v="7"/>
    <s v="No"/>
    <n v="30"/>
    <n v="8"/>
    <s v="No"/>
    <x v="1"/>
    <n v="2026"/>
    <n v="8"/>
    <s v="agosto"/>
    <x v="3"/>
    <s v="Satisfied"/>
    <s v="No"/>
    <s v="Yes"/>
    <s v="Resolved"/>
    <n v="1"/>
    <n v="0"/>
    <n v="1"/>
    <n v="0"/>
    <n v="0"/>
    <n v="0"/>
    <n v="0"/>
  </r>
  <r>
    <s v="TKT-01019"/>
    <n v="4.74"/>
    <x v="1108"/>
    <d v="2026-08-27T08:17:20"/>
    <x v="0"/>
    <x v="2"/>
    <s v="Email"/>
    <x v="0"/>
    <x v="0"/>
    <x v="2"/>
    <x v="2"/>
    <x v="6"/>
    <n v="47"/>
    <n v="4"/>
    <n v="0"/>
    <n v="11"/>
    <s v="Yes"/>
    <n v="30"/>
    <n v="8"/>
    <s v="No"/>
    <x v="0"/>
    <n v="2026"/>
    <n v="8"/>
    <s v="agosto"/>
    <x v="3"/>
    <s v="Satisfied"/>
    <s v="No"/>
    <s v="Yes"/>
    <s v="Resolved"/>
    <n v="1"/>
    <n v="0"/>
    <n v="1"/>
    <n v="0"/>
    <n v="1"/>
    <n v="0"/>
    <n v="1"/>
  </r>
  <r>
    <s v="TKT-00944"/>
    <n v="8.59"/>
    <x v="1109"/>
    <d v="2026-01-31T21:47:25"/>
    <x v="0"/>
    <x v="2"/>
    <s v="Chat"/>
    <x v="2"/>
    <x v="2"/>
    <x v="2"/>
    <x v="1"/>
    <x v="7"/>
    <n v="70"/>
    <n v="4"/>
    <n v="0"/>
    <n v="4"/>
    <s v="No"/>
    <n v="30"/>
    <n v="8"/>
    <s v="No"/>
    <x v="1"/>
    <n v="2026"/>
    <n v="1"/>
    <s v="janeiro"/>
    <x v="1"/>
    <s v="Satisfied"/>
    <s v="No"/>
    <s v="Yes"/>
    <s v="Resolved"/>
    <n v="1"/>
    <n v="0"/>
    <n v="1"/>
    <n v="0"/>
    <n v="0"/>
    <n v="0"/>
    <n v="0"/>
  </r>
  <r>
    <s v="TKT-00515"/>
    <n v="37.369999999999997"/>
    <x v="1110"/>
    <d v="2026-07-13T20:56:16"/>
    <x v="0"/>
    <x v="3"/>
    <s v="Web Form"/>
    <x v="1"/>
    <x v="1"/>
    <x v="3"/>
    <x v="4"/>
    <x v="8"/>
    <n v="80"/>
    <n v="4"/>
    <n v="0"/>
    <n v="4"/>
    <s v="No"/>
    <n v="120"/>
    <n v="24"/>
    <s v="Yes"/>
    <x v="1"/>
    <n v="2026"/>
    <n v="7"/>
    <s v="julho"/>
    <x v="6"/>
    <s v="Satisfied"/>
    <s v="No"/>
    <s v="Yes"/>
    <s v="Resolved"/>
    <n v="1"/>
    <n v="0"/>
    <n v="1"/>
    <n v="0"/>
    <n v="0"/>
    <n v="1"/>
    <n v="0"/>
  </r>
  <r>
    <s v="TKT-00096"/>
    <n v="28.49"/>
    <x v="1111"/>
    <d v="2026-04-21T15:16:41"/>
    <x v="0"/>
    <x v="1"/>
    <s v="Phone"/>
    <x v="1"/>
    <x v="2"/>
    <x v="2"/>
    <x v="2"/>
    <x v="9"/>
    <n v="303"/>
    <n v="3"/>
    <n v="0"/>
    <n v="6"/>
    <s v="No"/>
    <n v="240"/>
    <n v="48"/>
    <s v="No"/>
    <x v="0"/>
    <n v="2026"/>
    <n v="4"/>
    <s v="abril"/>
    <x v="0"/>
    <s v="Neutral"/>
    <s v="No"/>
    <s v="Yes"/>
    <s v="Resolved"/>
    <n v="1"/>
    <n v="0"/>
    <n v="1"/>
    <n v="0"/>
    <n v="0"/>
    <n v="0"/>
    <n v="1"/>
  </r>
  <r>
    <s v="TKT-01027"/>
    <n v="10.210000000000001"/>
    <x v="1112"/>
    <d v="2026-08-31T09:38:42"/>
    <x v="0"/>
    <x v="3"/>
    <s v="Email"/>
    <x v="1"/>
    <x v="1"/>
    <x v="3"/>
    <x v="2"/>
    <x v="10"/>
    <n v="65"/>
    <n v="5"/>
    <n v="0"/>
    <n v="6"/>
    <s v="No"/>
    <n v="120"/>
    <n v="24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1133"/>
    <n v="20.18"/>
    <x v="1113"/>
    <d v="2026-01-25T09:39:42"/>
    <x v="0"/>
    <x v="1"/>
    <s v="Email"/>
    <x v="2"/>
    <x v="1"/>
    <x v="2"/>
    <x v="2"/>
    <x v="0"/>
    <n v="460"/>
    <n v="4"/>
    <n v="0"/>
    <n v="7"/>
    <s v="No"/>
    <n v="240"/>
    <n v="48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0469"/>
    <n v="9.0299999999999994"/>
    <x v="1114"/>
    <d v="2026-07-16T23:36:47"/>
    <x v="0"/>
    <x v="3"/>
    <s v="Chat"/>
    <x v="1"/>
    <x v="2"/>
    <x v="2"/>
    <x v="4"/>
    <x v="3"/>
    <n v="136"/>
    <n v="4"/>
    <n v="0"/>
    <n v="7"/>
    <s v="No"/>
    <n v="120"/>
    <n v="24"/>
    <s v="No"/>
    <x v="0"/>
    <n v="2026"/>
    <n v="7"/>
    <s v="julho"/>
    <x v="6"/>
    <s v="Satisfied"/>
    <s v="No"/>
    <s v="Yes"/>
    <s v="Resolved"/>
    <n v="1"/>
    <n v="0"/>
    <n v="1"/>
    <n v="0"/>
    <n v="0"/>
    <n v="0"/>
    <n v="1"/>
  </r>
  <r>
    <s v="TKT-00424"/>
    <n v="65.81"/>
    <x v="1115"/>
    <d v="2026-04-08T12:35:38"/>
    <x v="0"/>
    <x v="1"/>
    <s v="Web Form"/>
    <x v="0"/>
    <x v="1"/>
    <x v="1"/>
    <x v="1"/>
    <x v="5"/>
    <n v="283"/>
    <n v="3"/>
    <n v="0"/>
    <n v="2"/>
    <s v="No"/>
    <n v="240"/>
    <n v="48"/>
    <s v="No"/>
    <x v="1"/>
    <n v="2026"/>
    <n v="4"/>
    <s v="abril"/>
    <x v="0"/>
    <s v="Neutral"/>
    <s v="No"/>
    <s v="Yes"/>
    <s v="Resolved"/>
    <n v="1"/>
    <n v="0"/>
    <n v="1"/>
    <n v="0"/>
    <n v="0"/>
    <n v="0"/>
    <n v="0"/>
  </r>
  <r>
    <s v="TKT-00787"/>
    <n v="5.8"/>
    <x v="1116"/>
    <d v="2026-01-24T04:45:18"/>
    <x v="0"/>
    <x v="3"/>
    <s v="Email"/>
    <x v="0"/>
    <x v="0"/>
    <x v="0"/>
    <x v="0"/>
    <x v="1"/>
    <n v="137"/>
    <n v="4"/>
    <n v="0"/>
    <n v="2"/>
    <s v="No"/>
    <n v="120"/>
    <n v="24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1173"/>
    <n v="12.18"/>
    <x v="1117"/>
    <d v="2026-02-28T16:50:00"/>
    <x v="0"/>
    <x v="1"/>
    <s v="Phone"/>
    <x v="0"/>
    <x v="2"/>
    <x v="3"/>
    <x v="2"/>
    <x v="3"/>
    <n v="33"/>
    <n v="5"/>
    <n v="0"/>
    <n v="2"/>
    <s v="No"/>
    <n v="240"/>
    <n v="48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433"/>
    <n v="17.43"/>
    <x v="1118"/>
    <d v="2026-01-17T22:46:32"/>
    <x v="0"/>
    <x v="3"/>
    <s v="Chat"/>
    <x v="0"/>
    <x v="1"/>
    <x v="1"/>
    <x v="1"/>
    <x v="0"/>
    <n v="94"/>
    <n v="4"/>
    <n v="0"/>
    <n v="4"/>
    <s v="No"/>
    <n v="120"/>
    <n v="2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1009"/>
    <n v="5.8"/>
    <x v="1119"/>
    <d v="2026-05-31T05:11:15"/>
    <x v="0"/>
    <x v="0"/>
    <s v="Email"/>
    <x v="2"/>
    <x v="0"/>
    <x v="3"/>
    <x v="0"/>
    <x v="8"/>
    <n v="27"/>
    <n v="5"/>
    <n v="0"/>
    <n v="2"/>
    <s v="No"/>
    <n v="15"/>
    <n v="4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899"/>
    <n v="17.18"/>
    <x v="1120"/>
    <d v="2026-07-17T22:28:37"/>
    <x v="0"/>
    <x v="3"/>
    <s v="Phone"/>
    <x v="3"/>
    <x v="2"/>
    <x v="0"/>
    <x v="0"/>
    <x v="3"/>
    <n v="135"/>
    <n v="4"/>
    <n v="0"/>
    <n v="6"/>
    <s v="No"/>
    <n v="120"/>
    <n v="24"/>
    <s v="No"/>
    <x v="0"/>
    <n v="2026"/>
    <n v="7"/>
    <s v="julho"/>
    <x v="6"/>
    <s v="Satisfied"/>
    <s v="No"/>
    <s v="Yes"/>
    <s v="Resolved"/>
    <n v="1"/>
    <n v="0"/>
    <n v="1"/>
    <n v="0"/>
    <n v="0"/>
    <n v="0"/>
    <n v="1"/>
  </r>
  <r>
    <s v="TKT-00262"/>
    <n v="48.95"/>
    <x v="1121"/>
    <d v="2026-03-05T13:04:10"/>
    <x v="0"/>
    <x v="1"/>
    <s v="Chat"/>
    <x v="3"/>
    <x v="1"/>
    <x v="0"/>
    <x v="1"/>
    <x v="10"/>
    <n v="337"/>
    <n v="3"/>
    <n v="0"/>
    <n v="4"/>
    <s v="No"/>
    <n v="240"/>
    <n v="48"/>
    <s v="No"/>
    <x v="1"/>
    <n v="2026"/>
    <n v="3"/>
    <s v="março"/>
    <x v="7"/>
    <s v="Neutral"/>
    <s v="No"/>
    <s v="Yes"/>
    <s v="Resolved"/>
    <n v="1"/>
    <n v="0"/>
    <n v="1"/>
    <n v="0"/>
    <n v="0"/>
    <n v="0"/>
    <n v="0"/>
  </r>
  <r>
    <s v="TKT-00896"/>
    <n v="42.43"/>
    <x v="1122"/>
    <d v="2026-03-25T20:27:32"/>
    <x v="0"/>
    <x v="3"/>
    <s v="Email"/>
    <x v="0"/>
    <x v="2"/>
    <x v="1"/>
    <x v="5"/>
    <x v="6"/>
    <n v="115"/>
    <n v="4"/>
    <n v="0"/>
    <n v="2"/>
    <s v="No"/>
    <n v="120"/>
    <n v="24"/>
    <s v="Yes"/>
    <x v="1"/>
    <n v="2026"/>
    <n v="3"/>
    <s v="março"/>
    <x v="7"/>
    <s v="Satisfied"/>
    <s v="No"/>
    <s v="Yes"/>
    <s v="Resolved"/>
    <n v="1"/>
    <n v="0"/>
    <n v="1"/>
    <n v="0"/>
    <n v="0"/>
    <n v="1"/>
    <n v="0"/>
  </r>
  <r>
    <s v="TKT-00281"/>
    <n v="78.34"/>
    <x v="1123"/>
    <d v="2026-01-12T15:16:41"/>
    <x v="0"/>
    <x v="1"/>
    <s v="Email"/>
    <x v="0"/>
    <x v="1"/>
    <x v="1"/>
    <x v="1"/>
    <x v="9"/>
    <n v="271"/>
    <n v="3"/>
    <n v="1"/>
    <n v="5"/>
    <s v="No"/>
    <n v="240"/>
    <n v="48"/>
    <s v="No"/>
    <x v="1"/>
    <n v="2026"/>
    <n v="1"/>
    <s v="janeiro"/>
    <x v="1"/>
    <s v="Neutral"/>
    <s v="Yes"/>
    <s v="Yes"/>
    <s v="Resolved"/>
    <n v="1"/>
    <n v="0"/>
    <n v="1"/>
    <n v="1"/>
    <n v="0"/>
    <n v="0"/>
    <n v="0"/>
  </r>
  <r>
    <s v="TKT-00324"/>
    <n v="21.08"/>
    <x v="1124"/>
    <d v="2026-01-30T19:12:36"/>
    <x v="0"/>
    <x v="3"/>
    <s v="Phone"/>
    <x v="0"/>
    <x v="0"/>
    <x v="0"/>
    <x v="5"/>
    <x v="4"/>
    <n v="210"/>
    <n v="4"/>
    <n v="0"/>
    <n v="4"/>
    <s v="No"/>
    <n v="120"/>
    <n v="24"/>
    <s v="No"/>
    <x v="0"/>
    <n v="2026"/>
    <n v="1"/>
    <s v="janeiro"/>
    <x v="1"/>
    <s v="Satisfied"/>
    <s v="No"/>
    <s v="Yes"/>
    <s v="Resolved"/>
    <n v="1"/>
    <n v="0"/>
    <n v="1"/>
    <n v="0"/>
    <n v="0"/>
    <n v="0"/>
    <n v="1"/>
  </r>
  <r>
    <s v="TKT-01157"/>
    <n v="7.63"/>
    <x v="1125"/>
    <d v="2026-02-08T03:56:47"/>
    <x v="0"/>
    <x v="2"/>
    <s v="Phone"/>
    <x v="0"/>
    <x v="1"/>
    <x v="2"/>
    <x v="0"/>
    <x v="5"/>
    <n v="30"/>
    <n v="4"/>
    <n v="0"/>
    <n v="5"/>
    <s v="No"/>
    <n v="30"/>
    <n v="8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751"/>
    <n v="51.85"/>
    <x v="1126"/>
    <d v="2026-08-22T19:21:52"/>
    <x v="0"/>
    <x v="1"/>
    <s v="Phone"/>
    <x v="1"/>
    <x v="1"/>
    <x v="2"/>
    <x v="1"/>
    <x v="6"/>
    <n v="363"/>
    <n v="2"/>
    <n v="2"/>
    <n v="12"/>
    <s v="No"/>
    <n v="240"/>
    <n v="48"/>
    <s v="No"/>
    <x v="1"/>
    <n v="2026"/>
    <n v="8"/>
    <s v="agosto"/>
    <x v="3"/>
    <s v="Dissatisfied"/>
    <s v="Yes"/>
    <s v="Yes"/>
    <s v="Resolved"/>
    <n v="1"/>
    <n v="0"/>
    <n v="1"/>
    <n v="1"/>
    <n v="0"/>
    <n v="0"/>
    <n v="0"/>
  </r>
  <r>
    <s v="TKT-00478"/>
    <n v="19.420000000000002"/>
    <x v="1127"/>
    <d v="2026-04-19T10:03:25"/>
    <x v="0"/>
    <x v="3"/>
    <s v="Email"/>
    <x v="0"/>
    <x v="1"/>
    <x v="0"/>
    <x v="3"/>
    <x v="3"/>
    <n v="39"/>
    <m/>
    <n v="0"/>
    <n v="6"/>
    <s v="No"/>
    <n v="120"/>
    <n v="24"/>
    <s v="Yes"/>
    <x v="0"/>
    <n v="2026"/>
    <n v="4"/>
    <s v="abril"/>
    <x v="0"/>
    <s v="No Response"/>
    <s v="No"/>
    <s v="No"/>
    <s v="Resolved"/>
    <n v="1"/>
    <n v="0"/>
    <n v="1"/>
    <n v="0"/>
    <n v="0"/>
    <n v="1"/>
    <n v="1"/>
  </r>
  <r>
    <s v="TKT-01039"/>
    <n v="4.01"/>
    <x v="1128"/>
    <d v="2026-04-04T16:01:23"/>
    <x v="0"/>
    <x v="0"/>
    <s v="Phone"/>
    <x v="0"/>
    <x v="1"/>
    <x v="3"/>
    <x v="2"/>
    <x v="5"/>
    <n v="9"/>
    <n v="5"/>
    <n v="0"/>
    <n v="5"/>
    <s v="No"/>
    <n v="15"/>
    <n v="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1167"/>
    <n v="34.92"/>
    <x v="1129"/>
    <d v="2026-05-07T01:56:15"/>
    <x v="0"/>
    <x v="3"/>
    <s v="Chat"/>
    <x v="0"/>
    <x v="1"/>
    <x v="0"/>
    <x v="1"/>
    <x v="2"/>
    <n v="64"/>
    <n v="4"/>
    <n v="0"/>
    <n v="2"/>
    <s v="No"/>
    <n v="120"/>
    <n v="24"/>
    <s v="Yes"/>
    <x v="1"/>
    <n v="2026"/>
    <n v="5"/>
    <s v="maio"/>
    <x v="2"/>
    <s v="Satisfied"/>
    <s v="No"/>
    <s v="Yes"/>
    <s v="Resolved"/>
    <n v="1"/>
    <n v="0"/>
    <n v="1"/>
    <n v="0"/>
    <n v="0"/>
    <n v="1"/>
    <n v="0"/>
  </r>
  <r>
    <s v="TKT-00499"/>
    <n v="26.25"/>
    <x v="1130"/>
    <d v="2026-01-19T22:27:01"/>
    <x v="0"/>
    <x v="3"/>
    <s v="Chat"/>
    <x v="1"/>
    <x v="1"/>
    <x v="2"/>
    <x v="3"/>
    <x v="1"/>
    <n v="129"/>
    <n v="4"/>
    <n v="0"/>
    <n v="7"/>
    <s v="No"/>
    <n v="120"/>
    <n v="24"/>
    <s v="No"/>
    <x v="1"/>
    <n v="2026"/>
    <n v="1"/>
    <s v="janeiro"/>
    <x v="1"/>
    <s v="Satisfied"/>
    <s v="No"/>
    <s v="Yes"/>
    <s v="Resolved"/>
    <n v="1"/>
    <n v="0"/>
    <n v="1"/>
    <n v="0"/>
    <n v="0"/>
    <n v="0"/>
    <n v="0"/>
  </r>
  <r>
    <s v="TKT-01170"/>
    <n v="34.549999999999997"/>
    <x v="1131"/>
    <d v="2026-03-31T09:23:15"/>
    <x v="0"/>
    <x v="1"/>
    <s v="Phone"/>
    <x v="1"/>
    <x v="2"/>
    <x v="0"/>
    <x v="2"/>
    <x v="7"/>
    <n v="148"/>
    <n v="4"/>
    <n v="0"/>
    <n v="2"/>
    <s v="No"/>
    <n v="240"/>
    <n v="48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527"/>
    <n v="14.94"/>
    <x v="1132"/>
    <d v="2026-04-23T02:44:39"/>
    <x v="0"/>
    <x v="1"/>
    <s v="Phone"/>
    <x v="0"/>
    <x v="2"/>
    <x v="3"/>
    <x v="0"/>
    <x v="1"/>
    <n v="619"/>
    <n v="3"/>
    <n v="0"/>
    <n v="7"/>
    <s v="No"/>
    <n v="240"/>
    <n v="48"/>
    <s v="No"/>
    <x v="0"/>
    <n v="2026"/>
    <n v="4"/>
    <s v="abril"/>
    <x v="0"/>
    <s v="Neutral"/>
    <s v="No"/>
    <s v="Yes"/>
    <s v="Resolved"/>
    <n v="1"/>
    <n v="0"/>
    <n v="1"/>
    <n v="0"/>
    <n v="0"/>
    <n v="0"/>
    <n v="1"/>
  </r>
  <r>
    <s v="TKT-00321"/>
    <n v="22.04"/>
    <x v="1133"/>
    <d v="2026-01-18T16:18:27"/>
    <x v="0"/>
    <x v="1"/>
    <s v="Phone"/>
    <x v="0"/>
    <x v="0"/>
    <x v="0"/>
    <x v="2"/>
    <x v="9"/>
    <n v="287"/>
    <n v="3"/>
    <n v="0"/>
    <n v="7"/>
    <s v="No"/>
    <n v="240"/>
    <n v="48"/>
    <s v="No"/>
    <x v="0"/>
    <n v="2026"/>
    <n v="1"/>
    <s v="janeiro"/>
    <x v="1"/>
    <s v="Neutral"/>
    <s v="No"/>
    <s v="Yes"/>
    <s v="Resolved"/>
    <n v="1"/>
    <n v="0"/>
    <n v="1"/>
    <n v="0"/>
    <n v="0"/>
    <n v="0"/>
    <n v="1"/>
  </r>
  <r>
    <s v="TKT-00192"/>
    <n v="27.97"/>
    <x v="1134"/>
    <d v="2026-02-21T04:19:54"/>
    <x v="0"/>
    <x v="3"/>
    <s v="Web Form"/>
    <x v="0"/>
    <x v="1"/>
    <x v="0"/>
    <x v="1"/>
    <x v="7"/>
    <n v="32"/>
    <n v="4"/>
    <n v="1"/>
    <n v="6"/>
    <s v="No"/>
    <n v="120"/>
    <n v="24"/>
    <s v="Yes"/>
    <x v="1"/>
    <n v="2026"/>
    <n v="2"/>
    <s v="fevereiro"/>
    <x v="4"/>
    <s v="Satisfied"/>
    <s v="Yes"/>
    <s v="Yes"/>
    <s v="Resolved"/>
    <n v="1"/>
    <n v="0"/>
    <n v="1"/>
    <n v="1"/>
    <n v="0"/>
    <n v="1"/>
    <n v="0"/>
  </r>
  <r>
    <s v="TKT-01021"/>
    <n v="15.03"/>
    <x v="1135"/>
    <d v="2026-08-06T11:40:52"/>
    <x v="0"/>
    <x v="3"/>
    <s v="Web Form"/>
    <x v="0"/>
    <x v="1"/>
    <x v="0"/>
    <x v="0"/>
    <x v="5"/>
    <n v="67"/>
    <n v="4"/>
    <n v="0"/>
    <n v="2"/>
    <s v="No"/>
    <n v="120"/>
    <n v="24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914"/>
    <n v="12.02"/>
    <x v="1136"/>
    <d v="2026-04-27T19:10:10"/>
    <x v="0"/>
    <x v="2"/>
    <s v="Chat"/>
    <x v="3"/>
    <x v="1"/>
    <x v="2"/>
    <x v="3"/>
    <x v="4"/>
    <n v="29"/>
    <n v="5"/>
    <n v="0"/>
    <n v="4"/>
    <s v="No"/>
    <n v="30"/>
    <n v="8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597"/>
    <n v="75.06"/>
    <x v="1137"/>
    <d v="2026-03-22T21:38:43"/>
    <x v="0"/>
    <x v="1"/>
    <s v="Email"/>
    <x v="0"/>
    <x v="1"/>
    <x v="0"/>
    <x v="5"/>
    <x v="9"/>
    <n v="213"/>
    <n v="3"/>
    <n v="0"/>
    <n v="3"/>
    <s v="No"/>
    <n v="240"/>
    <n v="48"/>
    <s v="Yes"/>
    <x v="1"/>
    <n v="2026"/>
    <n v="3"/>
    <s v="março"/>
    <x v="7"/>
    <s v="Neutral"/>
    <s v="No"/>
    <s v="Yes"/>
    <s v="Resolved"/>
    <n v="1"/>
    <n v="0"/>
    <n v="1"/>
    <n v="0"/>
    <n v="0"/>
    <n v="1"/>
    <n v="0"/>
  </r>
  <r>
    <s v="TKT-00687"/>
    <n v="18.309999999999999"/>
    <x v="1138"/>
    <d v="2026-06-16T08:00:41"/>
    <x v="0"/>
    <x v="3"/>
    <s v="Email"/>
    <x v="0"/>
    <x v="1"/>
    <x v="0"/>
    <x v="1"/>
    <x v="8"/>
    <n v="95"/>
    <n v="4"/>
    <n v="0"/>
    <n v="4"/>
    <s v="No"/>
    <n v="120"/>
    <n v="24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323"/>
    <n v="57.64"/>
    <x v="1139"/>
    <d v="2026-02-02T01:13:12"/>
    <x v="0"/>
    <x v="3"/>
    <s v="Email"/>
    <x v="2"/>
    <x v="0"/>
    <x v="3"/>
    <x v="5"/>
    <x v="1"/>
    <n v="66"/>
    <n v="4"/>
    <n v="0"/>
    <n v="4"/>
    <s v="No"/>
    <n v="120"/>
    <n v="24"/>
    <s v="Yes"/>
    <x v="1"/>
    <n v="2026"/>
    <n v="1"/>
    <s v="janeiro"/>
    <x v="1"/>
    <s v="Satisfied"/>
    <s v="No"/>
    <s v="Yes"/>
    <s v="Resolved"/>
    <n v="1"/>
    <n v="0"/>
    <n v="1"/>
    <n v="0"/>
    <n v="0"/>
    <n v="1"/>
    <n v="0"/>
  </r>
  <r>
    <s v="TKT-00141"/>
    <n v="22.09"/>
    <x v="1140"/>
    <d v="2026-02-04T19:33:17"/>
    <x v="0"/>
    <x v="3"/>
    <s v="Email"/>
    <x v="1"/>
    <x v="2"/>
    <x v="2"/>
    <x v="1"/>
    <x v="0"/>
    <n v="233"/>
    <n v="2"/>
    <n v="3"/>
    <n v="16"/>
    <s v="No"/>
    <n v="120"/>
    <n v="24"/>
    <s v="No"/>
    <x v="0"/>
    <n v="2026"/>
    <n v="2"/>
    <s v="fevereiro"/>
    <x v="4"/>
    <s v="Dissatisfied"/>
    <s v="Yes"/>
    <s v="Yes"/>
    <s v="Resolved"/>
    <n v="1"/>
    <n v="0"/>
    <n v="1"/>
    <n v="1"/>
    <n v="0"/>
    <n v="0"/>
    <n v="1"/>
  </r>
  <r>
    <s v="TKT-01068"/>
    <n v="52.62"/>
    <x v="1141"/>
    <d v="2026-03-22T06:04:14"/>
    <x v="0"/>
    <x v="1"/>
    <s v="Chat"/>
    <x v="1"/>
    <x v="2"/>
    <x v="0"/>
    <x v="3"/>
    <x v="0"/>
    <n v="289"/>
    <n v="3"/>
    <n v="0"/>
    <n v="2"/>
    <s v="No"/>
    <n v="240"/>
    <n v="48"/>
    <s v="No"/>
    <x v="1"/>
    <n v="2026"/>
    <n v="3"/>
    <s v="março"/>
    <x v="7"/>
    <s v="Neutral"/>
    <s v="No"/>
    <s v="Yes"/>
    <s v="Resolved"/>
    <n v="1"/>
    <n v="0"/>
    <n v="1"/>
    <n v="0"/>
    <n v="0"/>
    <n v="0"/>
    <n v="0"/>
  </r>
  <r>
    <s v="TKT-01095"/>
    <n v="44.05"/>
    <x v="1142"/>
    <d v="2026-06-10T12:20:56"/>
    <x v="0"/>
    <x v="3"/>
    <s v="Email"/>
    <x v="0"/>
    <x v="1"/>
    <x v="0"/>
    <x v="3"/>
    <x v="1"/>
    <n v="72"/>
    <n v="3"/>
    <n v="1"/>
    <n v="8"/>
    <s v="No"/>
    <n v="120"/>
    <n v="24"/>
    <s v="Yes"/>
    <x v="1"/>
    <n v="2026"/>
    <n v="6"/>
    <s v="junho"/>
    <x v="5"/>
    <s v="Neutral"/>
    <s v="Yes"/>
    <s v="Yes"/>
    <s v="Resolved"/>
    <n v="1"/>
    <n v="0"/>
    <n v="1"/>
    <n v="1"/>
    <n v="0"/>
    <n v="1"/>
    <n v="0"/>
  </r>
  <r>
    <s v="TKT-00252"/>
    <n v="39.31"/>
    <x v="1143"/>
    <d v="2026-01-15T11:01:32"/>
    <x v="0"/>
    <x v="4"/>
    <s v="Chat"/>
    <x v="0"/>
    <x v="1"/>
    <x v="1"/>
    <x v="3"/>
    <x v="5"/>
    <n v="164"/>
    <n v="4"/>
    <n v="0"/>
    <n v="2"/>
    <s v="No"/>
    <m/>
    <m/>
    <m/>
    <x v="3"/>
    <n v="2026"/>
    <n v="1"/>
    <s v="janeiro"/>
    <x v="1"/>
    <s v="Satisfied"/>
    <s v="No"/>
    <s v="Yes"/>
    <s v="Resolved"/>
    <n v="1"/>
    <n v="0"/>
    <n v="1"/>
    <n v="0"/>
    <n v="0"/>
    <m/>
    <m/>
  </r>
  <r>
    <s v="TKT-00344"/>
    <n v="3.27"/>
    <x v="1144"/>
    <d v="2026-01-15T10:31:29"/>
    <x v="0"/>
    <x v="0"/>
    <s v="Email"/>
    <x v="0"/>
    <x v="1"/>
    <x v="1"/>
    <x v="0"/>
    <x v="6"/>
    <n v="12"/>
    <n v="5"/>
    <n v="0"/>
    <n v="7"/>
    <s v="No"/>
    <n v="15"/>
    <n v="4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  <r>
    <s v="TKT-01013"/>
    <n v="13.12"/>
    <x v="1145"/>
    <d v="2026-02-22T08:42:08"/>
    <x v="0"/>
    <x v="2"/>
    <s v="Chat"/>
    <x v="2"/>
    <x v="1"/>
    <x v="3"/>
    <x v="5"/>
    <x v="7"/>
    <n v="103"/>
    <n v="4"/>
    <n v="0"/>
    <n v="6"/>
    <s v="No"/>
    <n v="30"/>
    <n v="8"/>
    <s v="No"/>
    <x v="1"/>
    <n v="2026"/>
    <n v="2"/>
    <s v="fevereiro"/>
    <x v="4"/>
    <s v="Satisfied"/>
    <s v="No"/>
    <s v="Yes"/>
    <s v="Resolved"/>
    <n v="1"/>
    <n v="0"/>
    <n v="1"/>
    <n v="0"/>
    <n v="0"/>
    <n v="0"/>
    <n v="0"/>
  </r>
  <r>
    <s v="TKT-00063"/>
    <n v="13.76"/>
    <x v="1146"/>
    <d v="2026-06-21T04:59:38"/>
    <x v="0"/>
    <x v="1"/>
    <s v="Chat"/>
    <x v="0"/>
    <x v="0"/>
    <x v="0"/>
    <x v="0"/>
    <x v="8"/>
    <n v="109"/>
    <n v="4"/>
    <n v="0"/>
    <n v="5"/>
    <s v="No"/>
    <n v="240"/>
    <n v="48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613"/>
    <n v="21.95"/>
    <x v="1147"/>
    <d v="2026-03-27T14:19:54"/>
    <x v="0"/>
    <x v="3"/>
    <s v="Email"/>
    <x v="0"/>
    <x v="1"/>
    <x v="3"/>
    <x v="1"/>
    <x v="9"/>
    <n v="66"/>
    <n v="4"/>
    <n v="0"/>
    <n v="4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1155"/>
    <n v="16.95"/>
    <x v="1148"/>
    <d v="2026-06-13T14:48:53"/>
    <x v="0"/>
    <x v="3"/>
    <s v="Email"/>
    <x v="0"/>
    <x v="1"/>
    <x v="3"/>
    <x v="0"/>
    <x v="0"/>
    <n v="67"/>
    <n v="4"/>
    <n v="0"/>
    <n v="6"/>
    <s v="No"/>
    <n v="120"/>
    <n v="24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1106"/>
    <n v="4.2300000000000004"/>
    <x v="1149"/>
    <d v="2026-04-27T23:16:47"/>
    <x v="0"/>
    <x v="3"/>
    <s v="Web Form"/>
    <x v="2"/>
    <x v="1"/>
    <x v="0"/>
    <x v="0"/>
    <x v="6"/>
    <n v="67"/>
    <n v="4"/>
    <n v="0"/>
    <n v="5"/>
    <s v="No"/>
    <n v="120"/>
    <n v="24"/>
    <s v="Yes"/>
    <x v="0"/>
    <n v="2026"/>
    <n v="4"/>
    <s v="abril"/>
    <x v="0"/>
    <s v="Satisfied"/>
    <s v="No"/>
    <s v="Yes"/>
    <s v="Resolved"/>
    <n v="1"/>
    <n v="0"/>
    <n v="1"/>
    <n v="0"/>
    <n v="0"/>
    <n v="1"/>
    <n v="1"/>
  </r>
  <r>
    <s v="TKT-00949"/>
    <n v="12.28"/>
    <x v="1150"/>
    <d v="2026-02-15T20:50:42"/>
    <x v="0"/>
    <x v="2"/>
    <s v="Chat"/>
    <x v="2"/>
    <x v="2"/>
    <x v="3"/>
    <x v="1"/>
    <x v="8"/>
    <n v="23"/>
    <n v="5"/>
    <n v="0"/>
    <n v="4"/>
    <s v="No"/>
    <n v="30"/>
    <n v="8"/>
    <s v="Yes"/>
    <x v="1"/>
    <n v="2026"/>
    <n v="2"/>
    <s v="fevereiro"/>
    <x v="4"/>
    <s v="Satisfied"/>
    <s v="No"/>
    <s v="Yes"/>
    <s v="Resolved"/>
    <n v="1"/>
    <n v="0"/>
    <n v="1"/>
    <n v="0"/>
    <n v="0"/>
    <n v="1"/>
    <n v="0"/>
  </r>
  <r>
    <s v="TKT-00568"/>
    <n v="17.579999999999998"/>
    <x v="1151"/>
    <d v="2026-08-04T19:13:33"/>
    <x v="0"/>
    <x v="1"/>
    <s v="Email"/>
    <x v="0"/>
    <x v="2"/>
    <x v="2"/>
    <x v="0"/>
    <x v="9"/>
    <n v="135"/>
    <n v="4"/>
    <n v="0"/>
    <n v="2"/>
    <s v="No"/>
    <n v="240"/>
    <n v="48"/>
    <s v="Yes"/>
    <x v="0"/>
    <n v="2026"/>
    <n v="8"/>
    <s v="agosto"/>
    <x v="3"/>
    <s v="Satisfied"/>
    <s v="No"/>
    <s v="Yes"/>
    <s v="Resolved"/>
    <n v="1"/>
    <n v="0"/>
    <n v="1"/>
    <n v="0"/>
    <n v="0"/>
    <n v="1"/>
    <n v="1"/>
  </r>
  <r>
    <s v="TKT-00150"/>
    <n v="39.75"/>
    <x v="1152"/>
    <d v="2026-03-22T22:57:51"/>
    <x v="0"/>
    <x v="3"/>
    <s v="Chat"/>
    <x v="4"/>
    <x v="1"/>
    <x v="0"/>
    <x v="5"/>
    <x v="5"/>
    <n v="127"/>
    <n v="4"/>
    <n v="1"/>
    <n v="10"/>
    <s v="No"/>
    <n v="120"/>
    <n v="24"/>
    <s v="No"/>
    <x v="1"/>
    <n v="2026"/>
    <n v="3"/>
    <s v="março"/>
    <x v="7"/>
    <s v="Satisfied"/>
    <s v="Yes"/>
    <s v="Yes"/>
    <s v="Resolved"/>
    <n v="1"/>
    <n v="0"/>
    <n v="1"/>
    <n v="1"/>
    <n v="0"/>
    <n v="0"/>
    <n v="0"/>
  </r>
  <r>
    <s v="TKT-01004"/>
    <n v="50.65"/>
    <x v="1153"/>
    <d v="2026-04-29T07:40:48"/>
    <x v="0"/>
    <x v="3"/>
    <s v="Email"/>
    <x v="2"/>
    <x v="0"/>
    <x v="2"/>
    <x v="1"/>
    <x v="7"/>
    <n v="34"/>
    <n v="4"/>
    <n v="0"/>
    <n v="5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1029"/>
    <n v="3.9"/>
    <x v="1154"/>
    <d v="2026-07-18T20:34:11"/>
    <x v="0"/>
    <x v="2"/>
    <s v="Email"/>
    <x v="2"/>
    <x v="2"/>
    <x v="1"/>
    <x v="1"/>
    <x v="10"/>
    <n v="48"/>
    <n v="4"/>
    <n v="1"/>
    <n v="7"/>
    <s v="No"/>
    <n v="30"/>
    <n v="8"/>
    <s v="No"/>
    <x v="0"/>
    <n v="2026"/>
    <n v="7"/>
    <s v="julho"/>
    <x v="6"/>
    <s v="Satisfied"/>
    <s v="Yes"/>
    <s v="Yes"/>
    <s v="Resolved"/>
    <n v="1"/>
    <n v="0"/>
    <n v="1"/>
    <n v="1"/>
    <n v="0"/>
    <n v="0"/>
    <n v="1"/>
  </r>
  <r>
    <s v="TKT-01066"/>
    <n v="12.08"/>
    <x v="1155"/>
    <d v="2026-02-13T11:29:45"/>
    <x v="0"/>
    <x v="3"/>
    <s v="Web Form"/>
    <x v="0"/>
    <x v="1"/>
    <x v="3"/>
    <x v="2"/>
    <x v="2"/>
    <n v="119"/>
    <n v="4"/>
    <n v="0"/>
    <n v="3"/>
    <s v="No"/>
    <n v="120"/>
    <n v="24"/>
    <s v="Yes"/>
    <x v="0"/>
    <n v="2026"/>
    <n v="2"/>
    <s v="fevereiro"/>
    <x v="4"/>
    <s v="Satisfied"/>
    <s v="No"/>
    <s v="Yes"/>
    <s v="Resolved"/>
    <n v="1"/>
    <n v="0"/>
    <n v="1"/>
    <n v="0"/>
    <n v="0"/>
    <n v="1"/>
    <n v="1"/>
  </r>
  <r>
    <s v="TKT-00451"/>
    <n v="9.43"/>
    <x v="1156"/>
    <d v="2026-04-04T14:36:47"/>
    <x v="0"/>
    <x v="2"/>
    <s v="Chat"/>
    <x v="1"/>
    <x v="1"/>
    <x v="0"/>
    <x v="2"/>
    <x v="2"/>
    <n v="68"/>
    <n v="4"/>
    <n v="0"/>
    <n v="5"/>
    <s v="No"/>
    <n v="30"/>
    <n v="8"/>
    <s v="No"/>
    <x v="1"/>
    <n v="2026"/>
    <n v="4"/>
    <s v="abril"/>
    <x v="0"/>
    <s v="Satisfied"/>
    <s v="No"/>
    <s v="Yes"/>
    <s v="Resolved"/>
    <n v="1"/>
    <n v="0"/>
    <n v="1"/>
    <n v="0"/>
    <n v="0"/>
    <n v="0"/>
    <n v="0"/>
  </r>
  <r>
    <s v="TKT-00994"/>
    <n v="24.08"/>
    <x v="1157"/>
    <d v="2026-05-15T05:37:40"/>
    <x v="0"/>
    <x v="3"/>
    <s v="Web Form"/>
    <x v="3"/>
    <x v="2"/>
    <x v="2"/>
    <x v="1"/>
    <x v="9"/>
    <n v="78"/>
    <n v="4"/>
    <n v="1"/>
    <n v="10"/>
    <s v="No"/>
    <n v="120"/>
    <n v="24"/>
    <s v="Yes"/>
    <x v="1"/>
    <n v="2026"/>
    <n v="5"/>
    <s v="maio"/>
    <x v="2"/>
    <s v="Satisfied"/>
    <s v="Yes"/>
    <s v="Yes"/>
    <s v="Resolved"/>
    <n v="1"/>
    <n v="0"/>
    <n v="1"/>
    <n v="1"/>
    <n v="0"/>
    <n v="1"/>
    <n v="0"/>
  </r>
  <r>
    <s v="TKT-00032"/>
    <n v="23.08"/>
    <x v="1158"/>
    <d v="2026-08-26T15:45:49"/>
    <x v="0"/>
    <x v="3"/>
    <s v="Email"/>
    <x v="1"/>
    <x v="1"/>
    <x v="3"/>
    <x v="1"/>
    <x v="0"/>
    <n v="155"/>
    <n v="4"/>
    <n v="0"/>
    <n v="5"/>
    <s v="No"/>
    <n v="120"/>
    <n v="24"/>
    <s v="No"/>
    <x v="0"/>
    <n v="2026"/>
    <n v="8"/>
    <s v="agosto"/>
    <x v="3"/>
    <s v="Satisfied"/>
    <s v="No"/>
    <s v="Yes"/>
    <s v="Resolved"/>
    <n v="1"/>
    <n v="0"/>
    <n v="1"/>
    <n v="0"/>
    <n v="0"/>
    <n v="0"/>
    <n v="1"/>
  </r>
  <r>
    <s v="TKT-00385"/>
    <n v="20.88"/>
    <x v="1159"/>
    <d v="2026-06-09T00:27:47"/>
    <x v="0"/>
    <x v="2"/>
    <s v="Email"/>
    <x v="2"/>
    <x v="1"/>
    <x v="2"/>
    <x v="2"/>
    <x v="5"/>
    <n v="108"/>
    <n v="4"/>
    <n v="0"/>
    <n v="8"/>
    <s v="Yes"/>
    <n v="30"/>
    <n v="8"/>
    <s v="No"/>
    <x v="1"/>
    <n v="2026"/>
    <n v="6"/>
    <s v="junho"/>
    <x v="5"/>
    <s v="Satisfied"/>
    <s v="No"/>
    <s v="Yes"/>
    <s v="Resolved"/>
    <n v="1"/>
    <n v="0"/>
    <n v="1"/>
    <n v="0"/>
    <n v="1"/>
    <n v="0"/>
    <n v="0"/>
  </r>
  <r>
    <s v="TKT-01055"/>
    <n v="68.94"/>
    <x v="1160"/>
    <d v="2026-04-17T22:51:30"/>
    <x v="0"/>
    <x v="3"/>
    <s v="Chat"/>
    <x v="0"/>
    <x v="2"/>
    <x v="0"/>
    <x v="1"/>
    <x v="6"/>
    <n v="111"/>
    <n v="3"/>
    <n v="1"/>
    <n v="6"/>
    <s v="No"/>
    <n v="120"/>
    <n v="24"/>
    <s v="Yes"/>
    <x v="1"/>
    <n v="2026"/>
    <n v="4"/>
    <s v="abril"/>
    <x v="0"/>
    <s v="Neutral"/>
    <s v="Yes"/>
    <s v="Yes"/>
    <s v="Resolved"/>
    <n v="1"/>
    <n v="0"/>
    <n v="1"/>
    <n v="1"/>
    <n v="0"/>
    <n v="1"/>
    <n v="0"/>
  </r>
  <r>
    <s v="TKT-01082"/>
    <n v="17.329999999999998"/>
    <x v="1161"/>
    <d v="2026-01-25T13:21:57"/>
    <x v="0"/>
    <x v="2"/>
    <s v="Phone"/>
    <x v="1"/>
    <x v="0"/>
    <x v="1"/>
    <x v="3"/>
    <x v="3"/>
    <n v="20"/>
    <n v="4"/>
    <n v="0"/>
    <n v="4"/>
    <s v="Yes"/>
    <n v="30"/>
    <n v="8"/>
    <s v="Yes"/>
    <x v="1"/>
    <n v="2026"/>
    <n v="1"/>
    <s v="janeiro"/>
    <x v="1"/>
    <s v="Satisfied"/>
    <s v="No"/>
    <s v="Yes"/>
    <s v="Resolved"/>
    <n v="1"/>
    <n v="0"/>
    <n v="1"/>
    <n v="0"/>
    <n v="1"/>
    <n v="1"/>
    <n v="0"/>
  </r>
  <r>
    <s v="TKT-00701"/>
    <n v="45.52"/>
    <x v="1162"/>
    <d v="2026-04-20T21:59:29"/>
    <x v="0"/>
    <x v="3"/>
    <s v="Chat"/>
    <x v="1"/>
    <x v="0"/>
    <x v="2"/>
    <x v="1"/>
    <x v="1"/>
    <n v="103"/>
    <n v="4"/>
    <n v="0"/>
    <n v="5"/>
    <s v="No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0"/>
    <n v="1"/>
    <n v="0"/>
  </r>
  <r>
    <s v="TKT-00053"/>
    <n v="92.07"/>
    <x v="1163"/>
    <d v="2026-05-01T15:31:54"/>
    <x v="0"/>
    <x v="3"/>
    <s v="Chat"/>
    <x v="2"/>
    <x v="2"/>
    <x v="1"/>
    <x v="1"/>
    <x v="2"/>
    <n v="59"/>
    <n v="4"/>
    <n v="0"/>
    <n v="9"/>
    <s v="Yes"/>
    <n v="120"/>
    <n v="24"/>
    <s v="Yes"/>
    <x v="1"/>
    <n v="2026"/>
    <n v="4"/>
    <s v="abril"/>
    <x v="0"/>
    <s v="Satisfied"/>
    <s v="No"/>
    <s v="Yes"/>
    <s v="Resolved"/>
    <n v="1"/>
    <n v="0"/>
    <n v="1"/>
    <n v="0"/>
    <n v="1"/>
    <n v="1"/>
    <n v="0"/>
  </r>
  <r>
    <s v="TKT-00797"/>
    <n v="7.52"/>
    <x v="1164"/>
    <d v="2026-08-30T06:17:10"/>
    <x v="0"/>
    <x v="0"/>
    <s v="Chat"/>
    <x v="1"/>
    <x v="2"/>
    <x v="0"/>
    <x v="5"/>
    <x v="10"/>
    <n v="22"/>
    <n v="5"/>
    <n v="0"/>
    <n v="7"/>
    <s v="No"/>
    <n v="15"/>
    <n v="4"/>
    <s v="No"/>
    <x v="1"/>
    <n v="2026"/>
    <n v="8"/>
    <s v="agosto"/>
    <x v="3"/>
    <s v="Satisfied"/>
    <s v="No"/>
    <s v="Yes"/>
    <s v="Resolved"/>
    <n v="1"/>
    <n v="0"/>
    <n v="1"/>
    <n v="0"/>
    <n v="0"/>
    <n v="0"/>
    <n v="0"/>
  </r>
  <r>
    <s v="TKT-00912"/>
    <n v="102.65"/>
    <x v="1165"/>
    <d v="2026-06-19T00:37:01"/>
    <x v="0"/>
    <x v="1"/>
    <s v="Phone"/>
    <x v="0"/>
    <x v="2"/>
    <x v="3"/>
    <x v="1"/>
    <x v="5"/>
    <n v="97"/>
    <n v="4"/>
    <n v="0"/>
    <n v="2"/>
    <s v="No"/>
    <n v="240"/>
    <n v="48"/>
    <s v="Yes"/>
    <x v="1"/>
    <n v="2026"/>
    <n v="6"/>
    <s v="junho"/>
    <x v="5"/>
    <s v="Satisfied"/>
    <s v="No"/>
    <s v="Yes"/>
    <s v="Resolved"/>
    <n v="1"/>
    <n v="0"/>
    <n v="1"/>
    <n v="0"/>
    <n v="0"/>
    <n v="1"/>
    <n v="0"/>
  </r>
  <r>
    <s v="TKT-01126"/>
    <n v="11.69"/>
    <x v="1166"/>
    <d v="2026-03-05T06:34:20"/>
    <x v="0"/>
    <x v="3"/>
    <s v="Email"/>
    <x v="2"/>
    <x v="1"/>
    <x v="2"/>
    <x v="0"/>
    <x v="0"/>
    <n v="76"/>
    <n v="4"/>
    <n v="0"/>
    <n v="2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697"/>
    <n v="47.35"/>
    <x v="1167"/>
    <d v="2026-09-01T14:41:46"/>
    <x v="0"/>
    <x v="3"/>
    <s v="Email"/>
    <x v="0"/>
    <x v="1"/>
    <x v="3"/>
    <x v="1"/>
    <x v="3"/>
    <n v="95"/>
    <n v="3"/>
    <n v="1"/>
    <n v="8"/>
    <s v="No"/>
    <n v="120"/>
    <n v="24"/>
    <s v="Yes"/>
    <x v="1"/>
    <n v="2026"/>
    <n v="8"/>
    <s v="agosto"/>
    <x v="3"/>
    <s v="Neutral"/>
    <s v="Yes"/>
    <s v="Yes"/>
    <s v="Resolved"/>
    <n v="1"/>
    <n v="0"/>
    <n v="1"/>
    <n v="1"/>
    <n v="0"/>
    <n v="1"/>
    <n v="0"/>
  </r>
  <r>
    <s v="TKT-00348"/>
    <n v="20.25"/>
    <x v="1168"/>
    <d v="2026-08-09T13:13:00"/>
    <x v="0"/>
    <x v="2"/>
    <s v="Email"/>
    <x v="1"/>
    <x v="1"/>
    <x v="1"/>
    <x v="2"/>
    <x v="10"/>
    <n v="58"/>
    <n v="4"/>
    <n v="0"/>
    <n v="7"/>
    <s v="Yes"/>
    <n v="30"/>
    <n v="8"/>
    <s v="No"/>
    <x v="1"/>
    <n v="2026"/>
    <n v="8"/>
    <s v="agosto"/>
    <x v="3"/>
    <s v="Satisfied"/>
    <s v="No"/>
    <s v="Yes"/>
    <s v="Resolved"/>
    <n v="1"/>
    <n v="0"/>
    <n v="1"/>
    <n v="0"/>
    <n v="1"/>
    <n v="0"/>
    <n v="0"/>
  </r>
  <r>
    <s v="TKT-00724"/>
    <n v="41.37"/>
    <x v="1169"/>
    <d v="2026-07-03T00:45:19"/>
    <x v="0"/>
    <x v="1"/>
    <s v="Email"/>
    <x v="0"/>
    <x v="2"/>
    <x v="2"/>
    <x v="2"/>
    <x v="9"/>
    <n v="286"/>
    <n v="3"/>
    <n v="0"/>
    <n v="12"/>
    <s v="Yes"/>
    <n v="240"/>
    <n v="48"/>
    <s v="No"/>
    <x v="0"/>
    <n v="2026"/>
    <n v="7"/>
    <s v="julho"/>
    <x v="6"/>
    <s v="Neutral"/>
    <s v="No"/>
    <s v="Yes"/>
    <s v="Resolved"/>
    <n v="1"/>
    <n v="0"/>
    <n v="1"/>
    <n v="0"/>
    <n v="1"/>
    <n v="0"/>
    <n v="1"/>
  </r>
  <r>
    <s v="TKT-00951"/>
    <n v="8.7100000000000009"/>
    <x v="1170"/>
    <d v="2026-03-25T10:07:41"/>
    <x v="0"/>
    <x v="3"/>
    <s v="Email"/>
    <x v="2"/>
    <x v="2"/>
    <x v="0"/>
    <x v="0"/>
    <x v="3"/>
    <n v="99"/>
    <n v="4"/>
    <n v="0"/>
    <n v="7"/>
    <s v="No"/>
    <n v="120"/>
    <n v="24"/>
    <s v="Yes"/>
    <x v="0"/>
    <n v="2026"/>
    <n v="3"/>
    <s v="março"/>
    <x v="7"/>
    <s v="Satisfied"/>
    <s v="No"/>
    <s v="Yes"/>
    <s v="Resolved"/>
    <n v="1"/>
    <n v="0"/>
    <n v="1"/>
    <n v="0"/>
    <n v="0"/>
    <n v="1"/>
    <n v="1"/>
  </r>
  <r>
    <s v="TKT-00343"/>
    <n v="17.809999999999999"/>
    <x v="1171"/>
    <d v="2026-02-07T23:30:52"/>
    <x v="0"/>
    <x v="3"/>
    <s v="Chat"/>
    <x v="3"/>
    <x v="2"/>
    <x v="3"/>
    <x v="0"/>
    <x v="0"/>
    <n v="127"/>
    <n v="3"/>
    <n v="2"/>
    <n v="11"/>
    <s v="No"/>
    <n v="120"/>
    <n v="24"/>
    <s v="No"/>
    <x v="0"/>
    <n v="2026"/>
    <n v="2"/>
    <s v="fevereiro"/>
    <x v="4"/>
    <s v="Neutral"/>
    <s v="Yes"/>
    <s v="Yes"/>
    <s v="Resolved"/>
    <n v="1"/>
    <n v="0"/>
    <n v="1"/>
    <n v="1"/>
    <n v="0"/>
    <n v="0"/>
    <n v="1"/>
  </r>
  <r>
    <s v="TKT-00279"/>
    <n v="47.69"/>
    <x v="1172"/>
    <d v="2026-06-08T17:53:13"/>
    <x v="0"/>
    <x v="1"/>
    <s v="Email"/>
    <x v="1"/>
    <x v="1"/>
    <x v="3"/>
    <x v="1"/>
    <x v="1"/>
    <n v="157"/>
    <n v="4"/>
    <n v="0"/>
    <n v="3"/>
    <s v="No"/>
    <n v="240"/>
    <n v="48"/>
    <s v="Yes"/>
    <x v="0"/>
    <n v="2026"/>
    <n v="6"/>
    <s v="junho"/>
    <x v="5"/>
    <s v="Satisfied"/>
    <s v="No"/>
    <s v="Yes"/>
    <s v="Resolved"/>
    <n v="1"/>
    <n v="0"/>
    <n v="1"/>
    <n v="0"/>
    <n v="0"/>
    <n v="1"/>
    <n v="1"/>
  </r>
  <r>
    <s v="TKT-00609"/>
    <m/>
    <x v="1173"/>
    <m/>
    <x v="2"/>
    <x v="2"/>
    <s v="Chat"/>
    <x v="0"/>
    <x v="1"/>
    <x v="3"/>
    <x v="2"/>
    <x v="1"/>
    <n v="39"/>
    <m/>
    <n v="0"/>
    <n v="2"/>
    <s v="No"/>
    <n v="30"/>
    <n v="8"/>
    <s v="No"/>
    <x v="2"/>
    <n v="2026"/>
    <n v="7"/>
    <s v="julho"/>
    <x v="6"/>
    <s v="No Response"/>
    <s v="No"/>
    <s v="No"/>
    <s v="Pending"/>
    <n v="1"/>
    <n v="1"/>
    <n v="0"/>
    <n v="0"/>
    <n v="0"/>
    <n v="0"/>
    <m/>
  </r>
  <r>
    <s v="TKT-00145"/>
    <n v="14.83"/>
    <x v="1174"/>
    <d v="2026-05-31T06:28:37"/>
    <x v="0"/>
    <x v="3"/>
    <s v="Chat"/>
    <x v="0"/>
    <x v="1"/>
    <x v="3"/>
    <x v="0"/>
    <x v="8"/>
    <n v="213"/>
    <n v="4"/>
    <n v="0"/>
    <n v="3"/>
    <s v="No"/>
    <n v="120"/>
    <n v="24"/>
    <s v="No"/>
    <x v="0"/>
    <n v="2026"/>
    <n v="5"/>
    <s v="maio"/>
    <x v="2"/>
    <s v="Satisfied"/>
    <s v="No"/>
    <s v="Yes"/>
    <s v="Resolved"/>
    <n v="1"/>
    <n v="0"/>
    <n v="1"/>
    <n v="0"/>
    <n v="0"/>
    <n v="0"/>
    <n v="1"/>
  </r>
  <r>
    <s v="TKT-00616"/>
    <n v="10.39"/>
    <x v="1175"/>
    <d v="2026-04-22T15:33:29"/>
    <x v="0"/>
    <x v="2"/>
    <s v="Phone"/>
    <x v="0"/>
    <x v="0"/>
    <x v="2"/>
    <x v="4"/>
    <x v="1"/>
    <n v="145"/>
    <n v="3"/>
    <n v="2"/>
    <n v="11"/>
    <s v="No"/>
    <n v="30"/>
    <n v="8"/>
    <s v="No"/>
    <x v="1"/>
    <n v="2026"/>
    <n v="4"/>
    <s v="abril"/>
    <x v="0"/>
    <s v="Neutral"/>
    <s v="Yes"/>
    <s v="Yes"/>
    <s v="Resolved"/>
    <n v="1"/>
    <n v="0"/>
    <n v="1"/>
    <n v="1"/>
    <n v="0"/>
    <n v="0"/>
    <n v="0"/>
  </r>
  <r>
    <s v="TKT-00475"/>
    <n v="12.01"/>
    <x v="1176"/>
    <d v="2026-05-07T02:06:43"/>
    <x v="0"/>
    <x v="2"/>
    <s v="Email"/>
    <x v="3"/>
    <x v="2"/>
    <x v="3"/>
    <x v="2"/>
    <x v="4"/>
    <n v="61"/>
    <n v="4"/>
    <n v="1"/>
    <n v="10"/>
    <s v="No"/>
    <n v="30"/>
    <n v="8"/>
    <s v="No"/>
    <x v="1"/>
    <n v="2026"/>
    <n v="5"/>
    <s v="maio"/>
    <x v="2"/>
    <s v="Satisfied"/>
    <s v="Yes"/>
    <s v="Yes"/>
    <s v="Resolved"/>
    <n v="1"/>
    <n v="0"/>
    <n v="1"/>
    <n v="1"/>
    <n v="0"/>
    <n v="0"/>
    <n v="0"/>
  </r>
  <r>
    <s v="TKT-00291"/>
    <n v="9.92"/>
    <x v="1177"/>
    <d v="2026-05-10T05:59:14"/>
    <x v="0"/>
    <x v="2"/>
    <s v="Web Form"/>
    <x v="0"/>
    <x v="0"/>
    <x v="1"/>
    <x v="1"/>
    <x v="0"/>
    <n v="55"/>
    <n v="4"/>
    <n v="0"/>
    <n v="7"/>
    <s v="No"/>
    <n v="30"/>
    <n v="8"/>
    <s v="No"/>
    <x v="1"/>
    <n v="2026"/>
    <n v="5"/>
    <s v="maio"/>
    <x v="2"/>
    <s v="Satisfied"/>
    <s v="No"/>
    <s v="Yes"/>
    <s v="Resolved"/>
    <n v="1"/>
    <n v="0"/>
    <n v="1"/>
    <n v="0"/>
    <n v="0"/>
    <n v="0"/>
    <n v="0"/>
  </r>
  <r>
    <s v="TKT-00116"/>
    <n v="29.17"/>
    <x v="1178"/>
    <d v="2026-01-16T17:48:06"/>
    <x v="0"/>
    <x v="1"/>
    <s v="Email"/>
    <x v="2"/>
    <x v="1"/>
    <x v="3"/>
    <x v="1"/>
    <x v="3"/>
    <n v="203"/>
    <n v="4"/>
    <n v="0"/>
    <n v="3"/>
    <s v="No"/>
    <n v="240"/>
    <n v="48"/>
    <s v="Yes"/>
    <x v="0"/>
    <n v="2026"/>
    <n v="1"/>
    <s v="janeiro"/>
    <x v="1"/>
    <s v="Satisfied"/>
    <s v="No"/>
    <s v="Yes"/>
    <s v="Resolved"/>
    <n v="1"/>
    <n v="0"/>
    <n v="1"/>
    <n v="0"/>
    <n v="0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94F2F-3E99-47D9-B9D4-759CC1D525C3}" name="Tabela dinâmica7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B1:B2" firstHeaderRow="1" firstDataRow="1" firstDataCol="0"/>
  <pivotFields count="38">
    <pivotField showAll="0"/>
    <pivotField showAll="0"/>
    <pivotField numFmtId="22" showAll="0">
      <items count="1180">
        <item x="388"/>
        <item x="289"/>
        <item x="619"/>
        <item x="329"/>
        <item x="115"/>
        <item x="350"/>
        <item x="338"/>
        <item x="809"/>
        <item x="657"/>
        <item x="1090"/>
        <item x="609"/>
        <item x="1"/>
        <item x="613"/>
        <item x="39"/>
        <item x="243"/>
        <item x="980"/>
        <item x="853"/>
        <item x="248"/>
        <item x="152"/>
        <item x="515"/>
        <item x="775"/>
        <item x="973"/>
        <item x="364"/>
        <item x="102"/>
        <item x="1042"/>
        <item x="652"/>
        <item x="635"/>
        <item x="797"/>
        <item x="395"/>
        <item x="393"/>
        <item x="1123"/>
        <item x="679"/>
        <item x="917"/>
        <item x="996"/>
        <item x="358"/>
        <item x="542"/>
        <item x="716"/>
        <item x="450"/>
        <item x="1087"/>
        <item x="924"/>
        <item x="484"/>
        <item x="416"/>
        <item x="711"/>
        <item x="494"/>
        <item x="258"/>
        <item x="598"/>
        <item x="966"/>
        <item x="944"/>
        <item x="386"/>
        <item x="502"/>
        <item x="1143"/>
        <item x="629"/>
        <item x="175"/>
        <item x="252"/>
        <item x="322"/>
        <item x="464"/>
        <item x="900"/>
        <item x="766"/>
        <item x="1144"/>
        <item x="721"/>
        <item x="1178"/>
        <item x="772"/>
        <item x="905"/>
        <item x="122"/>
        <item x="201"/>
        <item x="148"/>
        <item x="107"/>
        <item x="453"/>
        <item x="271"/>
        <item x="1118"/>
        <item x="200"/>
        <item x="667"/>
        <item x="787"/>
        <item x="1133"/>
        <item x="444"/>
        <item x="436"/>
        <item x="864"/>
        <item x="908"/>
        <item x="1002"/>
        <item x="701"/>
        <item x="352"/>
        <item x="420"/>
        <item x="1074"/>
        <item x="526"/>
        <item x="1130"/>
        <item x="967"/>
        <item x="934"/>
        <item x="680"/>
        <item x="686"/>
        <item x="257"/>
        <item x="1006"/>
        <item x="477"/>
        <item x="380"/>
        <item x="372"/>
        <item x="560"/>
        <item x="101"/>
        <item x="638"/>
        <item x="8"/>
        <item x="1064"/>
        <item x="490"/>
        <item x="412"/>
        <item x="717"/>
        <item x="906"/>
        <item x="992"/>
        <item x="593"/>
        <item x="61"/>
        <item x="545"/>
        <item x="1116"/>
        <item x="965"/>
        <item x="458"/>
        <item x="406"/>
        <item x="1113"/>
        <item x="164"/>
        <item x="343"/>
        <item x="1161"/>
        <item x="193"/>
        <item x="310"/>
        <item x="232"/>
        <item x="863"/>
        <item x="1008"/>
        <item x="791"/>
        <item x="216"/>
        <item x="377"/>
        <item x="141"/>
        <item x="625"/>
        <item x="666"/>
        <item x="739"/>
        <item x="77"/>
        <item x="178"/>
        <item x="696"/>
        <item x="510"/>
        <item x="134"/>
        <item x="691"/>
        <item x="116"/>
        <item x="50"/>
        <item x="276"/>
        <item x="198"/>
        <item x="456"/>
        <item x="12"/>
        <item x="586"/>
        <item x="637"/>
        <item x="818"/>
        <item x="1124"/>
        <item x="622"/>
        <item x="563"/>
        <item x="793"/>
        <item x="1044"/>
        <item x="397"/>
        <item x="1139"/>
        <item x="827"/>
        <item x="719"/>
        <item x="760"/>
        <item x="765"/>
        <item x="587"/>
        <item x="52"/>
        <item x="822"/>
        <item x="336"/>
        <item x="1109"/>
        <item x="813"/>
        <item x="445"/>
        <item x="229"/>
        <item x="561"/>
        <item x="1001"/>
        <item x="1021"/>
        <item x="183"/>
        <item x="1036"/>
        <item x="487"/>
        <item x="982"/>
        <item x="985"/>
        <item x="751"/>
        <item x="851"/>
        <item x="224"/>
        <item x="884"/>
        <item x="1140"/>
        <item x="76"/>
        <item x="196"/>
        <item x="31"/>
        <item x="752"/>
        <item x="1020"/>
        <item x="473"/>
        <item x="499"/>
        <item x="345"/>
        <item x="886"/>
        <item x="948"/>
        <item x="33"/>
        <item x="220"/>
        <item x="1091"/>
        <item x="738"/>
        <item x="389"/>
        <item x="1171"/>
        <item x="528"/>
        <item x="37"/>
        <item x="162"/>
        <item x="747"/>
        <item x="718"/>
        <item x="1125"/>
        <item x="601"/>
        <item x="785"/>
        <item x="1094"/>
        <item x="1058"/>
        <item x="645"/>
        <item x="857"/>
        <item x="901"/>
        <item x="828"/>
        <item x="485"/>
        <item x="726"/>
        <item x="1028"/>
        <item x="438"/>
        <item x="819"/>
        <item x="628"/>
        <item x="113"/>
        <item x="633"/>
        <item x="1019"/>
        <item x="522"/>
        <item x="881"/>
        <item x="914"/>
        <item x="15"/>
        <item x="875"/>
        <item x="226"/>
        <item x="215"/>
        <item x="182"/>
        <item x="889"/>
        <item x="698"/>
        <item x="600"/>
        <item x="1155"/>
        <item x="159"/>
        <item x="850"/>
        <item x="277"/>
        <item x="90"/>
        <item x="762"/>
        <item x="512"/>
        <item x="663"/>
        <item x="6"/>
        <item x="712"/>
        <item x="1093"/>
        <item x="933"/>
        <item x="197"/>
        <item x="513"/>
        <item x="1099"/>
        <item x="925"/>
        <item x="1150"/>
        <item x="298"/>
        <item x="86"/>
        <item x="413"/>
        <item x="404"/>
        <item x="755"/>
        <item x="661"/>
        <item x="443"/>
        <item x="909"/>
        <item x="786"/>
        <item x="430"/>
        <item x="1052"/>
        <item x="868"/>
        <item x="984"/>
        <item x="677"/>
        <item x="73"/>
        <item x="1134"/>
        <item x="1106"/>
        <item x="14"/>
        <item x="379"/>
        <item x="433"/>
        <item x="979"/>
        <item x="262"/>
        <item x="168"/>
        <item x="517"/>
        <item x="142"/>
        <item x="295"/>
        <item x="75"/>
        <item x="720"/>
        <item x="1145"/>
        <item x="836"/>
        <item x="65"/>
        <item x="344"/>
        <item x="1083"/>
        <item x="1048"/>
        <item x="616"/>
        <item x="195"/>
        <item x="866"/>
        <item x="995"/>
        <item x="112"/>
        <item x="745"/>
        <item x="463"/>
        <item x="639"/>
        <item x="624"/>
        <item x="375"/>
        <item x="1061"/>
        <item x="987"/>
        <item x="915"/>
        <item x="401"/>
        <item x="233"/>
        <item x="394"/>
        <item x="954"/>
        <item x="1046"/>
        <item x="1081"/>
        <item x="648"/>
        <item x="689"/>
        <item x="1117"/>
        <item x="521"/>
        <item x="340"/>
        <item x="123"/>
        <item x="332"/>
        <item x="962"/>
        <item x="612"/>
        <item x="472"/>
        <item x="651"/>
        <item x="509"/>
        <item x="873"/>
        <item x="127"/>
        <item x="179"/>
        <item x="1121"/>
        <item x="40"/>
        <item x="1024"/>
        <item x="213"/>
        <item x="697"/>
        <item x="240"/>
        <item x="1166"/>
        <item x="599"/>
        <item x="279"/>
        <item x="839"/>
        <item x="898"/>
        <item x="735"/>
        <item x="121"/>
        <item x="235"/>
        <item x="923"/>
        <item x="669"/>
        <item x="191"/>
        <item x="489"/>
        <item x="1018"/>
        <item x="771"/>
        <item x="682"/>
        <item x="969"/>
        <item x="321"/>
        <item x="807"/>
        <item x="128"/>
        <item x="410"/>
        <item x="462"/>
        <item x="773"/>
        <item x="899"/>
        <item x="672"/>
        <item x="649"/>
        <item x="823"/>
        <item x="654"/>
        <item x="273"/>
        <item x="409"/>
        <item x="837"/>
        <item x="935"/>
        <item x="454"/>
        <item x="1056"/>
        <item x="913"/>
        <item x="1038"/>
        <item x="29"/>
        <item x="109"/>
        <item x="457"/>
        <item x="418"/>
        <item x="1047"/>
        <item x="339"/>
        <item x="709"/>
        <item x="662"/>
        <item x="468"/>
        <item x="874"/>
        <item x="681"/>
        <item x="320"/>
        <item x="384"/>
        <item x="370"/>
        <item x="221"/>
        <item x="872"/>
        <item x="971"/>
        <item x="504"/>
        <item x="994"/>
        <item x="59"/>
        <item x="1031"/>
        <item x="540"/>
        <item x="497"/>
        <item x="269"/>
        <item x="1055"/>
        <item x="366"/>
        <item x="270"/>
        <item x="95"/>
        <item x="1102"/>
        <item x="91"/>
        <item x="778"/>
        <item x="916"/>
        <item x="848"/>
        <item x="83"/>
        <item x="634"/>
        <item x="722"/>
        <item x="1137"/>
        <item x="1141"/>
        <item x="918"/>
        <item x="81"/>
        <item x="172"/>
        <item x="508"/>
        <item x="1068"/>
        <item x="1152"/>
        <item x="936"/>
        <item x="536"/>
        <item x="145"/>
        <item x="24"/>
        <item x="411"/>
        <item x="578"/>
        <item x="498"/>
        <item x="93"/>
        <item x="555"/>
        <item x="363"/>
        <item x="1053"/>
        <item x="449"/>
        <item x="1122"/>
        <item x="664"/>
        <item x="342"/>
        <item x="272"/>
        <item x="96"/>
        <item x="1170"/>
        <item x="480"/>
        <item x="396"/>
        <item x="1147"/>
        <item x="467"/>
        <item x="78"/>
        <item x="846"/>
        <item x="80"/>
        <item x="169"/>
        <item x="486"/>
        <item x="180"/>
        <item x="402"/>
        <item x="62"/>
        <item x="518"/>
        <item x="34"/>
        <item x="1131"/>
        <item x="945"/>
        <item x="802"/>
        <item x="190"/>
        <item x="105"/>
        <item x="553"/>
        <item x="266"/>
        <item x="85"/>
        <item x="812"/>
        <item x="655"/>
        <item x="692"/>
        <item x="1057"/>
        <item x="470"/>
        <item x="568"/>
        <item x="579"/>
        <item x="481"/>
        <item x="551"/>
        <item x="36"/>
        <item x="349"/>
        <item x="241"/>
        <item x="18"/>
        <item x="800"/>
        <item x="880"/>
        <item x="161"/>
        <item x="774"/>
        <item x="318"/>
        <item x="929"/>
        <item x="878"/>
        <item x="849"/>
        <item x="25"/>
        <item x="767"/>
        <item x="1156"/>
        <item x="1128"/>
        <item x="942"/>
        <item x="403"/>
        <item x="674"/>
        <item x="1115"/>
        <item x="1043"/>
        <item x="422"/>
        <item x="990"/>
        <item x="1067"/>
        <item x="371"/>
        <item x="315"/>
        <item x="983"/>
        <item x="210"/>
        <item x="447"/>
        <item x="544"/>
        <item x="282"/>
        <item x="491"/>
        <item x="768"/>
        <item x="281"/>
        <item x="284"/>
        <item x="399"/>
        <item x="647"/>
        <item x="177"/>
        <item x="448"/>
        <item x="234"/>
        <item x="5"/>
        <item x="591"/>
        <item x="21"/>
        <item x="511"/>
        <item x="362"/>
        <item x="1085"/>
        <item x="1009"/>
        <item x="385"/>
        <item x="108"/>
        <item x="879"/>
        <item x="550"/>
        <item x="250"/>
        <item x="571"/>
        <item x="1034"/>
        <item x="796"/>
        <item x="583"/>
        <item x="0"/>
        <item x="435"/>
        <item x="60"/>
        <item x="482"/>
        <item x="963"/>
        <item x="656"/>
        <item x="541"/>
        <item x="97"/>
        <item x="400"/>
        <item x="862"/>
        <item x="1084"/>
        <item x="977"/>
        <item x="926"/>
        <item x="17"/>
        <item x="1160"/>
        <item x="749"/>
        <item x="360"/>
        <item x="185"/>
        <item x="398"/>
        <item x="374"/>
        <item x="1011"/>
        <item x="300"/>
        <item x="829"/>
        <item x="928"/>
        <item x="1086"/>
        <item x="693"/>
        <item x="103"/>
        <item x="543"/>
        <item x="883"/>
        <item x="478"/>
        <item x="283"/>
        <item x="838"/>
        <item x="972"/>
        <item x="369"/>
        <item x="1127"/>
        <item x="114"/>
        <item x="1162"/>
        <item x="461"/>
        <item x="1039"/>
        <item x="893"/>
        <item x="323"/>
        <item x="302"/>
        <item x="82"/>
        <item x="687"/>
        <item x="1111"/>
        <item x="670"/>
        <item x="658"/>
        <item x="608"/>
        <item x="98"/>
        <item x="1175"/>
        <item x="610"/>
        <item x="94"/>
        <item x="1132"/>
        <item x="63"/>
        <item x="665"/>
        <item x="695"/>
        <item x="390"/>
        <item x="460"/>
        <item x="425"/>
        <item x="476"/>
        <item x="324"/>
        <item x="876"/>
        <item x="2"/>
        <item x="299"/>
        <item x="927"/>
        <item x="118"/>
        <item x="69"/>
        <item x="854"/>
        <item x="30"/>
        <item x="237"/>
        <item x="296"/>
        <item x="520"/>
        <item x="860"/>
        <item x="525"/>
        <item x="22"/>
        <item x="41"/>
        <item x="831"/>
        <item x="209"/>
        <item x="378"/>
        <item x="816"/>
        <item x="265"/>
        <item x="125"/>
        <item x="170"/>
        <item x="1153"/>
        <item x="1136"/>
        <item x="855"/>
        <item x="292"/>
        <item x="859"/>
        <item x="1149"/>
        <item x="1163"/>
        <item x="189"/>
        <item x="23"/>
        <item x="757"/>
        <item x="287"/>
        <item x="603"/>
        <item x="439"/>
        <item x="440"/>
        <item x="214"/>
        <item x="1003"/>
        <item x="173"/>
        <item x="833"/>
        <item x="840"/>
        <item x="488"/>
        <item x="573"/>
        <item x="741"/>
        <item x="989"/>
        <item x="319"/>
        <item x="585"/>
        <item x="946"/>
        <item x="758"/>
        <item x="590"/>
        <item x="820"/>
        <item x="452"/>
        <item x="356"/>
        <item x="588"/>
        <item x="359"/>
        <item x="297"/>
        <item x="505"/>
        <item x="824"/>
        <item x="74"/>
        <item x="566"/>
        <item x="1062"/>
        <item x="500"/>
        <item x="304"/>
        <item x="1029"/>
        <item x="952"/>
        <item x="219"/>
        <item x="556"/>
        <item x="676"/>
        <item x="843"/>
        <item x="844"/>
        <item x="293"/>
        <item x="236"/>
        <item x="1129"/>
        <item x="805"/>
        <item x="1096"/>
        <item x="28"/>
        <item x="368"/>
        <item x="999"/>
        <item x="1176"/>
        <item x="673"/>
        <item x="777"/>
        <item x="685"/>
        <item x="714"/>
        <item x="3"/>
        <item x="986"/>
        <item x="280"/>
        <item x="305"/>
        <item x="218"/>
        <item x="877"/>
        <item x="391"/>
        <item x="523"/>
        <item x="87"/>
        <item x="314"/>
        <item x="174"/>
        <item x="1177"/>
        <item x="659"/>
        <item x="68"/>
        <item x="446"/>
        <item x="67"/>
        <item x="727"/>
        <item x="1101"/>
        <item x="117"/>
        <item x="794"/>
        <item x="959"/>
        <item x="158"/>
        <item x="795"/>
        <item x="495"/>
        <item x="744"/>
        <item x="254"/>
        <item x="960"/>
        <item x="1005"/>
        <item x="572"/>
        <item x="1054"/>
        <item x="1066"/>
        <item x="631"/>
        <item x="790"/>
        <item x="383"/>
        <item x="968"/>
        <item x="736"/>
        <item x="1157"/>
        <item x="466"/>
        <item x="642"/>
        <item x="532"/>
        <item x="308"/>
        <item x="524"/>
        <item x="764"/>
        <item x="1082"/>
        <item x="149"/>
        <item x="527"/>
        <item x="821"/>
        <item x="891"/>
        <item x="1078"/>
        <item x="465"/>
        <item x="684"/>
        <item x="806"/>
        <item x="1041"/>
        <item x="538"/>
        <item x="387"/>
        <item x="1089"/>
        <item x="309"/>
        <item x="1079"/>
        <item x="199"/>
        <item x="407"/>
        <item x="1080"/>
        <item x="55"/>
        <item x="577"/>
        <item x="483"/>
        <item x="155"/>
        <item x="434"/>
        <item x="408"/>
        <item x="641"/>
        <item x="53"/>
        <item x="847"/>
        <item x="865"/>
        <item x="442"/>
        <item x="239"/>
        <item x="688"/>
        <item x="428"/>
        <item x="694"/>
        <item x="728"/>
        <item x="700"/>
        <item x="949"/>
        <item x="804"/>
        <item x="20"/>
        <item x="32"/>
        <item x="699"/>
        <item x="1104"/>
        <item x="597"/>
        <item x="529"/>
        <item x="437"/>
        <item x="92"/>
        <item x="1013"/>
        <item x="139"/>
        <item x="888"/>
        <item x="567"/>
        <item x="137"/>
        <item x="45"/>
        <item x="725"/>
        <item x="594"/>
        <item x="825"/>
        <item x="938"/>
        <item x="814"/>
        <item x="245"/>
        <item x="11"/>
        <item x="1016"/>
        <item x="357"/>
        <item x="46"/>
        <item x="1174"/>
        <item x="1012"/>
        <item x="1119"/>
        <item x="976"/>
        <item x="124"/>
        <item x="788"/>
        <item x="737"/>
        <item x="943"/>
        <item x="426"/>
        <item x="783"/>
        <item x="334"/>
        <item x="140"/>
        <item x="47"/>
        <item x="35"/>
        <item x="111"/>
        <item x="1007"/>
        <item x="475"/>
        <item x="975"/>
        <item x="620"/>
        <item x="704"/>
        <item x="858"/>
        <item x="347"/>
        <item x="1010"/>
        <item x="313"/>
        <item x="702"/>
        <item x="104"/>
        <item x="756"/>
        <item x="431"/>
        <item x="832"/>
        <item x="519"/>
        <item x="627"/>
        <item x="1032"/>
        <item x="432"/>
        <item x="136"/>
        <item x="469"/>
        <item x="1030"/>
        <item x="907"/>
        <item x="247"/>
        <item x="167"/>
        <item x="953"/>
        <item x="803"/>
        <item x="51"/>
        <item x="355"/>
        <item x="479"/>
        <item x="44"/>
        <item x="611"/>
        <item x="1172"/>
        <item x="799"/>
        <item x="131"/>
        <item x="897"/>
        <item x="871"/>
        <item x="1159"/>
        <item x="1142"/>
        <item x="228"/>
        <item x="617"/>
        <item x="640"/>
        <item x="569"/>
        <item x="414"/>
        <item x="135"/>
        <item x="146"/>
        <item x="455"/>
        <item x="424"/>
        <item x="565"/>
        <item x="205"/>
        <item x="950"/>
        <item x="978"/>
        <item x="882"/>
        <item x="1148"/>
        <item x="930"/>
        <item x="602"/>
        <item x="852"/>
        <item x="798"/>
        <item x="129"/>
        <item x="312"/>
        <item x="9"/>
        <item x="861"/>
        <item x="1165"/>
        <item x="733"/>
        <item x="1138"/>
        <item x="341"/>
        <item x="887"/>
        <item x="885"/>
        <item x="130"/>
        <item x="895"/>
        <item x="710"/>
        <item x="910"/>
        <item x="630"/>
        <item x="419"/>
        <item x="507"/>
        <item x="278"/>
        <item x="632"/>
        <item x="595"/>
        <item x="354"/>
        <item x="621"/>
        <item x="894"/>
        <item x="79"/>
        <item x="732"/>
        <item x="100"/>
        <item x="584"/>
        <item x="940"/>
        <item x="1073"/>
        <item x="731"/>
        <item x="1077"/>
        <item x="1146"/>
        <item x="493"/>
        <item x="557"/>
        <item x="1049"/>
        <item x="259"/>
        <item x="376"/>
        <item x="255"/>
        <item x="921"/>
        <item x="492"/>
        <item x="713"/>
        <item x="156"/>
        <item x="346"/>
        <item x="939"/>
        <item x="441"/>
        <item x="151"/>
        <item x="835"/>
        <item x="675"/>
        <item x="981"/>
        <item x="143"/>
        <item x="671"/>
        <item x="56"/>
        <item x="1100"/>
        <item x="867"/>
        <item x="607"/>
        <item x="596"/>
        <item x="211"/>
        <item x="958"/>
        <item x="937"/>
        <item x="330"/>
        <item x="643"/>
        <item x="70"/>
        <item x="160"/>
        <item x="650"/>
        <item x="166"/>
        <item x="1017"/>
        <item x="303"/>
        <item x="931"/>
        <item x="1088"/>
        <item x="997"/>
        <item x="244"/>
        <item x="548"/>
        <item x="285"/>
        <item x="246"/>
        <item x="589"/>
        <item x="1169"/>
        <item x="947"/>
        <item x="516"/>
        <item x="991"/>
        <item x="71"/>
        <item x="1060"/>
        <item x="301"/>
        <item x="636"/>
        <item x="941"/>
        <item x="606"/>
        <item x="49"/>
        <item x="592"/>
        <item x="743"/>
        <item x="683"/>
        <item x="1050"/>
        <item x="902"/>
        <item x="703"/>
        <item x="138"/>
        <item x="892"/>
        <item x="42"/>
        <item x="186"/>
        <item x="1095"/>
        <item x="58"/>
        <item x="845"/>
        <item x="1103"/>
        <item x="429"/>
        <item x="392"/>
        <item x="144"/>
        <item x="955"/>
        <item x="427"/>
        <item x="72"/>
        <item x="1022"/>
        <item x="328"/>
        <item x="294"/>
        <item x="66"/>
        <item x="779"/>
        <item x="605"/>
        <item x="896"/>
        <item x="1075"/>
        <item x="451"/>
        <item x="956"/>
        <item x="264"/>
        <item x="1033"/>
        <item x="382"/>
        <item x="534"/>
        <item x="256"/>
        <item x="471"/>
        <item x="964"/>
        <item x="730"/>
        <item x="1110"/>
        <item x="501"/>
        <item x="780"/>
        <item x="1051"/>
        <item x="286"/>
        <item x="581"/>
        <item x="564"/>
        <item x="19"/>
        <item x="530"/>
        <item x="842"/>
        <item x="110"/>
        <item x="841"/>
        <item x="668"/>
        <item x="194"/>
        <item x="268"/>
        <item x="537"/>
        <item x="88"/>
        <item x="919"/>
        <item x="267"/>
        <item x="618"/>
        <item x="1065"/>
        <item x="660"/>
        <item x="856"/>
        <item x="1069"/>
        <item x="922"/>
        <item x="153"/>
        <item x="547"/>
        <item x="750"/>
        <item x="1114"/>
        <item x="503"/>
        <item x="275"/>
        <item x="1120"/>
        <item x="815"/>
        <item x="415"/>
        <item x="574"/>
        <item x="1014"/>
        <item x="1154"/>
        <item x="184"/>
        <item x="274"/>
        <item x="957"/>
        <item x="552"/>
        <item x="911"/>
        <item x="351"/>
        <item x="810"/>
        <item x="106"/>
        <item x="961"/>
        <item x="830"/>
        <item x="1037"/>
        <item x="307"/>
        <item x="1035"/>
        <item x="789"/>
        <item x="761"/>
        <item x="678"/>
        <item x="217"/>
        <item x="171"/>
        <item x="1076"/>
        <item x="808"/>
        <item x="531"/>
        <item x="1071"/>
        <item x="932"/>
        <item x="951"/>
        <item x="335"/>
        <item x="13"/>
        <item x="38"/>
        <item x="533"/>
        <item x="754"/>
        <item x="1027"/>
        <item x="242"/>
        <item x="181"/>
        <item x="615"/>
        <item x="120"/>
        <item x="204"/>
        <item x="1173"/>
        <item x="57"/>
        <item x="176"/>
        <item x="535"/>
        <item x="792"/>
        <item x="474"/>
        <item x="559"/>
        <item x="227"/>
        <item x="707"/>
        <item x="1063"/>
        <item x="1025"/>
        <item x="826"/>
        <item x="238"/>
        <item x="54"/>
        <item x="1105"/>
        <item x="763"/>
        <item x="147"/>
        <item x="207"/>
        <item x="249"/>
        <item x="604"/>
        <item x="1004"/>
        <item x="506"/>
        <item x="316"/>
        <item x="1072"/>
        <item x="1092"/>
        <item x="212"/>
        <item x="311"/>
        <item x="7"/>
        <item x="133"/>
        <item x="715"/>
        <item x="1151"/>
        <item x="903"/>
        <item x="203"/>
        <item x="1070"/>
        <item x="187"/>
        <item x="89"/>
        <item x="64"/>
        <item x="784"/>
        <item x="337"/>
        <item x="740"/>
        <item x="776"/>
        <item x="1135"/>
        <item x="43"/>
        <item x="834"/>
        <item x="306"/>
        <item x="331"/>
        <item x="580"/>
        <item x="157"/>
        <item x="99"/>
        <item x="4"/>
        <item x="706"/>
        <item x="48"/>
        <item x="912"/>
        <item x="753"/>
        <item x="417"/>
        <item x="576"/>
        <item x="10"/>
        <item x="1168"/>
        <item x="1000"/>
        <item x="1026"/>
        <item x="724"/>
        <item x="558"/>
        <item x="723"/>
        <item x="361"/>
        <item x="988"/>
        <item x="367"/>
        <item x="263"/>
        <item x="729"/>
        <item x="582"/>
        <item x="365"/>
        <item x="734"/>
        <item x="208"/>
        <item x="539"/>
        <item x="920"/>
        <item x="562"/>
        <item x="549"/>
        <item x="16"/>
        <item x="993"/>
        <item x="223"/>
        <item x="811"/>
        <item x="290"/>
        <item x="970"/>
        <item x="84"/>
        <item x="653"/>
        <item x="119"/>
        <item x="570"/>
        <item x="554"/>
        <item x="770"/>
        <item x="690"/>
        <item x="26"/>
        <item x="575"/>
        <item x="546"/>
        <item x="781"/>
        <item x="1023"/>
        <item x="126"/>
        <item x="1097"/>
        <item x="222"/>
        <item x="1015"/>
        <item x="225"/>
        <item x="769"/>
        <item x="870"/>
        <item x="904"/>
        <item x="260"/>
        <item x="890"/>
        <item x="1040"/>
        <item x="742"/>
        <item x="325"/>
        <item x="132"/>
        <item x="333"/>
        <item x="1126"/>
        <item x="188"/>
        <item x="421"/>
        <item x="998"/>
        <item x="317"/>
        <item x="708"/>
        <item x="251"/>
        <item x="1098"/>
        <item x="782"/>
        <item x="206"/>
        <item x="261"/>
        <item x="27"/>
        <item x="423"/>
        <item x="623"/>
        <item x="801"/>
        <item x="759"/>
        <item x="1045"/>
        <item x="381"/>
        <item x="626"/>
        <item x="1059"/>
        <item x="192"/>
        <item x="614"/>
        <item x="154"/>
        <item x="1158"/>
        <item x="327"/>
        <item x="748"/>
        <item x="817"/>
        <item x="746"/>
        <item x="163"/>
        <item x="202"/>
        <item x="644"/>
        <item x="1108"/>
        <item x="373"/>
        <item x="405"/>
        <item x="253"/>
        <item x="353"/>
        <item x="231"/>
        <item x="291"/>
        <item x="496"/>
        <item x="165"/>
        <item x="514"/>
        <item x="459"/>
        <item x="974"/>
        <item x="326"/>
        <item x="1164"/>
        <item x="646"/>
        <item x="348"/>
        <item x="288"/>
        <item x="869"/>
        <item x="1167"/>
        <item x="230"/>
        <item x="1112"/>
        <item x="150"/>
        <item x="1107"/>
        <item x="705"/>
        <item t="default"/>
      </items>
    </pivotField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3"/>
        <item x="4"/>
        <item x="1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>
      <items count="12">
        <item x="8"/>
        <item x="3"/>
        <item x="5"/>
        <item x="0"/>
        <item x="10"/>
        <item x="6"/>
        <item x="2"/>
        <item x="1"/>
        <item x="7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">
        <item x="1"/>
        <item x="4"/>
        <item x="7"/>
        <item x="0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Response SLA" fld="34" subtotal="average" baseField="0" baseItem="0" numFmtId="9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AFD1A-1000-45CC-A66B-940C169CFFED}" name="Tabela dinâmica6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F1:F2" firstHeaderRow="1" firstDataRow="1" firstDataCol="0"/>
  <pivotFields count="38">
    <pivotField showAll="0"/>
    <pivotField dataField="1" showAll="0"/>
    <pivotField numFmtId="22" showAll="0">
      <items count="1180">
        <item x="388"/>
        <item x="289"/>
        <item x="619"/>
        <item x="329"/>
        <item x="115"/>
        <item x="350"/>
        <item x="338"/>
        <item x="809"/>
        <item x="657"/>
        <item x="1090"/>
        <item x="609"/>
        <item x="1"/>
        <item x="613"/>
        <item x="39"/>
        <item x="243"/>
        <item x="980"/>
        <item x="853"/>
        <item x="248"/>
        <item x="152"/>
        <item x="515"/>
        <item x="775"/>
        <item x="973"/>
        <item x="364"/>
        <item x="102"/>
        <item x="1042"/>
        <item x="652"/>
        <item x="635"/>
        <item x="797"/>
        <item x="395"/>
        <item x="393"/>
        <item x="1123"/>
        <item x="679"/>
        <item x="917"/>
        <item x="996"/>
        <item x="358"/>
        <item x="542"/>
        <item x="716"/>
        <item x="450"/>
        <item x="1087"/>
        <item x="924"/>
        <item x="484"/>
        <item x="416"/>
        <item x="711"/>
        <item x="494"/>
        <item x="258"/>
        <item x="598"/>
        <item x="966"/>
        <item x="944"/>
        <item x="386"/>
        <item x="502"/>
        <item x="1143"/>
        <item x="629"/>
        <item x="175"/>
        <item x="252"/>
        <item x="322"/>
        <item x="464"/>
        <item x="900"/>
        <item x="766"/>
        <item x="1144"/>
        <item x="721"/>
        <item x="1178"/>
        <item x="772"/>
        <item x="905"/>
        <item x="122"/>
        <item x="201"/>
        <item x="148"/>
        <item x="107"/>
        <item x="453"/>
        <item x="271"/>
        <item x="1118"/>
        <item x="200"/>
        <item x="667"/>
        <item x="787"/>
        <item x="1133"/>
        <item x="444"/>
        <item x="436"/>
        <item x="864"/>
        <item x="908"/>
        <item x="1002"/>
        <item x="701"/>
        <item x="352"/>
        <item x="420"/>
        <item x="1074"/>
        <item x="526"/>
        <item x="1130"/>
        <item x="967"/>
        <item x="934"/>
        <item x="680"/>
        <item x="686"/>
        <item x="257"/>
        <item x="1006"/>
        <item x="477"/>
        <item x="380"/>
        <item x="372"/>
        <item x="560"/>
        <item x="101"/>
        <item x="638"/>
        <item x="8"/>
        <item x="1064"/>
        <item x="490"/>
        <item x="412"/>
        <item x="717"/>
        <item x="906"/>
        <item x="992"/>
        <item x="593"/>
        <item x="61"/>
        <item x="545"/>
        <item x="1116"/>
        <item x="965"/>
        <item x="458"/>
        <item x="406"/>
        <item x="1113"/>
        <item x="164"/>
        <item x="343"/>
        <item x="1161"/>
        <item x="193"/>
        <item x="310"/>
        <item x="232"/>
        <item x="863"/>
        <item x="1008"/>
        <item x="791"/>
        <item x="216"/>
        <item x="377"/>
        <item x="141"/>
        <item x="625"/>
        <item x="666"/>
        <item x="739"/>
        <item x="77"/>
        <item x="178"/>
        <item x="696"/>
        <item x="510"/>
        <item x="134"/>
        <item x="691"/>
        <item x="116"/>
        <item x="50"/>
        <item x="276"/>
        <item x="198"/>
        <item x="456"/>
        <item x="12"/>
        <item x="586"/>
        <item x="637"/>
        <item x="818"/>
        <item x="1124"/>
        <item x="622"/>
        <item x="563"/>
        <item x="793"/>
        <item x="1044"/>
        <item x="397"/>
        <item x="1139"/>
        <item x="827"/>
        <item x="719"/>
        <item x="760"/>
        <item x="765"/>
        <item x="587"/>
        <item x="52"/>
        <item x="822"/>
        <item x="336"/>
        <item x="1109"/>
        <item x="813"/>
        <item x="445"/>
        <item x="229"/>
        <item x="561"/>
        <item x="1001"/>
        <item x="1021"/>
        <item x="183"/>
        <item x="1036"/>
        <item x="487"/>
        <item x="982"/>
        <item x="985"/>
        <item x="751"/>
        <item x="851"/>
        <item x="224"/>
        <item x="884"/>
        <item x="1140"/>
        <item x="76"/>
        <item x="196"/>
        <item x="31"/>
        <item x="752"/>
        <item x="1020"/>
        <item x="473"/>
        <item x="499"/>
        <item x="345"/>
        <item x="886"/>
        <item x="948"/>
        <item x="33"/>
        <item x="220"/>
        <item x="1091"/>
        <item x="738"/>
        <item x="389"/>
        <item x="1171"/>
        <item x="528"/>
        <item x="37"/>
        <item x="162"/>
        <item x="747"/>
        <item x="718"/>
        <item x="1125"/>
        <item x="601"/>
        <item x="785"/>
        <item x="1094"/>
        <item x="1058"/>
        <item x="645"/>
        <item x="857"/>
        <item x="901"/>
        <item x="828"/>
        <item x="485"/>
        <item x="726"/>
        <item x="1028"/>
        <item x="438"/>
        <item x="819"/>
        <item x="628"/>
        <item x="113"/>
        <item x="633"/>
        <item x="1019"/>
        <item x="522"/>
        <item x="881"/>
        <item x="914"/>
        <item x="15"/>
        <item x="875"/>
        <item x="226"/>
        <item x="215"/>
        <item x="182"/>
        <item x="889"/>
        <item x="698"/>
        <item x="600"/>
        <item x="1155"/>
        <item x="159"/>
        <item x="850"/>
        <item x="277"/>
        <item x="90"/>
        <item x="762"/>
        <item x="512"/>
        <item x="663"/>
        <item x="6"/>
        <item x="712"/>
        <item x="1093"/>
        <item x="933"/>
        <item x="197"/>
        <item x="513"/>
        <item x="1099"/>
        <item x="925"/>
        <item x="1150"/>
        <item x="298"/>
        <item x="86"/>
        <item x="413"/>
        <item x="404"/>
        <item x="755"/>
        <item x="661"/>
        <item x="443"/>
        <item x="909"/>
        <item x="786"/>
        <item x="430"/>
        <item x="1052"/>
        <item x="868"/>
        <item x="984"/>
        <item x="677"/>
        <item x="73"/>
        <item x="1134"/>
        <item x="1106"/>
        <item x="14"/>
        <item x="379"/>
        <item x="433"/>
        <item x="979"/>
        <item x="262"/>
        <item x="168"/>
        <item x="517"/>
        <item x="142"/>
        <item x="295"/>
        <item x="75"/>
        <item x="720"/>
        <item x="1145"/>
        <item x="836"/>
        <item x="65"/>
        <item x="344"/>
        <item x="1083"/>
        <item x="1048"/>
        <item x="616"/>
        <item x="195"/>
        <item x="866"/>
        <item x="995"/>
        <item x="112"/>
        <item x="745"/>
        <item x="463"/>
        <item x="639"/>
        <item x="624"/>
        <item x="375"/>
        <item x="1061"/>
        <item x="987"/>
        <item x="915"/>
        <item x="401"/>
        <item x="233"/>
        <item x="394"/>
        <item x="954"/>
        <item x="1046"/>
        <item x="1081"/>
        <item x="648"/>
        <item x="689"/>
        <item x="1117"/>
        <item x="521"/>
        <item x="340"/>
        <item x="123"/>
        <item x="332"/>
        <item x="962"/>
        <item x="612"/>
        <item x="472"/>
        <item x="651"/>
        <item x="509"/>
        <item x="873"/>
        <item x="127"/>
        <item x="179"/>
        <item x="1121"/>
        <item x="40"/>
        <item x="1024"/>
        <item x="213"/>
        <item x="697"/>
        <item x="240"/>
        <item x="1166"/>
        <item x="599"/>
        <item x="279"/>
        <item x="839"/>
        <item x="898"/>
        <item x="735"/>
        <item x="121"/>
        <item x="235"/>
        <item x="923"/>
        <item x="669"/>
        <item x="191"/>
        <item x="489"/>
        <item x="1018"/>
        <item x="771"/>
        <item x="682"/>
        <item x="969"/>
        <item x="321"/>
        <item x="807"/>
        <item x="128"/>
        <item x="410"/>
        <item x="462"/>
        <item x="773"/>
        <item x="899"/>
        <item x="672"/>
        <item x="649"/>
        <item x="823"/>
        <item x="654"/>
        <item x="273"/>
        <item x="409"/>
        <item x="837"/>
        <item x="935"/>
        <item x="454"/>
        <item x="1056"/>
        <item x="913"/>
        <item x="1038"/>
        <item x="29"/>
        <item x="109"/>
        <item x="457"/>
        <item x="418"/>
        <item x="1047"/>
        <item x="339"/>
        <item x="709"/>
        <item x="662"/>
        <item x="468"/>
        <item x="874"/>
        <item x="681"/>
        <item x="320"/>
        <item x="384"/>
        <item x="370"/>
        <item x="221"/>
        <item x="872"/>
        <item x="971"/>
        <item x="504"/>
        <item x="994"/>
        <item x="59"/>
        <item x="1031"/>
        <item x="540"/>
        <item x="497"/>
        <item x="269"/>
        <item x="1055"/>
        <item x="366"/>
        <item x="270"/>
        <item x="95"/>
        <item x="1102"/>
        <item x="91"/>
        <item x="778"/>
        <item x="916"/>
        <item x="848"/>
        <item x="83"/>
        <item x="634"/>
        <item x="722"/>
        <item x="1137"/>
        <item x="1141"/>
        <item x="918"/>
        <item x="81"/>
        <item x="172"/>
        <item x="508"/>
        <item x="1068"/>
        <item x="1152"/>
        <item x="936"/>
        <item x="536"/>
        <item x="145"/>
        <item x="24"/>
        <item x="411"/>
        <item x="578"/>
        <item x="498"/>
        <item x="93"/>
        <item x="555"/>
        <item x="363"/>
        <item x="1053"/>
        <item x="449"/>
        <item x="1122"/>
        <item x="664"/>
        <item x="342"/>
        <item x="272"/>
        <item x="96"/>
        <item x="1170"/>
        <item x="480"/>
        <item x="396"/>
        <item x="1147"/>
        <item x="467"/>
        <item x="78"/>
        <item x="846"/>
        <item x="80"/>
        <item x="169"/>
        <item x="486"/>
        <item x="180"/>
        <item x="402"/>
        <item x="62"/>
        <item x="518"/>
        <item x="34"/>
        <item x="1131"/>
        <item x="945"/>
        <item x="802"/>
        <item x="190"/>
        <item x="105"/>
        <item x="553"/>
        <item x="266"/>
        <item x="85"/>
        <item x="812"/>
        <item x="655"/>
        <item x="692"/>
        <item x="1057"/>
        <item x="470"/>
        <item x="568"/>
        <item x="579"/>
        <item x="481"/>
        <item x="551"/>
        <item x="36"/>
        <item x="349"/>
        <item x="241"/>
        <item x="18"/>
        <item x="800"/>
        <item x="880"/>
        <item x="161"/>
        <item x="774"/>
        <item x="318"/>
        <item x="929"/>
        <item x="878"/>
        <item x="849"/>
        <item x="25"/>
        <item x="767"/>
        <item x="1156"/>
        <item x="1128"/>
        <item x="942"/>
        <item x="403"/>
        <item x="674"/>
        <item x="1115"/>
        <item x="1043"/>
        <item x="422"/>
        <item x="990"/>
        <item x="1067"/>
        <item x="371"/>
        <item x="315"/>
        <item x="983"/>
        <item x="210"/>
        <item x="447"/>
        <item x="544"/>
        <item x="282"/>
        <item x="491"/>
        <item x="768"/>
        <item x="281"/>
        <item x="284"/>
        <item x="399"/>
        <item x="647"/>
        <item x="177"/>
        <item x="448"/>
        <item x="234"/>
        <item x="5"/>
        <item x="591"/>
        <item x="21"/>
        <item x="511"/>
        <item x="362"/>
        <item x="1085"/>
        <item x="1009"/>
        <item x="385"/>
        <item x="108"/>
        <item x="879"/>
        <item x="550"/>
        <item x="250"/>
        <item x="571"/>
        <item x="1034"/>
        <item x="796"/>
        <item x="583"/>
        <item x="0"/>
        <item x="435"/>
        <item x="60"/>
        <item x="482"/>
        <item x="963"/>
        <item x="656"/>
        <item x="541"/>
        <item x="97"/>
        <item x="400"/>
        <item x="862"/>
        <item x="1084"/>
        <item x="977"/>
        <item x="926"/>
        <item x="17"/>
        <item x="1160"/>
        <item x="749"/>
        <item x="360"/>
        <item x="185"/>
        <item x="398"/>
        <item x="374"/>
        <item x="1011"/>
        <item x="300"/>
        <item x="829"/>
        <item x="928"/>
        <item x="1086"/>
        <item x="693"/>
        <item x="103"/>
        <item x="543"/>
        <item x="883"/>
        <item x="478"/>
        <item x="283"/>
        <item x="838"/>
        <item x="972"/>
        <item x="369"/>
        <item x="1127"/>
        <item x="114"/>
        <item x="1162"/>
        <item x="461"/>
        <item x="1039"/>
        <item x="893"/>
        <item x="323"/>
        <item x="302"/>
        <item x="82"/>
        <item x="687"/>
        <item x="1111"/>
        <item x="670"/>
        <item x="658"/>
        <item x="608"/>
        <item x="98"/>
        <item x="1175"/>
        <item x="610"/>
        <item x="94"/>
        <item x="1132"/>
        <item x="63"/>
        <item x="665"/>
        <item x="695"/>
        <item x="390"/>
        <item x="460"/>
        <item x="425"/>
        <item x="476"/>
        <item x="324"/>
        <item x="876"/>
        <item x="2"/>
        <item x="299"/>
        <item x="927"/>
        <item x="118"/>
        <item x="69"/>
        <item x="854"/>
        <item x="30"/>
        <item x="237"/>
        <item x="296"/>
        <item x="520"/>
        <item x="860"/>
        <item x="525"/>
        <item x="22"/>
        <item x="41"/>
        <item x="831"/>
        <item x="209"/>
        <item x="378"/>
        <item x="816"/>
        <item x="265"/>
        <item x="125"/>
        <item x="170"/>
        <item x="1153"/>
        <item x="1136"/>
        <item x="855"/>
        <item x="292"/>
        <item x="859"/>
        <item x="1149"/>
        <item x="1163"/>
        <item x="189"/>
        <item x="23"/>
        <item x="757"/>
        <item x="287"/>
        <item x="603"/>
        <item x="439"/>
        <item x="440"/>
        <item x="214"/>
        <item x="1003"/>
        <item x="173"/>
        <item x="833"/>
        <item x="840"/>
        <item x="488"/>
        <item x="573"/>
        <item x="741"/>
        <item x="989"/>
        <item x="319"/>
        <item x="585"/>
        <item x="946"/>
        <item x="758"/>
        <item x="590"/>
        <item x="820"/>
        <item x="452"/>
        <item x="356"/>
        <item x="588"/>
        <item x="359"/>
        <item x="297"/>
        <item x="505"/>
        <item x="824"/>
        <item x="74"/>
        <item x="566"/>
        <item x="1062"/>
        <item x="500"/>
        <item x="304"/>
        <item x="1029"/>
        <item x="952"/>
        <item x="219"/>
        <item x="556"/>
        <item x="676"/>
        <item x="843"/>
        <item x="844"/>
        <item x="293"/>
        <item x="236"/>
        <item x="1129"/>
        <item x="805"/>
        <item x="1096"/>
        <item x="28"/>
        <item x="368"/>
        <item x="999"/>
        <item x="1176"/>
        <item x="673"/>
        <item x="777"/>
        <item x="685"/>
        <item x="714"/>
        <item x="3"/>
        <item x="986"/>
        <item x="280"/>
        <item x="305"/>
        <item x="218"/>
        <item x="877"/>
        <item x="391"/>
        <item x="523"/>
        <item x="87"/>
        <item x="314"/>
        <item x="174"/>
        <item x="1177"/>
        <item x="659"/>
        <item x="68"/>
        <item x="446"/>
        <item x="67"/>
        <item x="727"/>
        <item x="1101"/>
        <item x="117"/>
        <item x="794"/>
        <item x="959"/>
        <item x="158"/>
        <item x="795"/>
        <item x="495"/>
        <item x="744"/>
        <item x="254"/>
        <item x="960"/>
        <item x="1005"/>
        <item x="572"/>
        <item x="1054"/>
        <item x="1066"/>
        <item x="631"/>
        <item x="790"/>
        <item x="383"/>
        <item x="968"/>
        <item x="736"/>
        <item x="1157"/>
        <item x="466"/>
        <item x="642"/>
        <item x="532"/>
        <item x="308"/>
        <item x="524"/>
        <item x="764"/>
        <item x="1082"/>
        <item x="149"/>
        <item x="527"/>
        <item x="821"/>
        <item x="891"/>
        <item x="1078"/>
        <item x="465"/>
        <item x="684"/>
        <item x="806"/>
        <item x="1041"/>
        <item x="538"/>
        <item x="387"/>
        <item x="1089"/>
        <item x="309"/>
        <item x="1079"/>
        <item x="199"/>
        <item x="407"/>
        <item x="1080"/>
        <item x="55"/>
        <item x="577"/>
        <item x="483"/>
        <item x="155"/>
        <item x="434"/>
        <item x="408"/>
        <item x="641"/>
        <item x="53"/>
        <item x="847"/>
        <item x="865"/>
        <item x="442"/>
        <item x="239"/>
        <item x="688"/>
        <item x="428"/>
        <item x="694"/>
        <item x="728"/>
        <item x="700"/>
        <item x="949"/>
        <item x="804"/>
        <item x="20"/>
        <item x="32"/>
        <item x="699"/>
        <item x="1104"/>
        <item x="597"/>
        <item x="529"/>
        <item x="437"/>
        <item x="92"/>
        <item x="1013"/>
        <item x="139"/>
        <item x="888"/>
        <item x="567"/>
        <item x="137"/>
        <item x="45"/>
        <item x="725"/>
        <item x="594"/>
        <item x="825"/>
        <item x="938"/>
        <item x="814"/>
        <item x="245"/>
        <item x="11"/>
        <item x="1016"/>
        <item x="357"/>
        <item x="46"/>
        <item x="1174"/>
        <item x="1012"/>
        <item x="1119"/>
        <item x="976"/>
        <item x="124"/>
        <item x="788"/>
        <item x="737"/>
        <item x="943"/>
        <item x="426"/>
        <item x="783"/>
        <item x="334"/>
        <item x="140"/>
        <item x="47"/>
        <item x="35"/>
        <item x="111"/>
        <item x="1007"/>
        <item x="475"/>
        <item x="975"/>
        <item x="620"/>
        <item x="704"/>
        <item x="858"/>
        <item x="347"/>
        <item x="1010"/>
        <item x="313"/>
        <item x="702"/>
        <item x="104"/>
        <item x="756"/>
        <item x="431"/>
        <item x="832"/>
        <item x="519"/>
        <item x="627"/>
        <item x="1032"/>
        <item x="432"/>
        <item x="136"/>
        <item x="469"/>
        <item x="1030"/>
        <item x="907"/>
        <item x="247"/>
        <item x="167"/>
        <item x="953"/>
        <item x="803"/>
        <item x="51"/>
        <item x="355"/>
        <item x="479"/>
        <item x="44"/>
        <item x="611"/>
        <item x="1172"/>
        <item x="799"/>
        <item x="131"/>
        <item x="897"/>
        <item x="871"/>
        <item x="1159"/>
        <item x="1142"/>
        <item x="228"/>
        <item x="617"/>
        <item x="640"/>
        <item x="569"/>
        <item x="414"/>
        <item x="135"/>
        <item x="146"/>
        <item x="455"/>
        <item x="424"/>
        <item x="565"/>
        <item x="205"/>
        <item x="950"/>
        <item x="978"/>
        <item x="882"/>
        <item x="1148"/>
        <item x="930"/>
        <item x="602"/>
        <item x="852"/>
        <item x="798"/>
        <item x="129"/>
        <item x="312"/>
        <item x="9"/>
        <item x="861"/>
        <item x="1165"/>
        <item x="733"/>
        <item x="1138"/>
        <item x="341"/>
        <item x="887"/>
        <item x="885"/>
        <item x="130"/>
        <item x="895"/>
        <item x="710"/>
        <item x="910"/>
        <item x="630"/>
        <item x="419"/>
        <item x="507"/>
        <item x="278"/>
        <item x="632"/>
        <item x="595"/>
        <item x="354"/>
        <item x="621"/>
        <item x="894"/>
        <item x="79"/>
        <item x="732"/>
        <item x="100"/>
        <item x="584"/>
        <item x="940"/>
        <item x="1073"/>
        <item x="731"/>
        <item x="1077"/>
        <item x="1146"/>
        <item x="493"/>
        <item x="557"/>
        <item x="1049"/>
        <item x="259"/>
        <item x="376"/>
        <item x="255"/>
        <item x="921"/>
        <item x="492"/>
        <item x="713"/>
        <item x="156"/>
        <item x="346"/>
        <item x="939"/>
        <item x="441"/>
        <item x="151"/>
        <item x="835"/>
        <item x="675"/>
        <item x="981"/>
        <item x="143"/>
        <item x="671"/>
        <item x="56"/>
        <item x="1100"/>
        <item x="867"/>
        <item x="607"/>
        <item x="596"/>
        <item x="211"/>
        <item x="958"/>
        <item x="937"/>
        <item x="330"/>
        <item x="643"/>
        <item x="70"/>
        <item x="160"/>
        <item x="650"/>
        <item x="166"/>
        <item x="1017"/>
        <item x="303"/>
        <item x="931"/>
        <item x="1088"/>
        <item x="997"/>
        <item x="244"/>
        <item x="548"/>
        <item x="285"/>
        <item x="246"/>
        <item x="589"/>
        <item x="1169"/>
        <item x="947"/>
        <item x="516"/>
        <item x="991"/>
        <item x="71"/>
        <item x="1060"/>
        <item x="301"/>
        <item x="636"/>
        <item x="941"/>
        <item x="606"/>
        <item x="49"/>
        <item x="592"/>
        <item x="743"/>
        <item x="683"/>
        <item x="1050"/>
        <item x="902"/>
        <item x="703"/>
        <item x="138"/>
        <item x="892"/>
        <item x="42"/>
        <item x="186"/>
        <item x="1095"/>
        <item x="58"/>
        <item x="845"/>
        <item x="1103"/>
        <item x="429"/>
        <item x="392"/>
        <item x="144"/>
        <item x="955"/>
        <item x="427"/>
        <item x="72"/>
        <item x="1022"/>
        <item x="328"/>
        <item x="294"/>
        <item x="66"/>
        <item x="779"/>
        <item x="605"/>
        <item x="896"/>
        <item x="1075"/>
        <item x="451"/>
        <item x="956"/>
        <item x="264"/>
        <item x="1033"/>
        <item x="382"/>
        <item x="534"/>
        <item x="256"/>
        <item x="471"/>
        <item x="964"/>
        <item x="730"/>
        <item x="1110"/>
        <item x="501"/>
        <item x="780"/>
        <item x="1051"/>
        <item x="286"/>
        <item x="581"/>
        <item x="564"/>
        <item x="19"/>
        <item x="530"/>
        <item x="842"/>
        <item x="110"/>
        <item x="841"/>
        <item x="668"/>
        <item x="194"/>
        <item x="268"/>
        <item x="537"/>
        <item x="88"/>
        <item x="919"/>
        <item x="267"/>
        <item x="618"/>
        <item x="1065"/>
        <item x="660"/>
        <item x="856"/>
        <item x="1069"/>
        <item x="922"/>
        <item x="153"/>
        <item x="547"/>
        <item x="750"/>
        <item x="1114"/>
        <item x="503"/>
        <item x="275"/>
        <item x="1120"/>
        <item x="815"/>
        <item x="415"/>
        <item x="574"/>
        <item x="1014"/>
        <item x="1154"/>
        <item x="184"/>
        <item x="274"/>
        <item x="957"/>
        <item x="552"/>
        <item x="911"/>
        <item x="351"/>
        <item x="810"/>
        <item x="106"/>
        <item x="961"/>
        <item x="830"/>
        <item x="1037"/>
        <item x="307"/>
        <item x="1035"/>
        <item x="789"/>
        <item x="761"/>
        <item x="678"/>
        <item x="217"/>
        <item x="171"/>
        <item x="1076"/>
        <item x="808"/>
        <item x="531"/>
        <item x="1071"/>
        <item x="932"/>
        <item x="951"/>
        <item x="335"/>
        <item x="13"/>
        <item x="38"/>
        <item x="533"/>
        <item x="754"/>
        <item x="1027"/>
        <item x="242"/>
        <item x="181"/>
        <item x="615"/>
        <item x="120"/>
        <item x="204"/>
        <item x="1173"/>
        <item x="57"/>
        <item x="176"/>
        <item x="535"/>
        <item x="792"/>
        <item x="474"/>
        <item x="559"/>
        <item x="227"/>
        <item x="707"/>
        <item x="1063"/>
        <item x="1025"/>
        <item x="826"/>
        <item x="238"/>
        <item x="54"/>
        <item x="1105"/>
        <item x="763"/>
        <item x="147"/>
        <item x="207"/>
        <item x="249"/>
        <item x="604"/>
        <item x="1004"/>
        <item x="506"/>
        <item x="316"/>
        <item x="1072"/>
        <item x="1092"/>
        <item x="212"/>
        <item x="311"/>
        <item x="7"/>
        <item x="133"/>
        <item x="715"/>
        <item x="1151"/>
        <item x="903"/>
        <item x="203"/>
        <item x="1070"/>
        <item x="187"/>
        <item x="89"/>
        <item x="64"/>
        <item x="784"/>
        <item x="337"/>
        <item x="740"/>
        <item x="776"/>
        <item x="1135"/>
        <item x="43"/>
        <item x="834"/>
        <item x="306"/>
        <item x="331"/>
        <item x="580"/>
        <item x="157"/>
        <item x="99"/>
        <item x="4"/>
        <item x="706"/>
        <item x="48"/>
        <item x="912"/>
        <item x="753"/>
        <item x="417"/>
        <item x="576"/>
        <item x="10"/>
        <item x="1168"/>
        <item x="1000"/>
        <item x="1026"/>
        <item x="724"/>
        <item x="558"/>
        <item x="723"/>
        <item x="361"/>
        <item x="988"/>
        <item x="367"/>
        <item x="263"/>
        <item x="729"/>
        <item x="582"/>
        <item x="365"/>
        <item x="734"/>
        <item x="208"/>
        <item x="539"/>
        <item x="920"/>
        <item x="562"/>
        <item x="549"/>
        <item x="16"/>
        <item x="993"/>
        <item x="223"/>
        <item x="811"/>
        <item x="290"/>
        <item x="970"/>
        <item x="84"/>
        <item x="653"/>
        <item x="119"/>
        <item x="570"/>
        <item x="554"/>
        <item x="770"/>
        <item x="690"/>
        <item x="26"/>
        <item x="575"/>
        <item x="546"/>
        <item x="781"/>
        <item x="1023"/>
        <item x="126"/>
        <item x="1097"/>
        <item x="222"/>
        <item x="1015"/>
        <item x="225"/>
        <item x="769"/>
        <item x="870"/>
        <item x="904"/>
        <item x="260"/>
        <item x="890"/>
        <item x="1040"/>
        <item x="742"/>
        <item x="325"/>
        <item x="132"/>
        <item x="333"/>
        <item x="1126"/>
        <item x="188"/>
        <item x="421"/>
        <item x="998"/>
        <item x="317"/>
        <item x="708"/>
        <item x="251"/>
        <item x="1098"/>
        <item x="782"/>
        <item x="206"/>
        <item x="261"/>
        <item x="27"/>
        <item x="423"/>
        <item x="623"/>
        <item x="801"/>
        <item x="759"/>
        <item x="1045"/>
        <item x="381"/>
        <item x="626"/>
        <item x="1059"/>
        <item x="192"/>
        <item x="614"/>
        <item x="154"/>
        <item x="1158"/>
        <item x="327"/>
        <item x="748"/>
        <item x="817"/>
        <item x="746"/>
        <item x="163"/>
        <item x="202"/>
        <item x="644"/>
        <item x="1108"/>
        <item x="373"/>
        <item x="405"/>
        <item x="253"/>
        <item x="353"/>
        <item x="231"/>
        <item x="291"/>
        <item x="496"/>
        <item x="165"/>
        <item x="514"/>
        <item x="459"/>
        <item x="974"/>
        <item x="326"/>
        <item x="1164"/>
        <item x="646"/>
        <item x="348"/>
        <item x="288"/>
        <item x="869"/>
        <item x="1167"/>
        <item x="230"/>
        <item x="1112"/>
        <item x="150"/>
        <item x="1107"/>
        <item x="705"/>
        <item t="default"/>
      </items>
    </pivotField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3"/>
        <item x="4"/>
        <item x="1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>
      <items count="12">
        <item x="8"/>
        <item x="3"/>
        <item x="5"/>
        <item x="0"/>
        <item x="10"/>
        <item x="6"/>
        <item x="2"/>
        <item x="1"/>
        <item x="7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">
        <item x="1"/>
        <item x="4"/>
        <item x="7"/>
        <item x="0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Average Resolution Time" fld="1" subtotal="average" baseField="0" baseItem="0" numFmtId="165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32EF6-123A-4031-AC75-06B02629AF12}" name="Tabela dinâ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1">
  <location ref="A20:B29" firstHeaderRow="1" firstDataRow="1" firstDataCol="1"/>
  <pivotFields count="38">
    <pivotField showAll="0"/>
    <pivotField showAll="0"/>
    <pivotField numFmtId="22" showAll="0">
      <items count="1180">
        <item x="388"/>
        <item x="289"/>
        <item x="619"/>
        <item x="329"/>
        <item x="115"/>
        <item x="350"/>
        <item x="338"/>
        <item x="809"/>
        <item x="657"/>
        <item x="1090"/>
        <item x="609"/>
        <item x="1"/>
        <item x="613"/>
        <item x="39"/>
        <item x="243"/>
        <item x="980"/>
        <item x="853"/>
        <item x="248"/>
        <item x="152"/>
        <item x="515"/>
        <item x="775"/>
        <item x="973"/>
        <item x="364"/>
        <item x="102"/>
        <item x="1042"/>
        <item x="652"/>
        <item x="635"/>
        <item x="797"/>
        <item x="395"/>
        <item x="393"/>
        <item x="1123"/>
        <item x="679"/>
        <item x="917"/>
        <item x="996"/>
        <item x="358"/>
        <item x="542"/>
        <item x="716"/>
        <item x="450"/>
        <item x="1087"/>
        <item x="924"/>
        <item x="484"/>
        <item x="416"/>
        <item x="711"/>
        <item x="494"/>
        <item x="258"/>
        <item x="598"/>
        <item x="966"/>
        <item x="944"/>
        <item x="386"/>
        <item x="502"/>
        <item x="1143"/>
        <item x="629"/>
        <item x="175"/>
        <item x="252"/>
        <item x="322"/>
        <item x="464"/>
        <item x="900"/>
        <item x="766"/>
        <item x="1144"/>
        <item x="721"/>
        <item x="1178"/>
        <item x="772"/>
        <item x="905"/>
        <item x="122"/>
        <item x="201"/>
        <item x="148"/>
        <item x="107"/>
        <item x="453"/>
        <item x="271"/>
        <item x="1118"/>
        <item x="200"/>
        <item x="667"/>
        <item x="787"/>
        <item x="1133"/>
        <item x="444"/>
        <item x="436"/>
        <item x="864"/>
        <item x="908"/>
        <item x="1002"/>
        <item x="701"/>
        <item x="352"/>
        <item x="420"/>
        <item x="1074"/>
        <item x="526"/>
        <item x="1130"/>
        <item x="967"/>
        <item x="934"/>
        <item x="680"/>
        <item x="686"/>
        <item x="257"/>
        <item x="1006"/>
        <item x="477"/>
        <item x="380"/>
        <item x="372"/>
        <item x="560"/>
        <item x="101"/>
        <item x="638"/>
        <item x="8"/>
        <item x="1064"/>
        <item x="490"/>
        <item x="412"/>
        <item x="717"/>
        <item x="906"/>
        <item x="992"/>
        <item x="593"/>
        <item x="61"/>
        <item x="545"/>
        <item x="1116"/>
        <item x="965"/>
        <item x="458"/>
        <item x="406"/>
        <item x="1113"/>
        <item x="164"/>
        <item x="343"/>
        <item x="1161"/>
        <item x="193"/>
        <item x="310"/>
        <item x="232"/>
        <item x="863"/>
        <item x="1008"/>
        <item x="791"/>
        <item x="216"/>
        <item x="377"/>
        <item x="141"/>
        <item x="625"/>
        <item x="666"/>
        <item x="739"/>
        <item x="77"/>
        <item x="178"/>
        <item x="696"/>
        <item x="510"/>
        <item x="134"/>
        <item x="691"/>
        <item x="116"/>
        <item x="50"/>
        <item x="276"/>
        <item x="198"/>
        <item x="456"/>
        <item x="12"/>
        <item x="586"/>
        <item x="637"/>
        <item x="818"/>
        <item x="1124"/>
        <item x="622"/>
        <item x="563"/>
        <item x="793"/>
        <item x="1044"/>
        <item x="397"/>
        <item x="1139"/>
        <item x="827"/>
        <item x="719"/>
        <item x="760"/>
        <item x="765"/>
        <item x="587"/>
        <item x="52"/>
        <item x="822"/>
        <item x="336"/>
        <item x="1109"/>
        <item x="813"/>
        <item x="445"/>
        <item x="229"/>
        <item x="561"/>
        <item x="1001"/>
        <item x="1021"/>
        <item x="183"/>
        <item x="1036"/>
        <item x="487"/>
        <item x="982"/>
        <item x="985"/>
        <item x="751"/>
        <item x="851"/>
        <item x="224"/>
        <item x="884"/>
        <item x="1140"/>
        <item x="76"/>
        <item x="196"/>
        <item x="31"/>
        <item x="752"/>
        <item x="1020"/>
        <item x="473"/>
        <item x="499"/>
        <item x="345"/>
        <item x="886"/>
        <item x="948"/>
        <item x="33"/>
        <item x="220"/>
        <item x="1091"/>
        <item x="738"/>
        <item x="389"/>
        <item x="1171"/>
        <item x="528"/>
        <item x="37"/>
        <item x="162"/>
        <item x="747"/>
        <item x="718"/>
        <item x="1125"/>
        <item x="601"/>
        <item x="785"/>
        <item x="1094"/>
        <item x="1058"/>
        <item x="645"/>
        <item x="857"/>
        <item x="901"/>
        <item x="828"/>
        <item x="485"/>
        <item x="726"/>
        <item x="1028"/>
        <item x="438"/>
        <item x="819"/>
        <item x="628"/>
        <item x="113"/>
        <item x="633"/>
        <item x="1019"/>
        <item x="522"/>
        <item x="881"/>
        <item x="914"/>
        <item x="15"/>
        <item x="875"/>
        <item x="226"/>
        <item x="215"/>
        <item x="182"/>
        <item x="889"/>
        <item x="698"/>
        <item x="600"/>
        <item x="1155"/>
        <item x="159"/>
        <item x="850"/>
        <item x="277"/>
        <item x="90"/>
        <item x="762"/>
        <item x="512"/>
        <item x="663"/>
        <item x="6"/>
        <item x="712"/>
        <item x="1093"/>
        <item x="933"/>
        <item x="197"/>
        <item x="513"/>
        <item x="1099"/>
        <item x="925"/>
        <item x="1150"/>
        <item x="298"/>
        <item x="86"/>
        <item x="413"/>
        <item x="404"/>
        <item x="755"/>
        <item x="661"/>
        <item x="443"/>
        <item x="909"/>
        <item x="786"/>
        <item x="430"/>
        <item x="1052"/>
        <item x="868"/>
        <item x="984"/>
        <item x="677"/>
        <item x="73"/>
        <item x="1134"/>
        <item x="1106"/>
        <item x="14"/>
        <item x="379"/>
        <item x="433"/>
        <item x="979"/>
        <item x="262"/>
        <item x="168"/>
        <item x="517"/>
        <item x="142"/>
        <item x="295"/>
        <item x="75"/>
        <item x="720"/>
        <item x="1145"/>
        <item x="836"/>
        <item x="65"/>
        <item x="344"/>
        <item x="1083"/>
        <item x="1048"/>
        <item x="616"/>
        <item x="195"/>
        <item x="866"/>
        <item x="995"/>
        <item x="112"/>
        <item x="745"/>
        <item x="463"/>
        <item x="639"/>
        <item x="624"/>
        <item x="375"/>
        <item x="1061"/>
        <item x="987"/>
        <item x="915"/>
        <item x="401"/>
        <item x="233"/>
        <item x="394"/>
        <item x="954"/>
        <item x="1046"/>
        <item x="1081"/>
        <item x="648"/>
        <item x="689"/>
        <item x="1117"/>
        <item x="521"/>
        <item x="340"/>
        <item x="123"/>
        <item x="332"/>
        <item x="962"/>
        <item x="612"/>
        <item x="472"/>
        <item x="651"/>
        <item x="509"/>
        <item x="873"/>
        <item x="127"/>
        <item x="179"/>
        <item x="1121"/>
        <item x="40"/>
        <item x="1024"/>
        <item x="213"/>
        <item x="697"/>
        <item x="240"/>
        <item x="1166"/>
        <item x="599"/>
        <item x="279"/>
        <item x="839"/>
        <item x="898"/>
        <item x="735"/>
        <item x="121"/>
        <item x="235"/>
        <item x="923"/>
        <item x="669"/>
        <item x="191"/>
        <item x="489"/>
        <item x="1018"/>
        <item x="771"/>
        <item x="682"/>
        <item x="969"/>
        <item x="321"/>
        <item x="807"/>
        <item x="128"/>
        <item x="410"/>
        <item x="462"/>
        <item x="773"/>
        <item x="899"/>
        <item x="672"/>
        <item x="649"/>
        <item x="823"/>
        <item x="654"/>
        <item x="273"/>
        <item x="409"/>
        <item x="837"/>
        <item x="935"/>
        <item x="454"/>
        <item x="1056"/>
        <item x="913"/>
        <item x="1038"/>
        <item x="29"/>
        <item x="109"/>
        <item x="457"/>
        <item x="418"/>
        <item x="1047"/>
        <item x="339"/>
        <item x="709"/>
        <item x="662"/>
        <item x="468"/>
        <item x="874"/>
        <item x="681"/>
        <item x="320"/>
        <item x="384"/>
        <item x="370"/>
        <item x="221"/>
        <item x="872"/>
        <item x="971"/>
        <item x="504"/>
        <item x="994"/>
        <item x="59"/>
        <item x="1031"/>
        <item x="540"/>
        <item x="497"/>
        <item x="269"/>
        <item x="1055"/>
        <item x="366"/>
        <item x="270"/>
        <item x="95"/>
        <item x="1102"/>
        <item x="91"/>
        <item x="778"/>
        <item x="916"/>
        <item x="848"/>
        <item x="83"/>
        <item x="634"/>
        <item x="722"/>
        <item x="1137"/>
        <item x="1141"/>
        <item x="918"/>
        <item x="81"/>
        <item x="172"/>
        <item x="508"/>
        <item x="1068"/>
        <item x="1152"/>
        <item x="936"/>
        <item x="536"/>
        <item x="145"/>
        <item x="24"/>
        <item x="411"/>
        <item x="578"/>
        <item x="498"/>
        <item x="93"/>
        <item x="555"/>
        <item x="363"/>
        <item x="1053"/>
        <item x="449"/>
        <item x="1122"/>
        <item x="664"/>
        <item x="342"/>
        <item x="272"/>
        <item x="96"/>
        <item x="1170"/>
        <item x="480"/>
        <item x="396"/>
        <item x="1147"/>
        <item x="467"/>
        <item x="78"/>
        <item x="846"/>
        <item x="80"/>
        <item x="169"/>
        <item x="486"/>
        <item x="180"/>
        <item x="402"/>
        <item x="62"/>
        <item x="518"/>
        <item x="34"/>
        <item x="1131"/>
        <item x="945"/>
        <item x="802"/>
        <item x="190"/>
        <item x="105"/>
        <item x="553"/>
        <item x="266"/>
        <item x="85"/>
        <item x="812"/>
        <item x="655"/>
        <item x="692"/>
        <item x="1057"/>
        <item x="470"/>
        <item x="568"/>
        <item x="579"/>
        <item x="481"/>
        <item x="551"/>
        <item x="36"/>
        <item x="349"/>
        <item x="241"/>
        <item x="18"/>
        <item x="800"/>
        <item x="880"/>
        <item x="161"/>
        <item x="774"/>
        <item x="318"/>
        <item x="929"/>
        <item x="878"/>
        <item x="849"/>
        <item x="25"/>
        <item x="767"/>
        <item x="1156"/>
        <item x="1128"/>
        <item x="942"/>
        <item x="403"/>
        <item x="674"/>
        <item x="1115"/>
        <item x="1043"/>
        <item x="422"/>
        <item x="990"/>
        <item x="1067"/>
        <item x="371"/>
        <item x="315"/>
        <item x="983"/>
        <item x="210"/>
        <item x="447"/>
        <item x="544"/>
        <item x="282"/>
        <item x="491"/>
        <item x="768"/>
        <item x="281"/>
        <item x="284"/>
        <item x="399"/>
        <item x="647"/>
        <item x="177"/>
        <item x="448"/>
        <item x="234"/>
        <item x="5"/>
        <item x="591"/>
        <item x="21"/>
        <item x="511"/>
        <item x="362"/>
        <item x="1085"/>
        <item x="1009"/>
        <item x="385"/>
        <item x="108"/>
        <item x="879"/>
        <item x="550"/>
        <item x="250"/>
        <item x="571"/>
        <item x="1034"/>
        <item x="796"/>
        <item x="583"/>
        <item x="0"/>
        <item x="435"/>
        <item x="60"/>
        <item x="482"/>
        <item x="963"/>
        <item x="656"/>
        <item x="541"/>
        <item x="97"/>
        <item x="400"/>
        <item x="862"/>
        <item x="1084"/>
        <item x="977"/>
        <item x="926"/>
        <item x="17"/>
        <item x="1160"/>
        <item x="749"/>
        <item x="360"/>
        <item x="185"/>
        <item x="398"/>
        <item x="374"/>
        <item x="1011"/>
        <item x="300"/>
        <item x="829"/>
        <item x="928"/>
        <item x="1086"/>
        <item x="693"/>
        <item x="103"/>
        <item x="543"/>
        <item x="883"/>
        <item x="478"/>
        <item x="283"/>
        <item x="838"/>
        <item x="972"/>
        <item x="369"/>
        <item x="1127"/>
        <item x="114"/>
        <item x="1162"/>
        <item x="461"/>
        <item x="1039"/>
        <item x="893"/>
        <item x="323"/>
        <item x="302"/>
        <item x="82"/>
        <item x="687"/>
        <item x="1111"/>
        <item x="670"/>
        <item x="658"/>
        <item x="608"/>
        <item x="98"/>
        <item x="1175"/>
        <item x="610"/>
        <item x="94"/>
        <item x="1132"/>
        <item x="63"/>
        <item x="665"/>
        <item x="695"/>
        <item x="390"/>
        <item x="460"/>
        <item x="425"/>
        <item x="476"/>
        <item x="324"/>
        <item x="876"/>
        <item x="2"/>
        <item x="299"/>
        <item x="927"/>
        <item x="118"/>
        <item x="69"/>
        <item x="854"/>
        <item x="30"/>
        <item x="237"/>
        <item x="296"/>
        <item x="520"/>
        <item x="860"/>
        <item x="525"/>
        <item x="22"/>
        <item x="41"/>
        <item x="831"/>
        <item x="209"/>
        <item x="378"/>
        <item x="816"/>
        <item x="265"/>
        <item x="125"/>
        <item x="170"/>
        <item x="1153"/>
        <item x="1136"/>
        <item x="855"/>
        <item x="292"/>
        <item x="859"/>
        <item x="1149"/>
        <item x="1163"/>
        <item x="189"/>
        <item x="23"/>
        <item x="757"/>
        <item x="287"/>
        <item x="603"/>
        <item x="439"/>
        <item x="440"/>
        <item x="214"/>
        <item x="1003"/>
        <item x="173"/>
        <item x="833"/>
        <item x="840"/>
        <item x="488"/>
        <item x="573"/>
        <item x="741"/>
        <item x="989"/>
        <item x="319"/>
        <item x="585"/>
        <item x="946"/>
        <item x="758"/>
        <item x="590"/>
        <item x="820"/>
        <item x="452"/>
        <item x="356"/>
        <item x="588"/>
        <item x="359"/>
        <item x="297"/>
        <item x="505"/>
        <item x="824"/>
        <item x="74"/>
        <item x="566"/>
        <item x="1062"/>
        <item x="500"/>
        <item x="304"/>
        <item x="1029"/>
        <item x="952"/>
        <item x="219"/>
        <item x="556"/>
        <item x="676"/>
        <item x="843"/>
        <item x="844"/>
        <item x="293"/>
        <item x="236"/>
        <item x="1129"/>
        <item x="805"/>
        <item x="1096"/>
        <item x="28"/>
        <item x="368"/>
        <item x="999"/>
        <item x="1176"/>
        <item x="673"/>
        <item x="777"/>
        <item x="685"/>
        <item x="714"/>
        <item x="3"/>
        <item x="986"/>
        <item x="280"/>
        <item x="305"/>
        <item x="218"/>
        <item x="877"/>
        <item x="391"/>
        <item x="523"/>
        <item x="87"/>
        <item x="314"/>
        <item x="174"/>
        <item x="1177"/>
        <item x="659"/>
        <item x="68"/>
        <item x="446"/>
        <item x="67"/>
        <item x="727"/>
        <item x="1101"/>
        <item x="117"/>
        <item x="794"/>
        <item x="959"/>
        <item x="158"/>
        <item x="795"/>
        <item x="495"/>
        <item x="744"/>
        <item x="254"/>
        <item x="960"/>
        <item x="1005"/>
        <item x="572"/>
        <item x="1054"/>
        <item x="1066"/>
        <item x="631"/>
        <item x="790"/>
        <item x="383"/>
        <item x="968"/>
        <item x="736"/>
        <item x="1157"/>
        <item x="466"/>
        <item x="642"/>
        <item x="532"/>
        <item x="308"/>
        <item x="524"/>
        <item x="764"/>
        <item x="1082"/>
        <item x="149"/>
        <item x="527"/>
        <item x="821"/>
        <item x="891"/>
        <item x="1078"/>
        <item x="465"/>
        <item x="684"/>
        <item x="806"/>
        <item x="1041"/>
        <item x="538"/>
        <item x="387"/>
        <item x="1089"/>
        <item x="309"/>
        <item x="1079"/>
        <item x="199"/>
        <item x="407"/>
        <item x="1080"/>
        <item x="55"/>
        <item x="577"/>
        <item x="483"/>
        <item x="155"/>
        <item x="434"/>
        <item x="408"/>
        <item x="641"/>
        <item x="53"/>
        <item x="847"/>
        <item x="865"/>
        <item x="442"/>
        <item x="239"/>
        <item x="688"/>
        <item x="428"/>
        <item x="694"/>
        <item x="728"/>
        <item x="700"/>
        <item x="949"/>
        <item x="804"/>
        <item x="20"/>
        <item x="32"/>
        <item x="699"/>
        <item x="1104"/>
        <item x="597"/>
        <item x="529"/>
        <item x="437"/>
        <item x="92"/>
        <item x="1013"/>
        <item x="139"/>
        <item x="888"/>
        <item x="567"/>
        <item x="137"/>
        <item x="45"/>
        <item x="725"/>
        <item x="594"/>
        <item x="825"/>
        <item x="938"/>
        <item x="814"/>
        <item x="245"/>
        <item x="11"/>
        <item x="1016"/>
        <item x="357"/>
        <item x="46"/>
        <item x="1174"/>
        <item x="1012"/>
        <item x="1119"/>
        <item x="976"/>
        <item x="124"/>
        <item x="788"/>
        <item x="737"/>
        <item x="943"/>
        <item x="426"/>
        <item x="783"/>
        <item x="334"/>
        <item x="140"/>
        <item x="47"/>
        <item x="35"/>
        <item x="111"/>
        <item x="1007"/>
        <item x="475"/>
        <item x="975"/>
        <item x="620"/>
        <item x="704"/>
        <item x="858"/>
        <item x="347"/>
        <item x="1010"/>
        <item x="313"/>
        <item x="702"/>
        <item x="104"/>
        <item x="756"/>
        <item x="431"/>
        <item x="832"/>
        <item x="519"/>
        <item x="627"/>
        <item x="1032"/>
        <item x="432"/>
        <item x="136"/>
        <item x="469"/>
        <item x="1030"/>
        <item x="907"/>
        <item x="247"/>
        <item x="167"/>
        <item x="953"/>
        <item x="803"/>
        <item x="51"/>
        <item x="355"/>
        <item x="479"/>
        <item x="44"/>
        <item x="611"/>
        <item x="1172"/>
        <item x="799"/>
        <item x="131"/>
        <item x="897"/>
        <item x="871"/>
        <item x="1159"/>
        <item x="1142"/>
        <item x="228"/>
        <item x="617"/>
        <item x="640"/>
        <item x="569"/>
        <item x="414"/>
        <item x="135"/>
        <item x="146"/>
        <item x="455"/>
        <item x="424"/>
        <item x="565"/>
        <item x="205"/>
        <item x="950"/>
        <item x="978"/>
        <item x="882"/>
        <item x="1148"/>
        <item x="930"/>
        <item x="602"/>
        <item x="852"/>
        <item x="798"/>
        <item x="129"/>
        <item x="312"/>
        <item x="9"/>
        <item x="861"/>
        <item x="1165"/>
        <item x="733"/>
        <item x="1138"/>
        <item x="341"/>
        <item x="887"/>
        <item x="885"/>
        <item x="130"/>
        <item x="895"/>
        <item x="710"/>
        <item x="910"/>
        <item x="630"/>
        <item x="419"/>
        <item x="507"/>
        <item x="278"/>
        <item x="632"/>
        <item x="595"/>
        <item x="354"/>
        <item x="621"/>
        <item x="894"/>
        <item x="79"/>
        <item x="732"/>
        <item x="100"/>
        <item x="584"/>
        <item x="940"/>
        <item x="1073"/>
        <item x="731"/>
        <item x="1077"/>
        <item x="1146"/>
        <item x="493"/>
        <item x="557"/>
        <item x="1049"/>
        <item x="259"/>
        <item x="376"/>
        <item x="255"/>
        <item x="921"/>
        <item x="492"/>
        <item x="713"/>
        <item x="156"/>
        <item x="346"/>
        <item x="939"/>
        <item x="441"/>
        <item x="151"/>
        <item x="835"/>
        <item x="675"/>
        <item x="981"/>
        <item x="143"/>
        <item x="671"/>
        <item x="56"/>
        <item x="1100"/>
        <item x="867"/>
        <item x="607"/>
        <item x="596"/>
        <item x="211"/>
        <item x="958"/>
        <item x="937"/>
        <item x="330"/>
        <item x="643"/>
        <item x="70"/>
        <item x="160"/>
        <item x="650"/>
        <item x="166"/>
        <item x="1017"/>
        <item x="303"/>
        <item x="931"/>
        <item x="1088"/>
        <item x="997"/>
        <item x="244"/>
        <item x="548"/>
        <item x="285"/>
        <item x="246"/>
        <item x="589"/>
        <item x="1169"/>
        <item x="947"/>
        <item x="516"/>
        <item x="991"/>
        <item x="71"/>
        <item x="1060"/>
        <item x="301"/>
        <item x="636"/>
        <item x="941"/>
        <item x="606"/>
        <item x="49"/>
        <item x="592"/>
        <item x="743"/>
        <item x="683"/>
        <item x="1050"/>
        <item x="902"/>
        <item x="703"/>
        <item x="138"/>
        <item x="892"/>
        <item x="42"/>
        <item x="186"/>
        <item x="1095"/>
        <item x="58"/>
        <item x="845"/>
        <item x="1103"/>
        <item x="429"/>
        <item x="392"/>
        <item x="144"/>
        <item x="955"/>
        <item x="427"/>
        <item x="72"/>
        <item x="1022"/>
        <item x="328"/>
        <item x="294"/>
        <item x="66"/>
        <item x="779"/>
        <item x="605"/>
        <item x="896"/>
        <item x="1075"/>
        <item x="451"/>
        <item x="956"/>
        <item x="264"/>
        <item x="1033"/>
        <item x="382"/>
        <item x="534"/>
        <item x="256"/>
        <item x="471"/>
        <item x="964"/>
        <item x="730"/>
        <item x="1110"/>
        <item x="501"/>
        <item x="780"/>
        <item x="1051"/>
        <item x="286"/>
        <item x="581"/>
        <item x="564"/>
        <item x="19"/>
        <item x="530"/>
        <item x="842"/>
        <item x="110"/>
        <item x="841"/>
        <item x="668"/>
        <item x="194"/>
        <item x="268"/>
        <item x="537"/>
        <item x="88"/>
        <item x="919"/>
        <item x="267"/>
        <item x="618"/>
        <item x="1065"/>
        <item x="660"/>
        <item x="856"/>
        <item x="1069"/>
        <item x="922"/>
        <item x="153"/>
        <item x="547"/>
        <item x="750"/>
        <item x="1114"/>
        <item x="503"/>
        <item x="275"/>
        <item x="1120"/>
        <item x="815"/>
        <item x="415"/>
        <item x="574"/>
        <item x="1014"/>
        <item x="1154"/>
        <item x="184"/>
        <item x="274"/>
        <item x="957"/>
        <item x="552"/>
        <item x="911"/>
        <item x="351"/>
        <item x="810"/>
        <item x="106"/>
        <item x="961"/>
        <item x="830"/>
        <item x="1037"/>
        <item x="307"/>
        <item x="1035"/>
        <item x="789"/>
        <item x="761"/>
        <item x="678"/>
        <item x="217"/>
        <item x="171"/>
        <item x="1076"/>
        <item x="808"/>
        <item x="531"/>
        <item x="1071"/>
        <item x="932"/>
        <item x="951"/>
        <item x="335"/>
        <item x="13"/>
        <item x="38"/>
        <item x="533"/>
        <item x="754"/>
        <item x="1027"/>
        <item x="242"/>
        <item x="181"/>
        <item x="615"/>
        <item x="120"/>
        <item x="204"/>
        <item x="1173"/>
        <item x="57"/>
        <item x="176"/>
        <item x="535"/>
        <item x="792"/>
        <item x="474"/>
        <item x="559"/>
        <item x="227"/>
        <item x="707"/>
        <item x="1063"/>
        <item x="1025"/>
        <item x="826"/>
        <item x="238"/>
        <item x="54"/>
        <item x="1105"/>
        <item x="763"/>
        <item x="147"/>
        <item x="207"/>
        <item x="249"/>
        <item x="604"/>
        <item x="1004"/>
        <item x="506"/>
        <item x="316"/>
        <item x="1072"/>
        <item x="1092"/>
        <item x="212"/>
        <item x="311"/>
        <item x="7"/>
        <item x="133"/>
        <item x="715"/>
        <item x="1151"/>
        <item x="903"/>
        <item x="203"/>
        <item x="1070"/>
        <item x="187"/>
        <item x="89"/>
        <item x="64"/>
        <item x="784"/>
        <item x="337"/>
        <item x="740"/>
        <item x="776"/>
        <item x="1135"/>
        <item x="43"/>
        <item x="834"/>
        <item x="306"/>
        <item x="331"/>
        <item x="580"/>
        <item x="157"/>
        <item x="99"/>
        <item x="4"/>
        <item x="706"/>
        <item x="48"/>
        <item x="912"/>
        <item x="753"/>
        <item x="417"/>
        <item x="576"/>
        <item x="10"/>
        <item x="1168"/>
        <item x="1000"/>
        <item x="1026"/>
        <item x="724"/>
        <item x="558"/>
        <item x="723"/>
        <item x="361"/>
        <item x="988"/>
        <item x="367"/>
        <item x="263"/>
        <item x="729"/>
        <item x="582"/>
        <item x="365"/>
        <item x="734"/>
        <item x="208"/>
        <item x="539"/>
        <item x="920"/>
        <item x="562"/>
        <item x="549"/>
        <item x="16"/>
        <item x="993"/>
        <item x="223"/>
        <item x="811"/>
        <item x="290"/>
        <item x="970"/>
        <item x="84"/>
        <item x="653"/>
        <item x="119"/>
        <item x="570"/>
        <item x="554"/>
        <item x="770"/>
        <item x="690"/>
        <item x="26"/>
        <item x="575"/>
        <item x="546"/>
        <item x="781"/>
        <item x="1023"/>
        <item x="126"/>
        <item x="1097"/>
        <item x="222"/>
        <item x="1015"/>
        <item x="225"/>
        <item x="769"/>
        <item x="870"/>
        <item x="904"/>
        <item x="260"/>
        <item x="890"/>
        <item x="1040"/>
        <item x="742"/>
        <item x="325"/>
        <item x="132"/>
        <item x="333"/>
        <item x="1126"/>
        <item x="188"/>
        <item x="421"/>
        <item x="998"/>
        <item x="317"/>
        <item x="708"/>
        <item x="251"/>
        <item x="1098"/>
        <item x="782"/>
        <item x="206"/>
        <item x="261"/>
        <item x="27"/>
        <item x="423"/>
        <item x="623"/>
        <item x="801"/>
        <item x="759"/>
        <item x="1045"/>
        <item x="381"/>
        <item x="626"/>
        <item x="1059"/>
        <item x="192"/>
        <item x="614"/>
        <item x="154"/>
        <item x="1158"/>
        <item x="327"/>
        <item x="748"/>
        <item x="817"/>
        <item x="746"/>
        <item x="163"/>
        <item x="202"/>
        <item x="644"/>
        <item x="1108"/>
        <item x="373"/>
        <item x="405"/>
        <item x="253"/>
        <item x="353"/>
        <item x="231"/>
        <item x="291"/>
        <item x="496"/>
        <item x="165"/>
        <item x="514"/>
        <item x="459"/>
        <item x="974"/>
        <item x="326"/>
        <item x="1164"/>
        <item x="646"/>
        <item x="348"/>
        <item x="288"/>
        <item x="869"/>
        <item x="1167"/>
        <item x="230"/>
        <item x="1112"/>
        <item x="150"/>
        <item x="1107"/>
        <item x="705"/>
        <item t="default"/>
      </items>
    </pivotField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3"/>
        <item x="4"/>
        <item x="1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>
      <items count="12">
        <item x="8"/>
        <item x="3"/>
        <item x="5"/>
        <item x="0"/>
        <item x="10"/>
        <item x="6"/>
        <item x="2"/>
        <item x="1"/>
        <item x="7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9">
        <item x="1"/>
        <item x="4"/>
        <item x="7"/>
        <item x="0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7"/>
    <field x="36"/>
    <field x="24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Ticket Flag" fld="29" baseField="0" baseItem="0" numFmtId="2"/>
  </dataFields>
  <formats count="4">
    <format dxfId="24">
      <pivotArea type="all" dataOnly="0" outline="0" fieldPosition="0"/>
    </format>
    <format dxfId="23">
      <pivotArea dataOnly="0" labelOnly="1" outline="0" axis="axisValues" fieldPosition="0"/>
    </format>
    <format dxfId="22">
      <pivotArea collapsedLevelsAreSubtotals="1" fieldPosition="0">
        <references count="1">
          <reference field="37" count="1">
            <x v="1"/>
          </reference>
        </references>
      </pivotArea>
    </format>
    <format dxfId="2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18C52-2F88-40D7-B7FE-7DE10D1F9EFD}" name="Tabela dinâmica3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1:A2" firstHeaderRow="1" firstDataRow="1" firstDataCol="0"/>
  <pivotFields count="38">
    <pivotField showAll="0"/>
    <pivotField showAll="0"/>
    <pivotField numFmtId="22" showAll="0">
      <items count="1180">
        <item x="388"/>
        <item x="289"/>
        <item x="619"/>
        <item x="329"/>
        <item x="115"/>
        <item x="350"/>
        <item x="338"/>
        <item x="809"/>
        <item x="657"/>
        <item x="1090"/>
        <item x="609"/>
        <item x="1"/>
        <item x="613"/>
        <item x="39"/>
        <item x="243"/>
        <item x="980"/>
        <item x="853"/>
        <item x="248"/>
        <item x="152"/>
        <item x="515"/>
        <item x="775"/>
        <item x="973"/>
        <item x="364"/>
        <item x="102"/>
        <item x="1042"/>
        <item x="652"/>
        <item x="635"/>
        <item x="797"/>
        <item x="395"/>
        <item x="393"/>
        <item x="1123"/>
        <item x="679"/>
        <item x="917"/>
        <item x="996"/>
        <item x="358"/>
        <item x="542"/>
        <item x="716"/>
        <item x="450"/>
        <item x="1087"/>
        <item x="924"/>
        <item x="484"/>
        <item x="416"/>
        <item x="711"/>
        <item x="494"/>
        <item x="258"/>
        <item x="598"/>
        <item x="966"/>
        <item x="944"/>
        <item x="386"/>
        <item x="502"/>
        <item x="1143"/>
        <item x="629"/>
        <item x="175"/>
        <item x="252"/>
        <item x="322"/>
        <item x="464"/>
        <item x="900"/>
        <item x="766"/>
        <item x="1144"/>
        <item x="721"/>
        <item x="1178"/>
        <item x="772"/>
        <item x="905"/>
        <item x="122"/>
        <item x="201"/>
        <item x="148"/>
        <item x="107"/>
        <item x="453"/>
        <item x="271"/>
        <item x="1118"/>
        <item x="200"/>
        <item x="667"/>
        <item x="787"/>
        <item x="1133"/>
        <item x="444"/>
        <item x="436"/>
        <item x="864"/>
        <item x="908"/>
        <item x="1002"/>
        <item x="701"/>
        <item x="352"/>
        <item x="420"/>
        <item x="1074"/>
        <item x="526"/>
        <item x="1130"/>
        <item x="967"/>
        <item x="934"/>
        <item x="680"/>
        <item x="686"/>
        <item x="257"/>
        <item x="1006"/>
        <item x="477"/>
        <item x="380"/>
        <item x="372"/>
        <item x="560"/>
        <item x="101"/>
        <item x="638"/>
        <item x="8"/>
        <item x="1064"/>
        <item x="490"/>
        <item x="412"/>
        <item x="717"/>
        <item x="906"/>
        <item x="992"/>
        <item x="593"/>
        <item x="61"/>
        <item x="545"/>
        <item x="1116"/>
        <item x="965"/>
        <item x="458"/>
        <item x="406"/>
        <item x="1113"/>
        <item x="164"/>
        <item x="343"/>
        <item x="1161"/>
        <item x="193"/>
        <item x="310"/>
        <item x="232"/>
        <item x="863"/>
        <item x="1008"/>
        <item x="791"/>
        <item x="216"/>
        <item x="377"/>
        <item x="141"/>
        <item x="625"/>
        <item x="666"/>
        <item x="739"/>
        <item x="77"/>
        <item x="178"/>
        <item x="696"/>
        <item x="510"/>
        <item x="134"/>
        <item x="691"/>
        <item x="116"/>
        <item x="50"/>
        <item x="276"/>
        <item x="198"/>
        <item x="456"/>
        <item x="12"/>
        <item x="586"/>
        <item x="637"/>
        <item x="818"/>
        <item x="1124"/>
        <item x="622"/>
        <item x="563"/>
        <item x="793"/>
        <item x="1044"/>
        <item x="397"/>
        <item x="1139"/>
        <item x="827"/>
        <item x="719"/>
        <item x="760"/>
        <item x="765"/>
        <item x="587"/>
        <item x="52"/>
        <item x="822"/>
        <item x="336"/>
        <item x="1109"/>
        <item x="813"/>
        <item x="445"/>
        <item x="229"/>
        <item x="561"/>
        <item x="1001"/>
        <item x="1021"/>
        <item x="183"/>
        <item x="1036"/>
        <item x="487"/>
        <item x="982"/>
        <item x="985"/>
        <item x="751"/>
        <item x="851"/>
        <item x="224"/>
        <item x="884"/>
        <item x="1140"/>
        <item x="76"/>
        <item x="196"/>
        <item x="31"/>
        <item x="752"/>
        <item x="1020"/>
        <item x="473"/>
        <item x="499"/>
        <item x="345"/>
        <item x="886"/>
        <item x="948"/>
        <item x="33"/>
        <item x="220"/>
        <item x="1091"/>
        <item x="738"/>
        <item x="389"/>
        <item x="1171"/>
        <item x="528"/>
        <item x="37"/>
        <item x="162"/>
        <item x="747"/>
        <item x="718"/>
        <item x="1125"/>
        <item x="601"/>
        <item x="785"/>
        <item x="1094"/>
        <item x="1058"/>
        <item x="645"/>
        <item x="857"/>
        <item x="901"/>
        <item x="828"/>
        <item x="485"/>
        <item x="726"/>
        <item x="1028"/>
        <item x="438"/>
        <item x="819"/>
        <item x="628"/>
        <item x="113"/>
        <item x="633"/>
        <item x="1019"/>
        <item x="522"/>
        <item x="881"/>
        <item x="914"/>
        <item x="15"/>
        <item x="875"/>
        <item x="226"/>
        <item x="215"/>
        <item x="182"/>
        <item x="889"/>
        <item x="698"/>
        <item x="600"/>
        <item x="1155"/>
        <item x="159"/>
        <item x="850"/>
        <item x="277"/>
        <item x="90"/>
        <item x="762"/>
        <item x="512"/>
        <item x="663"/>
        <item x="6"/>
        <item x="712"/>
        <item x="1093"/>
        <item x="933"/>
        <item x="197"/>
        <item x="513"/>
        <item x="1099"/>
        <item x="925"/>
        <item x="1150"/>
        <item x="298"/>
        <item x="86"/>
        <item x="413"/>
        <item x="404"/>
        <item x="755"/>
        <item x="661"/>
        <item x="443"/>
        <item x="909"/>
        <item x="786"/>
        <item x="430"/>
        <item x="1052"/>
        <item x="868"/>
        <item x="984"/>
        <item x="677"/>
        <item x="73"/>
        <item x="1134"/>
        <item x="1106"/>
        <item x="14"/>
        <item x="379"/>
        <item x="433"/>
        <item x="979"/>
        <item x="262"/>
        <item x="168"/>
        <item x="517"/>
        <item x="142"/>
        <item x="295"/>
        <item x="75"/>
        <item x="720"/>
        <item x="1145"/>
        <item x="836"/>
        <item x="65"/>
        <item x="344"/>
        <item x="1083"/>
        <item x="1048"/>
        <item x="616"/>
        <item x="195"/>
        <item x="866"/>
        <item x="995"/>
        <item x="112"/>
        <item x="745"/>
        <item x="463"/>
        <item x="639"/>
        <item x="624"/>
        <item x="375"/>
        <item x="1061"/>
        <item x="987"/>
        <item x="915"/>
        <item x="401"/>
        <item x="233"/>
        <item x="394"/>
        <item x="954"/>
        <item x="1046"/>
        <item x="1081"/>
        <item x="648"/>
        <item x="689"/>
        <item x="1117"/>
        <item x="521"/>
        <item x="340"/>
        <item x="123"/>
        <item x="332"/>
        <item x="962"/>
        <item x="612"/>
        <item x="472"/>
        <item x="651"/>
        <item x="509"/>
        <item x="873"/>
        <item x="127"/>
        <item x="179"/>
        <item x="1121"/>
        <item x="40"/>
        <item x="1024"/>
        <item x="213"/>
        <item x="697"/>
        <item x="240"/>
        <item x="1166"/>
        <item x="599"/>
        <item x="279"/>
        <item x="839"/>
        <item x="898"/>
        <item x="735"/>
        <item x="121"/>
        <item x="235"/>
        <item x="923"/>
        <item x="669"/>
        <item x="191"/>
        <item x="489"/>
        <item x="1018"/>
        <item x="771"/>
        <item x="682"/>
        <item x="969"/>
        <item x="321"/>
        <item x="807"/>
        <item x="128"/>
        <item x="410"/>
        <item x="462"/>
        <item x="773"/>
        <item x="899"/>
        <item x="672"/>
        <item x="649"/>
        <item x="823"/>
        <item x="654"/>
        <item x="273"/>
        <item x="409"/>
        <item x="837"/>
        <item x="935"/>
        <item x="454"/>
        <item x="1056"/>
        <item x="913"/>
        <item x="1038"/>
        <item x="29"/>
        <item x="109"/>
        <item x="457"/>
        <item x="418"/>
        <item x="1047"/>
        <item x="339"/>
        <item x="709"/>
        <item x="662"/>
        <item x="468"/>
        <item x="874"/>
        <item x="681"/>
        <item x="320"/>
        <item x="384"/>
        <item x="370"/>
        <item x="221"/>
        <item x="872"/>
        <item x="971"/>
        <item x="504"/>
        <item x="994"/>
        <item x="59"/>
        <item x="1031"/>
        <item x="540"/>
        <item x="497"/>
        <item x="269"/>
        <item x="1055"/>
        <item x="366"/>
        <item x="270"/>
        <item x="95"/>
        <item x="1102"/>
        <item x="91"/>
        <item x="778"/>
        <item x="916"/>
        <item x="848"/>
        <item x="83"/>
        <item x="634"/>
        <item x="722"/>
        <item x="1137"/>
        <item x="1141"/>
        <item x="918"/>
        <item x="81"/>
        <item x="172"/>
        <item x="508"/>
        <item x="1068"/>
        <item x="1152"/>
        <item x="936"/>
        <item x="536"/>
        <item x="145"/>
        <item x="24"/>
        <item x="411"/>
        <item x="578"/>
        <item x="498"/>
        <item x="93"/>
        <item x="555"/>
        <item x="363"/>
        <item x="1053"/>
        <item x="449"/>
        <item x="1122"/>
        <item x="664"/>
        <item x="342"/>
        <item x="272"/>
        <item x="96"/>
        <item x="1170"/>
        <item x="480"/>
        <item x="396"/>
        <item x="1147"/>
        <item x="467"/>
        <item x="78"/>
        <item x="846"/>
        <item x="80"/>
        <item x="169"/>
        <item x="486"/>
        <item x="180"/>
        <item x="402"/>
        <item x="62"/>
        <item x="518"/>
        <item x="34"/>
        <item x="1131"/>
        <item x="945"/>
        <item x="802"/>
        <item x="190"/>
        <item x="105"/>
        <item x="553"/>
        <item x="266"/>
        <item x="85"/>
        <item x="812"/>
        <item x="655"/>
        <item x="692"/>
        <item x="1057"/>
        <item x="470"/>
        <item x="568"/>
        <item x="579"/>
        <item x="481"/>
        <item x="551"/>
        <item x="36"/>
        <item x="349"/>
        <item x="241"/>
        <item x="18"/>
        <item x="800"/>
        <item x="880"/>
        <item x="161"/>
        <item x="774"/>
        <item x="318"/>
        <item x="929"/>
        <item x="878"/>
        <item x="849"/>
        <item x="25"/>
        <item x="767"/>
        <item x="1156"/>
        <item x="1128"/>
        <item x="942"/>
        <item x="403"/>
        <item x="674"/>
        <item x="1115"/>
        <item x="1043"/>
        <item x="422"/>
        <item x="990"/>
        <item x="1067"/>
        <item x="371"/>
        <item x="315"/>
        <item x="983"/>
        <item x="210"/>
        <item x="447"/>
        <item x="544"/>
        <item x="282"/>
        <item x="491"/>
        <item x="768"/>
        <item x="281"/>
        <item x="284"/>
        <item x="399"/>
        <item x="647"/>
        <item x="177"/>
        <item x="448"/>
        <item x="234"/>
        <item x="5"/>
        <item x="591"/>
        <item x="21"/>
        <item x="511"/>
        <item x="362"/>
        <item x="1085"/>
        <item x="1009"/>
        <item x="385"/>
        <item x="108"/>
        <item x="879"/>
        <item x="550"/>
        <item x="250"/>
        <item x="571"/>
        <item x="1034"/>
        <item x="796"/>
        <item x="583"/>
        <item x="0"/>
        <item x="435"/>
        <item x="60"/>
        <item x="482"/>
        <item x="963"/>
        <item x="656"/>
        <item x="541"/>
        <item x="97"/>
        <item x="400"/>
        <item x="862"/>
        <item x="1084"/>
        <item x="977"/>
        <item x="926"/>
        <item x="17"/>
        <item x="1160"/>
        <item x="749"/>
        <item x="360"/>
        <item x="185"/>
        <item x="398"/>
        <item x="374"/>
        <item x="1011"/>
        <item x="300"/>
        <item x="829"/>
        <item x="928"/>
        <item x="1086"/>
        <item x="693"/>
        <item x="103"/>
        <item x="543"/>
        <item x="883"/>
        <item x="478"/>
        <item x="283"/>
        <item x="838"/>
        <item x="972"/>
        <item x="369"/>
        <item x="1127"/>
        <item x="114"/>
        <item x="1162"/>
        <item x="461"/>
        <item x="1039"/>
        <item x="893"/>
        <item x="323"/>
        <item x="302"/>
        <item x="82"/>
        <item x="687"/>
        <item x="1111"/>
        <item x="670"/>
        <item x="658"/>
        <item x="608"/>
        <item x="98"/>
        <item x="1175"/>
        <item x="610"/>
        <item x="94"/>
        <item x="1132"/>
        <item x="63"/>
        <item x="665"/>
        <item x="695"/>
        <item x="390"/>
        <item x="460"/>
        <item x="425"/>
        <item x="476"/>
        <item x="324"/>
        <item x="876"/>
        <item x="2"/>
        <item x="299"/>
        <item x="927"/>
        <item x="118"/>
        <item x="69"/>
        <item x="854"/>
        <item x="30"/>
        <item x="237"/>
        <item x="296"/>
        <item x="520"/>
        <item x="860"/>
        <item x="525"/>
        <item x="22"/>
        <item x="41"/>
        <item x="831"/>
        <item x="209"/>
        <item x="378"/>
        <item x="816"/>
        <item x="265"/>
        <item x="125"/>
        <item x="170"/>
        <item x="1153"/>
        <item x="1136"/>
        <item x="855"/>
        <item x="292"/>
        <item x="859"/>
        <item x="1149"/>
        <item x="1163"/>
        <item x="189"/>
        <item x="23"/>
        <item x="757"/>
        <item x="287"/>
        <item x="603"/>
        <item x="439"/>
        <item x="440"/>
        <item x="214"/>
        <item x="1003"/>
        <item x="173"/>
        <item x="833"/>
        <item x="840"/>
        <item x="488"/>
        <item x="573"/>
        <item x="741"/>
        <item x="989"/>
        <item x="319"/>
        <item x="585"/>
        <item x="946"/>
        <item x="758"/>
        <item x="590"/>
        <item x="820"/>
        <item x="452"/>
        <item x="356"/>
        <item x="588"/>
        <item x="359"/>
        <item x="297"/>
        <item x="505"/>
        <item x="824"/>
        <item x="74"/>
        <item x="566"/>
        <item x="1062"/>
        <item x="500"/>
        <item x="304"/>
        <item x="1029"/>
        <item x="952"/>
        <item x="219"/>
        <item x="556"/>
        <item x="676"/>
        <item x="843"/>
        <item x="844"/>
        <item x="293"/>
        <item x="236"/>
        <item x="1129"/>
        <item x="805"/>
        <item x="1096"/>
        <item x="28"/>
        <item x="368"/>
        <item x="999"/>
        <item x="1176"/>
        <item x="673"/>
        <item x="777"/>
        <item x="685"/>
        <item x="714"/>
        <item x="3"/>
        <item x="986"/>
        <item x="280"/>
        <item x="305"/>
        <item x="218"/>
        <item x="877"/>
        <item x="391"/>
        <item x="523"/>
        <item x="87"/>
        <item x="314"/>
        <item x="174"/>
        <item x="1177"/>
        <item x="659"/>
        <item x="68"/>
        <item x="446"/>
        <item x="67"/>
        <item x="727"/>
        <item x="1101"/>
        <item x="117"/>
        <item x="794"/>
        <item x="959"/>
        <item x="158"/>
        <item x="795"/>
        <item x="495"/>
        <item x="744"/>
        <item x="254"/>
        <item x="960"/>
        <item x="1005"/>
        <item x="572"/>
        <item x="1054"/>
        <item x="1066"/>
        <item x="631"/>
        <item x="790"/>
        <item x="383"/>
        <item x="968"/>
        <item x="736"/>
        <item x="1157"/>
        <item x="466"/>
        <item x="642"/>
        <item x="532"/>
        <item x="308"/>
        <item x="524"/>
        <item x="764"/>
        <item x="1082"/>
        <item x="149"/>
        <item x="527"/>
        <item x="821"/>
        <item x="891"/>
        <item x="1078"/>
        <item x="465"/>
        <item x="684"/>
        <item x="806"/>
        <item x="1041"/>
        <item x="538"/>
        <item x="387"/>
        <item x="1089"/>
        <item x="309"/>
        <item x="1079"/>
        <item x="199"/>
        <item x="407"/>
        <item x="1080"/>
        <item x="55"/>
        <item x="577"/>
        <item x="483"/>
        <item x="155"/>
        <item x="434"/>
        <item x="408"/>
        <item x="641"/>
        <item x="53"/>
        <item x="847"/>
        <item x="865"/>
        <item x="442"/>
        <item x="239"/>
        <item x="688"/>
        <item x="428"/>
        <item x="694"/>
        <item x="728"/>
        <item x="700"/>
        <item x="949"/>
        <item x="804"/>
        <item x="20"/>
        <item x="32"/>
        <item x="699"/>
        <item x="1104"/>
        <item x="597"/>
        <item x="529"/>
        <item x="437"/>
        <item x="92"/>
        <item x="1013"/>
        <item x="139"/>
        <item x="888"/>
        <item x="567"/>
        <item x="137"/>
        <item x="45"/>
        <item x="725"/>
        <item x="594"/>
        <item x="825"/>
        <item x="938"/>
        <item x="814"/>
        <item x="245"/>
        <item x="11"/>
        <item x="1016"/>
        <item x="357"/>
        <item x="46"/>
        <item x="1174"/>
        <item x="1012"/>
        <item x="1119"/>
        <item x="976"/>
        <item x="124"/>
        <item x="788"/>
        <item x="737"/>
        <item x="943"/>
        <item x="426"/>
        <item x="783"/>
        <item x="334"/>
        <item x="140"/>
        <item x="47"/>
        <item x="35"/>
        <item x="111"/>
        <item x="1007"/>
        <item x="475"/>
        <item x="975"/>
        <item x="620"/>
        <item x="704"/>
        <item x="858"/>
        <item x="347"/>
        <item x="1010"/>
        <item x="313"/>
        <item x="702"/>
        <item x="104"/>
        <item x="756"/>
        <item x="431"/>
        <item x="832"/>
        <item x="519"/>
        <item x="627"/>
        <item x="1032"/>
        <item x="432"/>
        <item x="136"/>
        <item x="469"/>
        <item x="1030"/>
        <item x="907"/>
        <item x="247"/>
        <item x="167"/>
        <item x="953"/>
        <item x="803"/>
        <item x="51"/>
        <item x="355"/>
        <item x="479"/>
        <item x="44"/>
        <item x="611"/>
        <item x="1172"/>
        <item x="799"/>
        <item x="131"/>
        <item x="897"/>
        <item x="871"/>
        <item x="1159"/>
        <item x="1142"/>
        <item x="228"/>
        <item x="617"/>
        <item x="640"/>
        <item x="569"/>
        <item x="414"/>
        <item x="135"/>
        <item x="146"/>
        <item x="455"/>
        <item x="424"/>
        <item x="565"/>
        <item x="205"/>
        <item x="950"/>
        <item x="978"/>
        <item x="882"/>
        <item x="1148"/>
        <item x="930"/>
        <item x="602"/>
        <item x="852"/>
        <item x="798"/>
        <item x="129"/>
        <item x="312"/>
        <item x="9"/>
        <item x="861"/>
        <item x="1165"/>
        <item x="733"/>
        <item x="1138"/>
        <item x="341"/>
        <item x="887"/>
        <item x="885"/>
        <item x="130"/>
        <item x="895"/>
        <item x="710"/>
        <item x="910"/>
        <item x="630"/>
        <item x="419"/>
        <item x="507"/>
        <item x="278"/>
        <item x="632"/>
        <item x="595"/>
        <item x="354"/>
        <item x="621"/>
        <item x="894"/>
        <item x="79"/>
        <item x="732"/>
        <item x="100"/>
        <item x="584"/>
        <item x="940"/>
        <item x="1073"/>
        <item x="731"/>
        <item x="1077"/>
        <item x="1146"/>
        <item x="493"/>
        <item x="557"/>
        <item x="1049"/>
        <item x="259"/>
        <item x="376"/>
        <item x="255"/>
        <item x="921"/>
        <item x="492"/>
        <item x="713"/>
        <item x="156"/>
        <item x="346"/>
        <item x="939"/>
        <item x="441"/>
        <item x="151"/>
        <item x="835"/>
        <item x="675"/>
        <item x="981"/>
        <item x="143"/>
        <item x="671"/>
        <item x="56"/>
        <item x="1100"/>
        <item x="867"/>
        <item x="607"/>
        <item x="596"/>
        <item x="211"/>
        <item x="958"/>
        <item x="937"/>
        <item x="330"/>
        <item x="643"/>
        <item x="70"/>
        <item x="160"/>
        <item x="650"/>
        <item x="166"/>
        <item x="1017"/>
        <item x="303"/>
        <item x="931"/>
        <item x="1088"/>
        <item x="997"/>
        <item x="244"/>
        <item x="548"/>
        <item x="285"/>
        <item x="246"/>
        <item x="589"/>
        <item x="1169"/>
        <item x="947"/>
        <item x="516"/>
        <item x="991"/>
        <item x="71"/>
        <item x="1060"/>
        <item x="301"/>
        <item x="636"/>
        <item x="941"/>
        <item x="606"/>
        <item x="49"/>
        <item x="592"/>
        <item x="743"/>
        <item x="683"/>
        <item x="1050"/>
        <item x="902"/>
        <item x="703"/>
        <item x="138"/>
        <item x="892"/>
        <item x="42"/>
        <item x="186"/>
        <item x="1095"/>
        <item x="58"/>
        <item x="845"/>
        <item x="1103"/>
        <item x="429"/>
        <item x="392"/>
        <item x="144"/>
        <item x="955"/>
        <item x="427"/>
        <item x="72"/>
        <item x="1022"/>
        <item x="328"/>
        <item x="294"/>
        <item x="66"/>
        <item x="779"/>
        <item x="605"/>
        <item x="896"/>
        <item x="1075"/>
        <item x="451"/>
        <item x="956"/>
        <item x="264"/>
        <item x="1033"/>
        <item x="382"/>
        <item x="534"/>
        <item x="256"/>
        <item x="471"/>
        <item x="964"/>
        <item x="730"/>
        <item x="1110"/>
        <item x="501"/>
        <item x="780"/>
        <item x="1051"/>
        <item x="286"/>
        <item x="581"/>
        <item x="564"/>
        <item x="19"/>
        <item x="530"/>
        <item x="842"/>
        <item x="110"/>
        <item x="841"/>
        <item x="668"/>
        <item x="194"/>
        <item x="268"/>
        <item x="537"/>
        <item x="88"/>
        <item x="919"/>
        <item x="267"/>
        <item x="618"/>
        <item x="1065"/>
        <item x="660"/>
        <item x="856"/>
        <item x="1069"/>
        <item x="922"/>
        <item x="153"/>
        <item x="547"/>
        <item x="750"/>
        <item x="1114"/>
        <item x="503"/>
        <item x="275"/>
        <item x="1120"/>
        <item x="815"/>
        <item x="415"/>
        <item x="574"/>
        <item x="1014"/>
        <item x="1154"/>
        <item x="184"/>
        <item x="274"/>
        <item x="957"/>
        <item x="552"/>
        <item x="911"/>
        <item x="351"/>
        <item x="810"/>
        <item x="106"/>
        <item x="961"/>
        <item x="830"/>
        <item x="1037"/>
        <item x="307"/>
        <item x="1035"/>
        <item x="789"/>
        <item x="761"/>
        <item x="678"/>
        <item x="217"/>
        <item x="171"/>
        <item x="1076"/>
        <item x="808"/>
        <item x="531"/>
        <item x="1071"/>
        <item x="932"/>
        <item x="951"/>
        <item x="335"/>
        <item x="13"/>
        <item x="38"/>
        <item x="533"/>
        <item x="754"/>
        <item x="1027"/>
        <item x="242"/>
        <item x="181"/>
        <item x="615"/>
        <item x="120"/>
        <item x="204"/>
        <item x="1173"/>
        <item x="57"/>
        <item x="176"/>
        <item x="535"/>
        <item x="792"/>
        <item x="474"/>
        <item x="559"/>
        <item x="227"/>
        <item x="707"/>
        <item x="1063"/>
        <item x="1025"/>
        <item x="826"/>
        <item x="238"/>
        <item x="54"/>
        <item x="1105"/>
        <item x="763"/>
        <item x="147"/>
        <item x="207"/>
        <item x="249"/>
        <item x="604"/>
        <item x="1004"/>
        <item x="506"/>
        <item x="316"/>
        <item x="1072"/>
        <item x="1092"/>
        <item x="212"/>
        <item x="311"/>
        <item x="7"/>
        <item x="133"/>
        <item x="715"/>
        <item x="1151"/>
        <item x="903"/>
        <item x="203"/>
        <item x="1070"/>
        <item x="187"/>
        <item x="89"/>
        <item x="64"/>
        <item x="784"/>
        <item x="337"/>
        <item x="740"/>
        <item x="776"/>
        <item x="1135"/>
        <item x="43"/>
        <item x="834"/>
        <item x="306"/>
        <item x="331"/>
        <item x="580"/>
        <item x="157"/>
        <item x="99"/>
        <item x="4"/>
        <item x="706"/>
        <item x="48"/>
        <item x="912"/>
        <item x="753"/>
        <item x="417"/>
        <item x="576"/>
        <item x="10"/>
        <item x="1168"/>
        <item x="1000"/>
        <item x="1026"/>
        <item x="724"/>
        <item x="558"/>
        <item x="723"/>
        <item x="361"/>
        <item x="988"/>
        <item x="367"/>
        <item x="263"/>
        <item x="729"/>
        <item x="582"/>
        <item x="365"/>
        <item x="734"/>
        <item x="208"/>
        <item x="539"/>
        <item x="920"/>
        <item x="562"/>
        <item x="549"/>
        <item x="16"/>
        <item x="993"/>
        <item x="223"/>
        <item x="811"/>
        <item x="290"/>
        <item x="970"/>
        <item x="84"/>
        <item x="653"/>
        <item x="119"/>
        <item x="570"/>
        <item x="554"/>
        <item x="770"/>
        <item x="690"/>
        <item x="26"/>
        <item x="575"/>
        <item x="546"/>
        <item x="781"/>
        <item x="1023"/>
        <item x="126"/>
        <item x="1097"/>
        <item x="222"/>
        <item x="1015"/>
        <item x="225"/>
        <item x="769"/>
        <item x="870"/>
        <item x="904"/>
        <item x="260"/>
        <item x="890"/>
        <item x="1040"/>
        <item x="742"/>
        <item x="325"/>
        <item x="132"/>
        <item x="333"/>
        <item x="1126"/>
        <item x="188"/>
        <item x="421"/>
        <item x="998"/>
        <item x="317"/>
        <item x="708"/>
        <item x="251"/>
        <item x="1098"/>
        <item x="782"/>
        <item x="206"/>
        <item x="261"/>
        <item x="27"/>
        <item x="423"/>
        <item x="623"/>
        <item x="801"/>
        <item x="759"/>
        <item x="1045"/>
        <item x="381"/>
        <item x="626"/>
        <item x="1059"/>
        <item x="192"/>
        <item x="614"/>
        <item x="154"/>
        <item x="1158"/>
        <item x="327"/>
        <item x="748"/>
        <item x="817"/>
        <item x="746"/>
        <item x="163"/>
        <item x="202"/>
        <item x="644"/>
        <item x="1108"/>
        <item x="373"/>
        <item x="405"/>
        <item x="253"/>
        <item x="353"/>
        <item x="231"/>
        <item x="291"/>
        <item x="496"/>
        <item x="165"/>
        <item x="514"/>
        <item x="459"/>
        <item x="974"/>
        <item x="326"/>
        <item x="1164"/>
        <item x="646"/>
        <item x="348"/>
        <item x="288"/>
        <item x="869"/>
        <item x="1167"/>
        <item x="230"/>
        <item x="1112"/>
        <item x="150"/>
        <item x="1107"/>
        <item x="705"/>
        <item t="default"/>
      </items>
    </pivotField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3"/>
        <item x="4"/>
        <item x="1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>
      <items count="12">
        <item x="8"/>
        <item x="3"/>
        <item x="5"/>
        <item x="0"/>
        <item x="10"/>
        <item x="6"/>
        <item x="2"/>
        <item x="1"/>
        <item x="7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">
        <item x="1"/>
        <item x="4"/>
        <item x="7"/>
        <item x="0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Total Ticket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441E3-DCCC-4F98-95D5-CBA2D0853BC4}" name="Tabela dinâmica15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5">
  <location ref="C31:D35" firstHeaderRow="1" firstDataRow="1" firstDataCol="1"/>
  <pivotFields count="38">
    <pivotField showAll="0"/>
    <pivotField showAll="0"/>
    <pivotField numFmtId="22" showAll="0">
      <items count="1180">
        <item x="388"/>
        <item x="289"/>
        <item x="619"/>
        <item x="329"/>
        <item x="115"/>
        <item x="350"/>
        <item x="338"/>
        <item x="809"/>
        <item x="657"/>
        <item x="1090"/>
        <item x="609"/>
        <item x="1"/>
        <item x="613"/>
        <item x="39"/>
        <item x="243"/>
        <item x="980"/>
        <item x="853"/>
        <item x="248"/>
        <item x="152"/>
        <item x="515"/>
        <item x="775"/>
        <item x="973"/>
        <item x="364"/>
        <item x="102"/>
        <item x="1042"/>
        <item x="652"/>
        <item x="635"/>
        <item x="797"/>
        <item x="395"/>
        <item x="393"/>
        <item x="1123"/>
        <item x="679"/>
        <item x="917"/>
        <item x="996"/>
        <item x="358"/>
        <item x="542"/>
        <item x="716"/>
        <item x="450"/>
        <item x="1087"/>
        <item x="924"/>
        <item x="484"/>
        <item x="416"/>
        <item x="711"/>
        <item x="494"/>
        <item x="258"/>
        <item x="598"/>
        <item x="966"/>
        <item x="944"/>
        <item x="386"/>
        <item x="502"/>
        <item x="1143"/>
        <item x="629"/>
        <item x="175"/>
        <item x="252"/>
        <item x="322"/>
        <item x="464"/>
        <item x="900"/>
        <item x="766"/>
        <item x="1144"/>
        <item x="721"/>
        <item x="1178"/>
        <item x="772"/>
        <item x="905"/>
        <item x="122"/>
        <item x="201"/>
        <item x="148"/>
        <item x="107"/>
        <item x="453"/>
        <item x="271"/>
        <item x="1118"/>
        <item x="200"/>
        <item x="667"/>
        <item x="787"/>
        <item x="1133"/>
        <item x="444"/>
        <item x="436"/>
        <item x="864"/>
        <item x="908"/>
        <item x="1002"/>
        <item x="701"/>
        <item x="352"/>
        <item x="420"/>
        <item x="1074"/>
        <item x="526"/>
        <item x="1130"/>
        <item x="967"/>
        <item x="934"/>
        <item x="680"/>
        <item x="686"/>
        <item x="257"/>
        <item x="1006"/>
        <item x="477"/>
        <item x="380"/>
        <item x="372"/>
        <item x="560"/>
        <item x="101"/>
        <item x="638"/>
        <item x="8"/>
        <item x="1064"/>
        <item x="490"/>
        <item x="412"/>
        <item x="717"/>
        <item x="906"/>
        <item x="992"/>
        <item x="593"/>
        <item x="61"/>
        <item x="545"/>
        <item x="1116"/>
        <item x="965"/>
        <item x="458"/>
        <item x="406"/>
        <item x="1113"/>
        <item x="164"/>
        <item x="343"/>
        <item x="1161"/>
        <item x="193"/>
        <item x="310"/>
        <item x="232"/>
        <item x="863"/>
        <item x="1008"/>
        <item x="791"/>
        <item x="216"/>
        <item x="377"/>
        <item x="141"/>
        <item x="625"/>
        <item x="666"/>
        <item x="739"/>
        <item x="77"/>
        <item x="178"/>
        <item x="696"/>
        <item x="510"/>
        <item x="134"/>
        <item x="691"/>
        <item x="116"/>
        <item x="50"/>
        <item x="276"/>
        <item x="198"/>
        <item x="456"/>
        <item x="12"/>
        <item x="586"/>
        <item x="637"/>
        <item x="818"/>
        <item x="1124"/>
        <item x="622"/>
        <item x="563"/>
        <item x="793"/>
        <item x="1044"/>
        <item x="397"/>
        <item x="1139"/>
        <item x="827"/>
        <item x="719"/>
        <item x="760"/>
        <item x="765"/>
        <item x="587"/>
        <item x="52"/>
        <item x="822"/>
        <item x="336"/>
        <item x="1109"/>
        <item x="813"/>
        <item x="445"/>
        <item x="229"/>
        <item x="561"/>
        <item x="1001"/>
        <item x="1021"/>
        <item x="183"/>
        <item x="1036"/>
        <item x="487"/>
        <item x="982"/>
        <item x="985"/>
        <item x="751"/>
        <item x="851"/>
        <item x="224"/>
        <item x="884"/>
        <item x="1140"/>
        <item x="76"/>
        <item x="196"/>
        <item x="31"/>
        <item x="752"/>
        <item x="1020"/>
        <item x="473"/>
        <item x="499"/>
        <item x="345"/>
        <item x="886"/>
        <item x="948"/>
        <item x="33"/>
        <item x="220"/>
        <item x="1091"/>
        <item x="738"/>
        <item x="389"/>
        <item x="1171"/>
        <item x="528"/>
        <item x="37"/>
        <item x="162"/>
        <item x="747"/>
        <item x="718"/>
        <item x="1125"/>
        <item x="601"/>
        <item x="785"/>
        <item x="1094"/>
        <item x="1058"/>
        <item x="645"/>
        <item x="857"/>
        <item x="901"/>
        <item x="828"/>
        <item x="485"/>
        <item x="726"/>
        <item x="1028"/>
        <item x="438"/>
        <item x="819"/>
        <item x="628"/>
        <item x="113"/>
        <item x="633"/>
        <item x="1019"/>
        <item x="522"/>
        <item x="881"/>
        <item x="914"/>
        <item x="15"/>
        <item x="875"/>
        <item x="226"/>
        <item x="215"/>
        <item x="182"/>
        <item x="889"/>
        <item x="698"/>
        <item x="600"/>
        <item x="1155"/>
        <item x="159"/>
        <item x="850"/>
        <item x="277"/>
        <item x="90"/>
        <item x="762"/>
        <item x="512"/>
        <item x="663"/>
        <item x="6"/>
        <item x="712"/>
        <item x="1093"/>
        <item x="933"/>
        <item x="197"/>
        <item x="513"/>
        <item x="1099"/>
        <item x="925"/>
        <item x="1150"/>
        <item x="298"/>
        <item x="86"/>
        <item x="413"/>
        <item x="404"/>
        <item x="755"/>
        <item x="661"/>
        <item x="443"/>
        <item x="909"/>
        <item x="786"/>
        <item x="430"/>
        <item x="1052"/>
        <item x="868"/>
        <item x="984"/>
        <item x="677"/>
        <item x="73"/>
        <item x="1134"/>
        <item x="1106"/>
        <item x="14"/>
        <item x="379"/>
        <item x="433"/>
        <item x="979"/>
        <item x="262"/>
        <item x="168"/>
        <item x="517"/>
        <item x="142"/>
        <item x="295"/>
        <item x="75"/>
        <item x="720"/>
        <item x="1145"/>
        <item x="836"/>
        <item x="65"/>
        <item x="344"/>
        <item x="1083"/>
        <item x="1048"/>
        <item x="616"/>
        <item x="195"/>
        <item x="866"/>
        <item x="995"/>
        <item x="112"/>
        <item x="745"/>
        <item x="463"/>
        <item x="639"/>
        <item x="624"/>
        <item x="375"/>
        <item x="1061"/>
        <item x="987"/>
        <item x="915"/>
        <item x="401"/>
        <item x="233"/>
        <item x="394"/>
        <item x="954"/>
        <item x="1046"/>
        <item x="1081"/>
        <item x="648"/>
        <item x="689"/>
        <item x="1117"/>
        <item x="521"/>
        <item x="340"/>
        <item x="123"/>
        <item x="332"/>
        <item x="962"/>
        <item x="612"/>
        <item x="472"/>
        <item x="651"/>
        <item x="509"/>
        <item x="873"/>
        <item x="127"/>
        <item x="179"/>
        <item x="1121"/>
        <item x="40"/>
        <item x="1024"/>
        <item x="213"/>
        <item x="697"/>
        <item x="240"/>
        <item x="1166"/>
        <item x="599"/>
        <item x="279"/>
        <item x="839"/>
        <item x="898"/>
        <item x="735"/>
        <item x="121"/>
        <item x="235"/>
        <item x="923"/>
        <item x="669"/>
        <item x="191"/>
        <item x="489"/>
        <item x="1018"/>
        <item x="771"/>
        <item x="682"/>
        <item x="969"/>
        <item x="321"/>
        <item x="807"/>
        <item x="128"/>
        <item x="410"/>
        <item x="462"/>
        <item x="773"/>
        <item x="899"/>
        <item x="672"/>
        <item x="649"/>
        <item x="823"/>
        <item x="654"/>
        <item x="273"/>
        <item x="409"/>
        <item x="837"/>
        <item x="935"/>
        <item x="454"/>
        <item x="1056"/>
        <item x="913"/>
        <item x="1038"/>
        <item x="29"/>
        <item x="109"/>
        <item x="457"/>
        <item x="418"/>
        <item x="1047"/>
        <item x="339"/>
        <item x="709"/>
        <item x="662"/>
        <item x="468"/>
        <item x="874"/>
        <item x="681"/>
        <item x="320"/>
        <item x="384"/>
        <item x="370"/>
        <item x="221"/>
        <item x="872"/>
        <item x="971"/>
        <item x="504"/>
        <item x="994"/>
        <item x="59"/>
        <item x="1031"/>
        <item x="540"/>
        <item x="497"/>
        <item x="269"/>
        <item x="1055"/>
        <item x="366"/>
        <item x="270"/>
        <item x="95"/>
        <item x="1102"/>
        <item x="91"/>
        <item x="778"/>
        <item x="916"/>
        <item x="848"/>
        <item x="83"/>
        <item x="634"/>
        <item x="722"/>
        <item x="1137"/>
        <item x="1141"/>
        <item x="918"/>
        <item x="81"/>
        <item x="172"/>
        <item x="508"/>
        <item x="1068"/>
        <item x="1152"/>
        <item x="936"/>
        <item x="536"/>
        <item x="145"/>
        <item x="24"/>
        <item x="411"/>
        <item x="578"/>
        <item x="498"/>
        <item x="93"/>
        <item x="555"/>
        <item x="363"/>
        <item x="1053"/>
        <item x="449"/>
        <item x="1122"/>
        <item x="664"/>
        <item x="342"/>
        <item x="272"/>
        <item x="96"/>
        <item x="1170"/>
        <item x="480"/>
        <item x="396"/>
        <item x="1147"/>
        <item x="467"/>
        <item x="78"/>
        <item x="846"/>
        <item x="80"/>
        <item x="169"/>
        <item x="486"/>
        <item x="180"/>
        <item x="402"/>
        <item x="62"/>
        <item x="518"/>
        <item x="34"/>
        <item x="1131"/>
        <item x="945"/>
        <item x="802"/>
        <item x="190"/>
        <item x="105"/>
        <item x="553"/>
        <item x="266"/>
        <item x="85"/>
        <item x="812"/>
        <item x="655"/>
        <item x="692"/>
        <item x="1057"/>
        <item x="470"/>
        <item x="568"/>
        <item x="579"/>
        <item x="481"/>
        <item x="551"/>
        <item x="36"/>
        <item x="349"/>
        <item x="241"/>
        <item x="18"/>
        <item x="800"/>
        <item x="880"/>
        <item x="161"/>
        <item x="774"/>
        <item x="318"/>
        <item x="929"/>
        <item x="878"/>
        <item x="849"/>
        <item x="25"/>
        <item x="767"/>
        <item x="1156"/>
        <item x="1128"/>
        <item x="942"/>
        <item x="403"/>
        <item x="674"/>
        <item x="1115"/>
        <item x="1043"/>
        <item x="422"/>
        <item x="990"/>
        <item x="1067"/>
        <item x="371"/>
        <item x="315"/>
        <item x="983"/>
        <item x="210"/>
        <item x="447"/>
        <item x="544"/>
        <item x="282"/>
        <item x="491"/>
        <item x="768"/>
        <item x="281"/>
        <item x="284"/>
        <item x="399"/>
        <item x="647"/>
        <item x="177"/>
        <item x="448"/>
        <item x="234"/>
        <item x="5"/>
        <item x="591"/>
        <item x="21"/>
        <item x="511"/>
        <item x="362"/>
        <item x="1085"/>
        <item x="1009"/>
        <item x="385"/>
        <item x="108"/>
        <item x="879"/>
        <item x="550"/>
        <item x="250"/>
        <item x="571"/>
        <item x="1034"/>
        <item x="796"/>
        <item x="583"/>
        <item x="0"/>
        <item x="435"/>
        <item x="60"/>
        <item x="482"/>
        <item x="963"/>
        <item x="656"/>
        <item x="541"/>
        <item x="97"/>
        <item x="400"/>
        <item x="862"/>
        <item x="1084"/>
        <item x="977"/>
        <item x="926"/>
        <item x="17"/>
        <item x="1160"/>
        <item x="749"/>
        <item x="360"/>
        <item x="185"/>
        <item x="398"/>
        <item x="374"/>
        <item x="1011"/>
        <item x="300"/>
        <item x="829"/>
        <item x="928"/>
        <item x="1086"/>
        <item x="693"/>
        <item x="103"/>
        <item x="543"/>
        <item x="883"/>
        <item x="478"/>
        <item x="283"/>
        <item x="838"/>
        <item x="972"/>
        <item x="369"/>
        <item x="1127"/>
        <item x="114"/>
        <item x="1162"/>
        <item x="461"/>
        <item x="1039"/>
        <item x="893"/>
        <item x="323"/>
        <item x="302"/>
        <item x="82"/>
        <item x="687"/>
        <item x="1111"/>
        <item x="670"/>
        <item x="658"/>
        <item x="608"/>
        <item x="98"/>
        <item x="1175"/>
        <item x="610"/>
        <item x="94"/>
        <item x="1132"/>
        <item x="63"/>
        <item x="665"/>
        <item x="695"/>
        <item x="390"/>
        <item x="460"/>
        <item x="425"/>
        <item x="476"/>
        <item x="324"/>
        <item x="876"/>
        <item x="2"/>
        <item x="299"/>
        <item x="927"/>
        <item x="118"/>
        <item x="69"/>
        <item x="854"/>
        <item x="30"/>
        <item x="237"/>
        <item x="296"/>
        <item x="520"/>
        <item x="860"/>
        <item x="525"/>
        <item x="22"/>
        <item x="41"/>
        <item x="831"/>
        <item x="209"/>
        <item x="378"/>
        <item x="816"/>
        <item x="265"/>
        <item x="125"/>
        <item x="170"/>
        <item x="1153"/>
        <item x="1136"/>
        <item x="855"/>
        <item x="292"/>
        <item x="859"/>
        <item x="1149"/>
        <item x="1163"/>
        <item x="189"/>
        <item x="23"/>
        <item x="757"/>
        <item x="287"/>
        <item x="603"/>
        <item x="439"/>
        <item x="440"/>
        <item x="214"/>
        <item x="1003"/>
        <item x="173"/>
        <item x="833"/>
        <item x="840"/>
        <item x="488"/>
        <item x="573"/>
        <item x="741"/>
        <item x="989"/>
        <item x="319"/>
        <item x="585"/>
        <item x="946"/>
        <item x="758"/>
        <item x="590"/>
        <item x="820"/>
        <item x="452"/>
        <item x="356"/>
        <item x="588"/>
        <item x="359"/>
        <item x="297"/>
        <item x="505"/>
        <item x="824"/>
        <item x="74"/>
        <item x="566"/>
        <item x="1062"/>
        <item x="500"/>
        <item x="304"/>
        <item x="1029"/>
        <item x="952"/>
        <item x="219"/>
        <item x="556"/>
        <item x="676"/>
        <item x="843"/>
        <item x="844"/>
        <item x="293"/>
        <item x="236"/>
        <item x="1129"/>
        <item x="805"/>
        <item x="1096"/>
        <item x="28"/>
        <item x="368"/>
        <item x="999"/>
        <item x="1176"/>
        <item x="673"/>
        <item x="777"/>
        <item x="685"/>
        <item x="714"/>
        <item x="3"/>
        <item x="986"/>
        <item x="280"/>
        <item x="305"/>
        <item x="218"/>
        <item x="877"/>
        <item x="391"/>
        <item x="523"/>
        <item x="87"/>
        <item x="314"/>
        <item x="174"/>
        <item x="1177"/>
        <item x="659"/>
        <item x="68"/>
        <item x="446"/>
        <item x="67"/>
        <item x="727"/>
        <item x="1101"/>
        <item x="117"/>
        <item x="794"/>
        <item x="959"/>
        <item x="158"/>
        <item x="795"/>
        <item x="495"/>
        <item x="744"/>
        <item x="254"/>
        <item x="960"/>
        <item x="1005"/>
        <item x="572"/>
        <item x="1054"/>
        <item x="1066"/>
        <item x="631"/>
        <item x="790"/>
        <item x="383"/>
        <item x="968"/>
        <item x="736"/>
        <item x="1157"/>
        <item x="466"/>
        <item x="642"/>
        <item x="532"/>
        <item x="308"/>
        <item x="524"/>
        <item x="764"/>
        <item x="1082"/>
        <item x="149"/>
        <item x="527"/>
        <item x="821"/>
        <item x="891"/>
        <item x="1078"/>
        <item x="465"/>
        <item x="684"/>
        <item x="806"/>
        <item x="1041"/>
        <item x="538"/>
        <item x="387"/>
        <item x="1089"/>
        <item x="309"/>
        <item x="1079"/>
        <item x="199"/>
        <item x="407"/>
        <item x="1080"/>
        <item x="55"/>
        <item x="577"/>
        <item x="483"/>
        <item x="155"/>
        <item x="434"/>
        <item x="408"/>
        <item x="641"/>
        <item x="53"/>
        <item x="847"/>
        <item x="865"/>
        <item x="442"/>
        <item x="239"/>
        <item x="688"/>
        <item x="428"/>
        <item x="694"/>
        <item x="728"/>
        <item x="700"/>
        <item x="949"/>
        <item x="804"/>
        <item x="20"/>
        <item x="32"/>
        <item x="699"/>
        <item x="1104"/>
        <item x="597"/>
        <item x="529"/>
        <item x="437"/>
        <item x="92"/>
        <item x="1013"/>
        <item x="139"/>
        <item x="888"/>
        <item x="567"/>
        <item x="137"/>
        <item x="45"/>
        <item x="725"/>
        <item x="594"/>
        <item x="825"/>
        <item x="938"/>
        <item x="814"/>
        <item x="245"/>
        <item x="11"/>
        <item x="1016"/>
        <item x="357"/>
        <item x="46"/>
        <item x="1174"/>
        <item x="1012"/>
        <item x="1119"/>
        <item x="976"/>
        <item x="124"/>
        <item x="788"/>
        <item x="737"/>
        <item x="943"/>
        <item x="426"/>
        <item x="783"/>
        <item x="334"/>
        <item x="140"/>
        <item x="47"/>
        <item x="35"/>
        <item x="111"/>
        <item x="1007"/>
        <item x="475"/>
        <item x="975"/>
        <item x="620"/>
        <item x="704"/>
        <item x="858"/>
        <item x="347"/>
        <item x="1010"/>
        <item x="313"/>
        <item x="702"/>
        <item x="104"/>
        <item x="756"/>
        <item x="431"/>
        <item x="832"/>
        <item x="519"/>
        <item x="627"/>
        <item x="1032"/>
        <item x="432"/>
        <item x="136"/>
        <item x="469"/>
        <item x="1030"/>
        <item x="907"/>
        <item x="247"/>
        <item x="167"/>
        <item x="953"/>
        <item x="803"/>
        <item x="51"/>
        <item x="355"/>
        <item x="479"/>
        <item x="44"/>
        <item x="611"/>
        <item x="1172"/>
        <item x="799"/>
        <item x="131"/>
        <item x="897"/>
        <item x="871"/>
        <item x="1159"/>
        <item x="1142"/>
        <item x="228"/>
        <item x="617"/>
        <item x="640"/>
        <item x="569"/>
        <item x="414"/>
        <item x="135"/>
        <item x="146"/>
        <item x="455"/>
        <item x="424"/>
        <item x="565"/>
        <item x="205"/>
        <item x="950"/>
        <item x="978"/>
        <item x="882"/>
        <item x="1148"/>
        <item x="930"/>
        <item x="602"/>
        <item x="852"/>
        <item x="798"/>
        <item x="129"/>
        <item x="312"/>
        <item x="9"/>
        <item x="861"/>
        <item x="1165"/>
        <item x="733"/>
        <item x="1138"/>
        <item x="341"/>
        <item x="887"/>
        <item x="885"/>
        <item x="130"/>
        <item x="895"/>
        <item x="710"/>
        <item x="910"/>
        <item x="630"/>
        <item x="419"/>
        <item x="507"/>
        <item x="278"/>
        <item x="632"/>
        <item x="595"/>
        <item x="354"/>
        <item x="621"/>
        <item x="894"/>
        <item x="79"/>
        <item x="732"/>
        <item x="100"/>
        <item x="584"/>
        <item x="940"/>
        <item x="1073"/>
        <item x="731"/>
        <item x="1077"/>
        <item x="1146"/>
        <item x="493"/>
        <item x="557"/>
        <item x="1049"/>
        <item x="259"/>
        <item x="376"/>
        <item x="255"/>
        <item x="921"/>
        <item x="492"/>
        <item x="713"/>
        <item x="156"/>
        <item x="346"/>
        <item x="939"/>
        <item x="441"/>
        <item x="151"/>
        <item x="835"/>
        <item x="675"/>
        <item x="981"/>
        <item x="143"/>
        <item x="671"/>
        <item x="56"/>
        <item x="1100"/>
        <item x="867"/>
        <item x="607"/>
        <item x="596"/>
        <item x="211"/>
        <item x="958"/>
        <item x="937"/>
        <item x="330"/>
        <item x="643"/>
        <item x="70"/>
        <item x="160"/>
        <item x="650"/>
        <item x="166"/>
        <item x="1017"/>
        <item x="303"/>
        <item x="931"/>
        <item x="1088"/>
        <item x="997"/>
        <item x="244"/>
        <item x="548"/>
        <item x="285"/>
        <item x="246"/>
        <item x="589"/>
        <item x="1169"/>
        <item x="947"/>
        <item x="516"/>
        <item x="991"/>
        <item x="71"/>
        <item x="1060"/>
        <item x="301"/>
        <item x="636"/>
        <item x="941"/>
        <item x="606"/>
        <item x="49"/>
        <item x="592"/>
        <item x="743"/>
        <item x="683"/>
        <item x="1050"/>
        <item x="902"/>
        <item x="703"/>
        <item x="138"/>
        <item x="892"/>
        <item x="42"/>
        <item x="186"/>
        <item x="1095"/>
        <item x="58"/>
        <item x="845"/>
        <item x="1103"/>
        <item x="429"/>
        <item x="392"/>
        <item x="144"/>
        <item x="955"/>
        <item x="427"/>
        <item x="72"/>
        <item x="1022"/>
        <item x="328"/>
        <item x="294"/>
        <item x="66"/>
        <item x="779"/>
        <item x="605"/>
        <item x="896"/>
        <item x="1075"/>
        <item x="451"/>
        <item x="956"/>
        <item x="264"/>
        <item x="1033"/>
        <item x="382"/>
        <item x="534"/>
        <item x="256"/>
        <item x="471"/>
        <item x="964"/>
        <item x="730"/>
        <item x="1110"/>
        <item x="501"/>
        <item x="780"/>
        <item x="1051"/>
        <item x="286"/>
        <item x="581"/>
        <item x="564"/>
        <item x="19"/>
        <item x="530"/>
        <item x="842"/>
        <item x="110"/>
        <item x="841"/>
        <item x="668"/>
        <item x="194"/>
        <item x="268"/>
        <item x="537"/>
        <item x="88"/>
        <item x="919"/>
        <item x="267"/>
        <item x="618"/>
        <item x="1065"/>
        <item x="660"/>
        <item x="856"/>
        <item x="1069"/>
        <item x="922"/>
        <item x="153"/>
        <item x="547"/>
        <item x="750"/>
        <item x="1114"/>
        <item x="503"/>
        <item x="275"/>
        <item x="1120"/>
        <item x="815"/>
        <item x="415"/>
        <item x="574"/>
        <item x="1014"/>
        <item x="1154"/>
        <item x="184"/>
        <item x="274"/>
        <item x="957"/>
        <item x="552"/>
        <item x="911"/>
        <item x="351"/>
        <item x="810"/>
        <item x="106"/>
        <item x="961"/>
        <item x="830"/>
        <item x="1037"/>
        <item x="307"/>
        <item x="1035"/>
        <item x="789"/>
        <item x="761"/>
        <item x="678"/>
        <item x="217"/>
        <item x="171"/>
        <item x="1076"/>
        <item x="808"/>
        <item x="531"/>
        <item x="1071"/>
        <item x="932"/>
        <item x="951"/>
        <item x="335"/>
        <item x="13"/>
        <item x="38"/>
        <item x="533"/>
        <item x="754"/>
        <item x="1027"/>
        <item x="242"/>
        <item x="181"/>
        <item x="615"/>
        <item x="120"/>
        <item x="204"/>
        <item x="1173"/>
        <item x="57"/>
        <item x="176"/>
        <item x="535"/>
        <item x="792"/>
        <item x="474"/>
        <item x="559"/>
        <item x="227"/>
        <item x="707"/>
        <item x="1063"/>
        <item x="1025"/>
        <item x="826"/>
        <item x="238"/>
        <item x="54"/>
        <item x="1105"/>
        <item x="763"/>
        <item x="147"/>
        <item x="207"/>
        <item x="249"/>
        <item x="604"/>
        <item x="1004"/>
        <item x="506"/>
        <item x="316"/>
        <item x="1072"/>
        <item x="1092"/>
        <item x="212"/>
        <item x="311"/>
        <item x="7"/>
        <item x="133"/>
        <item x="715"/>
        <item x="1151"/>
        <item x="903"/>
        <item x="203"/>
        <item x="1070"/>
        <item x="187"/>
        <item x="89"/>
        <item x="64"/>
        <item x="784"/>
        <item x="337"/>
        <item x="740"/>
        <item x="776"/>
        <item x="1135"/>
        <item x="43"/>
        <item x="834"/>
        <item x="306"/>
        <item x="331"/>
        <item x="580"/>
        <item x="157"/>
        <item x="99"/>
        <item x="4"/>
        <item x="706"/>
        <item x="48"/>
        <item x="912"/>
        <item x="753"/>
        <item x="417"/>
        <item x="576"/>
        <item x="10"/>
        <item x="1168"/>
        <item x="1000"/>
        <item x="1026"/>
        <item x="724"/>
        <item x="558"/>
        <item x="723"/>
        <item x="361"/>
        <item x="988"/>
        <item x="367"/>
        <item x="263"/>
        <item x="729"/>
        <item x="582"/>
        <item x="365"/>
        <item x="734"/>
        <item x="208"/>
        <item x="539"/>
        <item x="920"/>
        <item x="562"/>
        <item x="549"/>
        <item x="16"/>
        <item x="993"/>
        <item x="223"/>
        <item x="811"/>
        <item x="290"/>
        <item x="970"/>
        <item x="84"/>
        <item x="653"/>
        <item x="119"/>
        <item x="570"/>
        <item x="554"/>
        <item x="770"/>
        <item x="690"/>
        <item x="26"/>
        <item x="575"/>
        <item x="546"/>
        <item x="781"/>
        <item x="1023"/>
        <item x="126"/>
        <item x="1097"/>
        <item x="222"/>
        <item x="1015"/>
        <item x="225"/>
        <item x="769"/>
        <item x="870"/>
        <item x="904"/>
        <item x="260"/>
        <item x="890"/>
        <item x="1040"/>
        <item x="742"/>
        <item x="325"/>
        <item x="132"/>
        <item x="333"/>
        <item x="1126"/>
        <item x="188"/>
        <item x="421"/>
        <item x="998"/>
        <item x="317"/>
        <item x="708"/>
        <item x="251"/>
        <item x="1098"/>
        <item x="782"/>
        <item x="206"/>
        <item x="261"/>
        <item x="27"/>
        <item x="423"/>
        <item x="623"/>
        <item x="801"/>
        <item x="759"/>
        <item x="1045"/>
        <item x="381"/>
        <item x="626"/>
        <item x="1059"/>
        <item x="192"/>
        <item x="614"/>
        <item x="154"/>
        <item x="1158"/>
        <item x="327"/>
        <item x="748"/>
        <item x="817"/>
        <item x="746"/>
        <item x="163"/>
        <item x="202"/>
        <item x="644"/>
        <item x="1108"/>
        <item x="373"/>
        <item x="405"/>
        <item x="253"/>
        <item x="353"/>
        <item x="231"/>
        <item x="291"/>
        <item x="496"/>
        <item x="165"/>
        <item x="514"/>
        <item x="459"/>
        <item x="974"/>
        <item x="326"/>
        <item x="1164"/>
        <item x="646"/>
        <item x="348"/>
        <item x="288"/>
        <item x="869"/>
        <item x="1167"/>
        <item x="230"/>
        <item x="1112"/>
        <item x="150"/>
        <item x="1107"/>
        <item x="705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3"/>
        <item x="4"/>
        <item x="1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>
      <items count="12">
        <item x="8"/>
        <item x="3"/>
        <item x="5"/>
        <item x="0"/>
        <item x="10"/>
        <item x="6"/>
        <item x="2"/>
        <item x="1"/>
        <item x="7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">
        <item x="1"/>
        <item x="4"/>
        <item x="7"/>
        <item x="0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icket Flag" fld="29" baseField="0" baseItem="0"/>
  </dataFields>
  <formats count="3">
    <format dxfId="27">
      <pivotArea type="all" dataOnly="0" outline="0" fieldPosition="0"/>
    </format>
    <format dxfId="26">
      <pivotArea dataOnly="0" labelOnly="1" outline="0" axis="axisValues" fieldPosition="0"/>
    </format>
    <format dxfId="25">
      <pivotArea outline="0" collapsedLevelsAreSubtotals="1" fieldPosition="0"/>
    </format>
  </formats>
  <chartFormats count="4"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BD2FC-3F59-470A-B504-280E9B23BFE3}" name="Tabela dinâmica1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I1:I2" firstHeaderRow="1" firstDataRow="1" firstDataCol="0"/>
  <pivotFields count="38">
    <pivotField showAll="0"/>
    <pivotField showAll="0"/>
    <pivotField numFmtId="22" showAll="0">
      <items count="1180">
        <item x="388"/>
        <item x="289"/>
        <item x="619"/>
        <item x="329"/>
        <item x="115"/>
        <item x="350"/>
        <item x="338"/>
        <item x="809"/>
        <item x="657"/>
        <item x="1090"/>
        <item x="609"/>
        <item x="1"/>
        <item x="613"/>
        <item x="39"/>
        <item x="243"/>
        <item x="980"/>
        <item x="853"/>
        <item x="248"/>
        <item x="152"/>
        <item x="515"/>
        <item x="775"/>
        <item x="973"/>
        <item x="364"/>
        <item x="102"/>
        <item x="1042"/>
        <item x="652"/>
        <item x="635"/>
        <item x="797"/>
        <item x="395"/>
        <item x="393"/>
        <item x="1123"/>
        <item x="679"/>
        <item x="917"/>
        <item x="996"/>
        <item x="358"/>
        <item x="542"/>
        <item x="716"/>
        <item x="450"/>
        <item x="1087"/>
        <item x="924"/>
        <item x="484"/>
        <item x="416"/>
        <item x="711"/>
        <item x="494"/>
        <item x="258"/>
        <item x="598"/>
        <item x="966"/>
        <item x="944"/>
        <item x="386"/>
        <item x="502"/>
        <item x="1143"/>
        <item x="629"/>
        <item x="175"/>
        <item x="252"/>
        <item x="322"/>
        <item x="464"/>
        <item x="900"/>
        <item x="766"/>
        <item x="1144"/>
        <item x="721"/>
        <item x="1178"/>
        <item x="772"/>
        <item x="905"/>
        <item x="122"/>
        <item x="201"/>
        <item x="148"/>
        <item x="107"/>
        <item x="453"/>
        <item x="271"/>
        <item x="1118"/>
        <item x="200"/>
        <item x="667"/>
        <item x="787"/>
        <item x="1133"/>
        <item x="444"/>
        <item x="436"/>
        <item x="864"/>
        <item x="908"/>
        <item x="1002"/>
        <item x="701"/>
        <item x="352"/>
        <item x="420"/>
        <item x="1074"/>
        <item x="526"/>
        <item x="1130"/>
        <item x="967"/>
        <item x="934"/>
        <item x="680"/>
        <item x="686"/>
        <item x="257"/>
        <item x="1006"/>
        <item x="477"/>
        <item x="380"/>
        <item x="372"/>
        <item x="560"/>
        <item x="101"/>
        <item x="638"/>
        <item x="8"/>
        <item x="1064"/>
        <item x="490"/>
        <item x="412"/>
        <item x="717"/>
        <item x="906"/>
        <item x="992"/>
        <item x="593"/>
        <item x="61"/>
        <item x="545"/>
        <item x="1116"/>
        <item x="965"/>
        <item x="458"/>
        <item x="406"/>
        <item x="1113"/>
        <item x="164"/>
        <item x="343"/>
        <item x="1161"/>
        <item x="193"/>
        <item x="310"/>
        <item x="232"/>
        <item x="863"/>
        <item x="1008"/>
        <item x="791"/>
        <item x="216"/>
        <item x="377"/>
        <item x="141"/>
        <item x="625"/>
        <item x="666"/>
        <item x="739"/>
        <item x="77"/>
        <item x="178"/>
        <item x="696"/>
        <item x="510"/>
        <item x="134"/>
        <item x="691"/>
        <item x="116"/>
        <item x="50"/>
        <item x="276"/>
        <item x="198"/>
        <item x="456"/>
        <item x="12"/>
        <item x="586"/>
        <item x="637"/>
        <item x="818"/>
        <item x="1124"/>
        <item x="622"/>
        <item x="563"/>
        <item x="793"/>
        <item x="1044"/>
        <item x="397"/>
        <item x="1139"/>
        <item x="827"/>
        <item x="719"/>
        <item x="760"/>
        <item x="765"/>
        <item x="587"/>
        <item x="52"/>
        <item x="822"/>
        <item x="336"/>
        <item x="1109"/>
        <item x="813"/>
        <item x="445"/>
        <item x="229"/>
        <item x="561"/>
        <item x="1001"/>
        <item x="1021"/>
        <item x="183"/>
        <item x="1036"/>
        <item x="487"/>
        <item x="982"/>
        <item x="985"/>
        <item x="751"/>
        <item x="851"/>
        <item x="224"/>
        <item x="884"/>
        <item x="1140"/>
        <item x="76"/>
        <item x="196"/>
        <item x="31"/>
        <item x="752"/>
        <item x="1020"/>
        <item x="473"/>
        <item x="499"/>
        <item x="345"/>
        <item x="886"/>
        <item x="948"/>
        <item x="33"/>
        <item x="220"/>
        <item x="1091"/>
        <item x="738"/>
        <item x="389"/>
        <item x="1171"/>
        <item x="528"/>
        <item x="37"/>
        <item x="162"/>
        <item x="747"/>
        <item x="718"/>
        <item x="1125"/>
        <item x="601"/>
        <item x="785"/>
        <item x="1094"/>
        <item x="1058"/>
        <item x="645"/>
        <item x="857"/>
        <item x="901"/>
        <item x="828"/>
        <item x="485"/>
        <item x="726"/>
        <item x="1028"/>
        <item x="438"/>
        <item x="819"/>
        <item x="628"/>
        <item x="113"/>
        <item x="633"/>
        <item x="1019"/>
        <item x="522"/>
        <item x="881"/>
        <item x="914"/>
        <item x="15"/>
        <item x="875"/>
        <item x="226"/>
        <item x="215"/>
        <item x="182"/>
        <item x="889"/>
        <item x="698"/>
        <item x="600"/>
        <item x="1155"/>
        <item x="159"/>
        <item x="850"/>
        <item x="277"/>
        <item x="90"/>
        <item x="762"/>
        <item x="512"/>
        <item x="663"/>
        <item x="6"/>
        <item x="712"/>
        <item x="1093"/>
        <item x="933"/>
        <item x="197"/>
        <item x="513"/>
        <item x="1099"/>
        <item x="925"/>
        <item x="1150"/>
        <item x="298"/>
        <item x="86"/>
        <item x="413"/>
        <item x="404"/>
        <item x="755"/>
        <item x="661"/>
        <item x="443"/>
        <item x="909"/>
        <item x="786"/>
        <item x="430"/>
        <item x="1052"/>
        <item x="868"/>
        <item x="984"/>
        <item x="677"/>
        <item x="73"/>
        <item x="1134"/>
        <item x="1106"/>
        <item x="14"/>
        <item x="379"/>
        <item x="433"/>
        <item x="979"/>
        <item x="262"/>
        <item x="168"/>
        <item x="517"/>
        <item x="142"/>
        <item x="295"/>
        <item x="75"/>
        <item x="720"/>
        <item x="1145"/>
        <item x="836"/>
        <item x="65"/>
        <item x="344"/>
        <item x="1083"/>
        <item x="1048"/>
        <item x="616"/>
        <item x="195"/>
        <item x="866"/>
        <item x="995"/>
        <item x="112"/>
        <item x="745"/>
        <item x="463"/>
        <item x="639"/>
        <item x="624"/>
        <item x="375"/>
        <item x="1061"/>
        <item x="987"/>
        <item x="915"/>
        <item x="401"/>
        <item x="233"/>
        <item x="394"/>
        <item x="954"/>
        <item x="1046"/>
        <item x="1081"/>
        <item x="648"/>
        <item x="689"/>
        <item x="1117"/>
        <item x="521"/>
        <item x="340"/>
        <item x="123"/>
        <item x="332"/>
        <item x="962"/>
        <item x="612"/>
        <item x="472"/>
        <item x="651"/>
        <item x="509"/>
        <item x="873"/>
        <item x="127"/>
        <item x="179"/>
        <item x="1121"/>
        <item x="40"/>
        <item x="1024"/>
        <item x="213"/>
        <item x="697"/>
        <item x="240"/>
        <item x="1166"/>
        <item x="599"/>
        <item x="279"/>
        <item x="839"/>
        <item x="898"/>
        <item x="735"/>
        <item x="121"/>
        <item x="235"/>
        <item x="923"/>
        <item x="669"/>
        <item x="191"/>
        <item x="489"/>
        <item x="1018"/>
        <item x="771"/>
        <item x="682"/>
        <item x="969"/>
        <item x="321"/>
        <item x="807"/>
        <item x="128"/>
        <item x="410"/>
        <item x="462"/>
        <item x="773"/>
        <item x="899"/>
        <item x="672"/>
        <item x="649"/>
        <item x="823"/>
        <item x="654"/>
        <item x="273"/>
        <item x="409"/>
        <item x="837"/>
        <item x="935"/>
        <item x="454"/>
        <item x="1056"/>
        <item x="913"/>
        <item x="1038"/>
        <item x="29"/>
        <item x="109"/>
        <item x="457"/>
        <item x="418"/>
        <item x="1047"/>
        <item x="339"/>
        <item x="709"/>
        <item x="662"/>
        <item x="468"/>
        <item x="874"/>
        <item x="681"/>
        <item x="320"/>
        <item x="384"/>
        <item x="370"/>
        <item x="221"/>
        <item x="872"/>
        <item x="971"/>
        <item x="504"/>
        <item x="994"/>
        <item x="59"/>
        <item x="1031"/>
        <item x="540"/>
        <item x="497"/>
        <item x="269"/>
        <item x="1055"/>
        <item x="366"/>
        <item x="270"/>
        <item x="95"/>
        <item x="1102"/>
        <item x="91"/>
        <item x="778"/>
        <item x="916"/>
        <item x="848"/>
        <item x="83"/>
        <item x="634"/>
        <item x="722"/>
        <item x="1137"/>
        <item x="1141"/>
        <item x="918"/>
        <item x="81"/>
        <item x="172"/>
        <item x="508"/>
        <item x="1068"/>
        <item x="1152"/>
        <item x="936"/>
        <item x="536"/>
        <item x="145"/>
        <item x="24"/>
        <item x="411"/>
        <item x="578"/>
        <item x="498"/>
        <item x="93"/>
        <item x="555"/>
        <item x="363"/>
        <item x="1053"/>
        <item x="449"/>
        <item x="1122"/>
        <item x="664"/>
        <item x="342"/>
        <item x="272"/>
        <item x="96"/>
        <item x="1170"/>
        <item x="480"/>
        <item x="396"/>
        <item x="1147"/>
        <item x="467"/>
        <item x="78"/>
        <item x="846"/>
        <item x="80"/>
        <item x="169"/>
        <item x="486"/>
        <item x="180"/>
        <item x="402"/>
        <item x="62"/>
        <item x="518"/>
        <item x="34"/>
        <item x="1131"/>
        <item x="945"/>
        <item x="802"/>
        <item x="190"/>
        <item x="105"/>
        <item x="553"/>
        <item x="266"/>
        <item x="85"/>
        <item x="812"/>
        <item x="655"/>
        <item x="692"/>
        <item x="1057"/>
        <item x="470"/>
        <item x="568"/>
        <item x="579"/>
        <item x="481"/>
        <item x="551"/>
        <item x="36"/>
        <item x="349"/>
        <item x="241"/>
        <item x="18"/>
        <item x="800"/>
        <item x="880"/>
        <item x="161"/>
        <item x="774"/>
        <item x="318"/>
        <item x="929"/>
        <item x="878"/>
        <item x="849"/>
        <item x="25"/>
        <item x="767"/>
        <item x="1156"/>
        <item x="1128"/>
        <item x="942"/>
        <item x="403"/>
        <item x="674"/>
        <item x="1115"/>
        <item x="1043"/>
        <item x="422"/>
        <item x="990"/>
        <item x="1067"/>
        <item x="371"/>
        <item x="315"/>
        <item x="983"/>
        <item x="210"/>
        <item x="447"/>
        <item x="544"/>
        <item x="282"/>
        <item x="491"/>
        <item x="768"/>
        <item x="281"/>
        <item x="284"/>
        <item x="399"/>
        <item x="647"/>
        <item x="177"/>
        <item x="448"/>
        <item x="234"/>
        <item x="5"/>
        <item x="591"/>
        <item x="21"/>
        <item x="511"/>
        <item x="362"/>
        <item x="1085"/>
        <item x="1009"/>
        <item x="385"/>
        <item x="108"/>
        <item x="879"/>
        <item x="550"/>
        <item x="250"/>
        <item x="571"/>
        <item x="1034"/>
        <item x="796"/>
        <item x="583"/>
        <item x="0"/>
        <item x="435"/>
        <item x="60"/>
        <item x="482"/>
        <item x="963"/>
        <item x="656"/>
        <item x="541"/>
        <item x="97"/>
        <item x="400"/>
        <item x="862"/>
        <item x="1084"/>
        <item x="977"/>
        <item x="926"/>
        <item x="17"/>
        <item x="1160"/>
        <item x="749"/>
        <item x="360"/>
        <item x="185"/>
        <item x="398"/>
        <item x="374"/>
        <item x="1011"/>
        <item x="300"/>
        <item x="829"/>
        <item x="928"/>
        <item x="1086"/>
        <item x="693"/>
        <item x="103"/>
        <item x="543"/>
        <item x="883"/>
        <item x="478"/>
        <item x="283"/>
        <item x="838"/>
        <item x="972"/>
        <item x="369"/>
        <item x="1127"/>
        <item x="114"/>
        <item x="1162"/>
        <item x="461"/>
        <item x="1039"/>
        <item x="893"/>
        <item x="323"/>
        <item x="302"/>
        <item x="82"/>
        <item x="687"/>
        <item x="1111"/>
        <item x="670"/>
        <item x="658"/>
        <item x="608"/>
        <item x="98"/>
        <item x="1175"/>
        <item x="610"/>
        <item x="94"/>
        <item x="1132"/>
        <item x="63"/>
        <item x="665"/>
        <item x="695"/>
        <item x="390"/>
        <item x="460"/>
        <item x="425"/>
        <item x="476"/>
        <item x="324"/>
        <item x="876"/>
        <item x="2"/>
        <item x="299"/>
        <item x="927"/>
        <item x="118"/>
        <item x="69"/>
        <item x="854"/>
        <item x="30"/>
        <item x="237"/>
        <item x="296"/>
        <item x="520"/>
        <item x="860"/>
        <item x="525"/>
        <item x="22"/>
        <item x="41"/>
        <item x="831"/>
        <item x="209"/>
        <item x="378"/>
        <item x="816"/>
        <item x="265"/>
        <item x="125"/>
        <item x="170"/>
        <item x="1153"/>
        <item x="1136"/>
        <item x="855"/>
        <item x="292"/>
        <item x="859"/>
        <item x="1149"/>
        <item x="1163"/>
        <item x="189"/>
        <item x="23"/>
        <item x="757"/>
        <item x="287"/>
        <item x="603"/>
        <item x="439"/>
        <item x="440"/>
        <item x="214"/>
        <item x="1003"/>
        <item x="173"/>
        <item x="833"/>
        <item x="840"/>
        <item x="488"/>
        <item x="573"/>
        <item x="741"/>
        <item x="989"/>
        <item x="319"/>
        <item x="585"/>
        <item x="946"/>
        <item x="758"/>
        <item x="590"/>
        <item x="820"/>
        <item x="452"/>
        <item x="356"/>
        <item x="588"/>
        <item x="359"/>
        <item x="297"/>
        <item x="505"/>
        <item x="824"/>
        <item x="74"/>
        <item x="566"/>
        <item x="1062"/>
        <item x="500"/>
        <item x="304"/>
        <item x="1029"/>
        <item x="952"/>
        <item x="219"/>
        <item x="556"/>
        <item x="676"/>
        <item x="843"/>
        <item x="844"/>
        <item x="293"/>
        <item x="236"/>
        <item x="1129"/>
        <item x="805"/>
        <item x="1096"/>
        <item x="28"/>
        <item x="368"/>
        <item x="999"/>
        <item x="1176"/>
        <item x="673"/>
        <item x="777"/>
        <item x="685"/>
        <item x="714"/>
        <item x="3"/>
        <item x="986"/>
        <item x="280"/>
        <item x="305"/>
        <item x="218"/>
        <item x="877"/>
        <item x="391"/>
        <item x="523"/>
        <item x="87"/>
        <item x="314"/>
        <item x="174"/>
        <item x="1177"/>
        <item x="659"/>
        <item x="68"/>
        <item x="446"/>
        <item x="67"/>
        <item x="727"/>
        <item x="1101"/>
        <item x="117"/>
        <item x="794"/>
        <item x="959"/>
        <item x="158"/>
        <item x="795"/>
        <item x="495"/>
        <item x="744"/>
        <item x="254"/>
        <item x="960"/>
        <item x="1005"/>
        <item x="572"/>
        <item x="1054"/>
        <item x="1066"/>
        <item x="631"/>
        <item x="790"/>
        <item x="383"/>
        <item x="968"/>
        <item x="736"/>
        <item x="1157"/>
        <item x="466"/>
        <item x="642"/>
        <item x="532"/>
        <item x="308"/>
        <item x="524"/>
        <item x="764"/>
        <item x="1082"/>
        <item x="149"/>
        <item x="527"/>
        <item x="821"/>
        <item x="891"/>
        <item x="1078"/>
        <item x="465"/>
        <item x="684"/>
        <item x="806"/>
        <item x="1041"/>
        <item x="538"/>
        <item x="387"/>
        <item x="1089"/>
        <item x="309"/>
        <item x="1079"/>
        <item x="199"/>
        <item x="407"/>
        <item x="1080"/>
        <item x="55"/>
        <item x="577"/>
        <item x="483"/>
        <item x="155"/>
        <item x="434"/>
        <item x="408"/>
        <item x="641"/>
        <item x="53"/>
        <item x="847"/>
        <item x="865"/>
        <item x="442"/>
        <item x="239"/>
        <item x="688"/>
        <item x="428"/>
        <item x="694"/>
        <item x="728"/>
        <item x="700"/>
        <item x="949"/>
        <item x="804"/>
        <item x="20"/>
        <item x="32"/>
        <item x="699"/>
        <item x="1104"/>
        <item x="597"/>
        <item x="529"/>
        <item x="437"/>
        <item x="92"/>
        <item x="1013"/>
        <item x="139"/>
        <item x="888"/>
        <item x="567"/>
        <item x="137"/>
        <item x="45"/>
        <item x="725"/>
        <item x="594"/>
        <item x="825"/>
        <item x="938"/>
        <item x="814"/>
        <item x="245"/>
        <item x="11"/>
        <item x="1016"/>
        <item x="357"/>
        <item x="46"/>
        <item x="1174"/>
        <item x="1012"/>
        <item x="1119"/>
        <item x="976"/>
        <item x="124"/>
        <item x="788"/>
        <item x="737"/>
        <item x="943"/>
        <item x="426"/>
        <item x="783"/>
        <item x="334"/>
        <item x="140"/>
        <item x="47"/>
        <item x="35"/>
        <item x="111"/>
        <item x="1007"/>
        <item x="475"/>
        <item x="975"/>
        <item x="620"/>
        <item x="704"/>
        <item x="858"/>
        <item x="347"/>
        <item x="1010"/>
        <item x="313"/>
        <item x="702"/>
        <item x="104"/>
        <item x="756"/>
        <item x="431"/>
        <item x="832"/>
        <item x="519"/>
        <item x="627"/>
        <item x="1032"/>
        <item x="432"/>
        <item x="136"/>
        <item x="469"/>
        <item x="1030"/>
        <item x="907"/>
        <item x="247"/>
        <item x="167"/>
        <item x="953"/>
        <item x="803"/>
        <item x="51"/>
        <item x="355"/>
        <item x="479"/>
        <item x="44"/>
        <item x="611"/>
        <item x="1172"/>
        <item x="799"/>
        <item x="131"/>
        <item x="897"/>
        <item x="871"/>
        <item x="1159"/>
        <item x="1142"/>
        <item x="228"/>
        <item x="617"/>
        <item x="640"/>
        <item x="569"/>
        <item x="414"/>
        <item x="135"/>
        <item x="146"/>
        <item x="455"/>
        <item x="424"/>
        <item x="565"/>
        <item x="205"/>
        <item x="950"/>
        <item x="978"/>
        <item x="882"/>
        <item x="1148"/>
        <item x="930"/>
        <item x="602"/>
        <item x="852"/>
        <item x="798"/>
        <item x="129"/>
        <item x="312"/>
        <item x="9"/>
        <item x="861"/>
        <item x="1165"/>
        <item x="733"/>
        <item x="1138"/>
        <item x="341"/>
        <item x="887"/>
        <item x="885"/>
        <item x="130"/>
        <item x="895"/>
        <item x="710"/>
        <item x="910"/>
        <item x="630"/>
        <item x="419"/>
        <item x="507"/>
        <item x="278"/>
        <item x="632"/>
        <item x="595"/>
        <item x="354"/>
        <item x="621"/>
        <item x="894"/>
        <item x="79"/>
        <item x="732"/>
        <item x="100"/>
        <item x="584"/>
        <item x="940"/>
        <item x="1073"/>
        <item x="731"/>
        <item x="1077"/>
        <item x="1146"/>
        <item x="493"/>
        <item x="557"/>
        <item x="1049"/>
        <item x="259"/>
        <item x="376"/>
        <item x="255"/>
        <item x="921"/>
        <item x="492"/>
        <item x="713"/>
        <item x="156"/>
        <item x="346"/>
        <item x="939"/>
        <item x="441"/>
        <item x="151"/>
        <item x="835"/>
        <item x="675"/>
        <item x="981"/>
        <item x="143"/>
        <item x="671"/>
        <item x="56"/>
        <item x="1100"/>
        <item x="867"/>
        <item x="607"/>
        <item x="596"/>
        <item x="211"/>
        <item x="958"/>
        <item x="937"/>
        <item x="330"/>
        <item x="643"/>
        <item x="70"/>
        <item x="160"/>
        <item x="650"/>
        <item x="166"/>
        <item x="1017"/>
        <item x="303"/>
        <item x="931"/>
        <item x="1088"/>
        <item x="997"/>
        <item x="244"/>
        <item x="548"/>
        <item x="285"/>
        <item x="246"/>
        <item x="589"/>
        <item x="1169"/>
        <item x="947"/>
        <item x="516"/>
        <item x="991"/>
        <item x="71"/>
        <item x="1060"/>
        <item x="301"/>
        <item x="636"/>
        <item x="941"/>
        <item x="606"/>
        <item x="49"/>
        <item x="592"/>
        <item x="743"/>
        <item x="683"/>
        <item x="1050"/>
        <item x="902"/>
        <item x="703"/>
        <item x="138"/>
        <item x="892"/>
        <item x="42"/>
        <item x="186"/>
        <item x="1095"/>
        <item x="58"/>
        <item x="845"/>
        <item x="1103"/>
        <item x="429"/>
        <item x="392"/>
        <item x="144"/>
        <item x="955"/>
        <item x="427"/>
        <item x="72"/>
        <item x="1022"/>
        <item x="328"/>
        <item x="294"/>
        <item x="66"/>
        <item x="779"/>
        <item x="605"/>
        <item x="896"/>
        <item x="1075"/>
        <item x="451"/>
        <item x="956"/>
        <item x="264"/>
        <item x="1033"/>
        <item x="382"/>
        <item x="534"/>
        <item x="256"/>
        <item x="471"/>
        <item x="964"/>
        <item x="730"/>
        <item x="1110"/>
        <item x="501"/>
        <item x="780"/>
        <item x="1051"/>
        <item x="286"/>
        <item x="581"/>
        <item x="564"/>
        <item x="19"/>
        <item x="530"/>
        <item x="842"/>
        <item x="110"/>
        <item x="841"/>
        <item x="668"/>
        <item x="194"/>
        <item x="268"/>
        <item x="537"/>
        <item x="88"/>
        <item x="919"/>
        <item x="267"/>
        <item x="618"/>
        <item x="1065"/>
        <item x="660"/>
        <item x="856"/>
        <item x="1069"/>
        <item x="922"/>
        <item x="153"/>
        <item x="547"/>
        <item x="750"/>
        <item x="1114"/>
        <item x="503"/>
        <item x="275"/>
        <item x="1120"/>
        <item x="815"/>
        <item x="415"/>
        <item x="574"/>
        <item x="1014"/>
        <item x="1154"/>
        <item x="184"/>
        <item x="274"/>
        <item x="957"/>
        <item x="552"/>
        <item x="911"/>
        <item x="351"/>
        <item x="810"/>
        <item x="106"/>
        <item x="961"/>
        <item x="830"/>
        <item x="1037"/>
        <item x="307"/>
        <item x="1035"/>
        <item x="789"/>
        <item x="761"/>
        <item x="678"/>
        <item x="217"/>
        <item x="171"/>
        <item x="1076"/>
        <item x="808"/>
        <item x="531"/>
        <item x="1071"/>
        <item x="932"/>
        <item x="951"/>
        <item x="335"/>
        <item x="13"/>
        <item x="38"/>
        <item x="533"/>
        <item x="754"/>
        <item x="1027"/>
        <item x="242"/>
        <item x="181"/>
        <item x="615"/>
        <item x="120"/>
        <item x="204"/>
        <item x="1173"/>
        <item x="57"/>
        <item x="176"/>
        <item x="535"/>
        <item x="792"/>
        <item x="474"/>
        <item x="559"/>
        <item x="227"/>
        <item x="707"/>
        <item x="1063"/>
        <item x="1025"/>
        <item x="826"/>
        <item x="238"/>
        <item x="54"/>
        <item x="1105"/>
        <item x="763"/>
        <item x="147"/>
        <item x="207"/>
        <item x="249"/>
        <item x="604"/>
        <item x="1004"/>
        <item x="506"/>
        <item x="316"/>
        <item x="1072"/>
        <item x="1092"/>
        <item x="212"/>
        <item x="311"/>
        <item x="7"/>
        <item x="133"/>
        <item x="715"/>
        <item x="1151"/>
        <item x="903"/>
        <item x="203"/>
        <item x="1070"/>
        <item x="187"/>
        <item x="89"/>
        <item x="64"/>
        <item x="784"/>
        <item x="337"/>
        <item x="740"/>
        <item x="776"/>
        <item x="1135"/>
        <item x="43"/>
        <item x="834"/>
        <item x="306"/>
        <item x="331"/>
        <item x="580"/>
        <item x="157"/>
        <item x="99"/>
        <item x="4"/>
        <item x="706"/>
        <item x="48"/>
        <item x="912"/>
        <item x="753"/>
        <item x="417"/>
        <item x="576"/>
        <item x="10"/>
        <item x="1168"/>
        <item x="1000"/>
        <item x="1026"/>
        <item x="724"/>
        <item x="558"/>
        <item x="723"/>
        <item x="361"/>
        <item x="988"/>
        <item x="367"/>
        <item x="263"/>
        <item x="729"/>
        <item x="582"/>
        <item x="365"/>
        <item x="734"/>
        <item x="208"/>
        <item x="539"/>
        <item x="920"/>
        <item x="562"/>
        <item x="549"/>
        <item x="16"/>
        <item x="993"/>
        <item x="223"/>
        <item x="811"/>
        <item x="290"/>
        <item x="970"/>
        <item x="84"/>
        <item x="653"/>
        <item x="119"/>
        <item x="570"/>
        <item x="554"/>
        <item x="770"/>
        <item x="690"/>
        <item x="26"/>
        <item x="575"/>
        <item x="546"/>
        <item x="781"/>
        <item x="1023"/>
        <item x="126"/>
        <item x="1097"/>
        <item x="222"/>
        <item x="1015"/>
        <item x="225"/>
        <item x="769"/>
        <item x="870"/>
        <item x="904"/>
        <item x="260"/>
        <item x="890"/>
        <item x="1040"/>
        <item x="742"/>
        <item x="325"/>
        <item x="132"/>
        <item x="333"/>
        <item x="1126"/>
        <item x="188"/>
        <item x="421"/>
        <item x="998"/>
        <item x="317"/>
        <item x="708"/>
        <item x="251"/>
        <item x="1098"/>
        <item x="782"/>
        <item x="206"/>
        <item x="261"/>
        <item x="27"/>
        <item x="423"/>
        <item x="623"/>
        <item x="801"/>
        <item x="759"/>
        <item x="1045"/>
        <item x="381"/>
        <item x="626"/>
        <item x="1059"/>
        <item x="192"/>
        <item x="614"/>
        <item x="154"/>
        <item x="1158"/>
        <item x="327"/>
        <item x="748"/>
        <item x="817"/>
        <item x="746"/>
        <item x="163"/>
        <item x="202"/>
        <item x="644"/>
        <item x="1108"/>
        <item x="373"/>
        <item x="405"/>
        <item x="253"/>
        <item x="353"/>
        <item x="231"/>
        <item x="291"/>
        <item x="496"/>
        <item x="165"/>
        <item x="514"/>
        <item x="459"/>
        <item x="974"/>
        <item x="326"/>
        <item x="1164"/>
        <item x="646"/>
        <item x="348"/>
        <item x="288"/>
        <item x="869"/>
        <item x="1167"/>
        <item x="230"/>
        <item x="1112"/>
        <item x="150"/>
        <item x="1107"/>
        <item x="705"/>
        <item t="default"/>
      </items>
    </pivotField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3"/>
        <item x="4"/>
        <item x="1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>
      <items count="12">
        <item x="8"/>
        <item x="3"/>
        <item x="5"/>
        <item x="0"/>
        <item x="10"/>
        <item x="6"/>
        <item x="2"/>
        <item x="1"/>
        <item x="7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">
        <item x="1"/>
        <item x="4"/>
        <item x="7"/>
        <item x="0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Escalation Rate" fld="33" subtotal="average" baseField="0" baseItem="0" numFmtId="9"/>
  </dataFields>
  <formats count="3">
    <format dxfId="30">
      <pivotArea type="all" dataOnly="0" outline="0" fieldPosition="0"/>
    </format>
    <format dxfId="29">
      <pivotArea dataOnly="0" labelOnly="1" outline="0" axis="axisValues" fieldPosition="0"/>
    </format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EF6E9-AFC3-4DD3-B98F-C1893C333710}" name="Tabela dinâmica9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E1:E2" firstHeaderRow="1" firstDataRow="1" firstDataCol="0"/>
  <pivotFields count="38">
    <pivotField showAll="0"/>
    <pivotField showAll="0"/>
    <pivotField numFmtId="22" showAll="0">
      <items count="1180">
        <item x="388"/>
        <item x="289"/>
        <item x="619"/>
        <item x="329"/>
        <item x="115"/>
        <item x="350"/>
        <item x="338"/>
        <item x="809"/>
        <item x="657"/>
        <item x="1090"/>
        <item x="609"/>
        <item x="1"/>
        <item x="613"/>
        <item x="39"/>
        <item x="243"/>
        <item x="980"/>
        <item x="853"/>
        <item x="248"/>
        <item x="152"/>
        <item x="515"/>
        <item x="775"/>
        <item x="973"/>
        <item x="364"/>
        <item x="102"/>
        <item x="1042"/>
        <item x="652"/>
        <item x="635"/>
        <item x="797"/>
        <item x="395"/>
        <item x="393"/>
        <item x="1123"/>
        <item x="679"/>
        <item x="917"/>
        <item x="996"/>
        <item x="358"/>
        <item x="542"/>
        <item x="716"/>
        <item x="450"/>
        <item x="1087"/>
        <item x="924"/>
        <item x="484"/>
        <item x="416"/>
        <item x="711"/>
        <item x="494"/>
        <item x="258"/>
        <item x="598"/>
        <item x="966"/>
        <item x="944"/>
        <item x="386"/>
        <item x="502"/>
        <item x="1143"/>
        <item x="629"/>
        <item x="175"/>
        <item x="252"/>
        <item x="322"/>
        <item x="464"/>
        <item x="900"/>
        <item x="766"/>
        <item x="1144"/>
        <item x="721"/>
        <item x="1178"/>
        <item x="772"/>
        <item x="905"/>
        <item x="122"/>
        <item x="201"/>
        <item x="148"/>
        <item x="107"/>
        <item x="453"/>
        <item x="271"/>
        <item x="1118"/>
        <item x="200"/>
        <item x="667"/>
        <item x="787"/>
        <item x="1133"/>
        <item x="444"/>
        <item x="436"/>
        <item x="864"/>
        <item x="908"/>
        <item x="1002"/>
        <item x="701"/>
        <item x="352"/>
        <item x="420"/>
        <item x="1074"/>
        <item x="526"/>
        <item x="1130"/>
        <item x="967"/>
        <item x="934"/>
        <item x="680"/>
        <item x="686"/>
        <item x="257"/>
        <item x="1006"/>
        <item x="477"/>
        <item x="380"/>
        <item x="372"/>
        <item x="560"/>
        <item x="101"/>
        <item x="638"/>
        <item x="8"/>
        <item x="1064"/>
        <item x="490"/>
        <item x="412"/>
        <item x="717"/>
        <item x="906"/>
        <item x="992"/>
        <item x="593"/>
        <item x="61"/>
        <item x="545"/>
        <item x="1116"/>
        <item x="965"/>
        <item x="458"/>
        <item x="406"/>
        <item x="1113"/>
        <item x="164"/>
        <item x="343"/>
        <item x="1161"/>
        <item x="193"/>
        <item x="310"/>
        <item x="232"/>
        <item x="863"/>
        <item x="1008"/>
        <item x="791"/>
        <item x="216"/>
        <item x="377"/>
        <item x="141"/>
        <item x="625"/>
        <item x="666"/>
        <item x="739"/>
        <item x="77"/>
        <item x="178"/>
        <item x="696"/>
        <item x="510"/>
        <item x="134"/>
        <item x="691"/>
        <item x="116"/>
        <item x="50"/>
        <item x="276"/>
        <item x="198"/>
        <item x="456"/>
        <item x="12"/>
        <item x="586"/>
        <item x="637"/>
        <item x="818"/>
        <item x="1124"/>
        <item x="622"/>
        <item x="563"/>
        <item x="793"/>
        <item x="1044"/>
        <item x="397"/>
        <item x="1139"/>
        <item x="827"/>
        <item x="719"/>
        <item x="760"/>
        <item x="765"/>
        <item x="587"/>
        <item x="52"/>
        <item x="822"/>
        <item x="336"/>
        <item x="1109"/>
        <item x="813"/>
        <item x="445"/>
        <item x="229"/>
        <item x="561"/>
        <item x="1001"/>
        <item x="1021"/>
        <item x="183"/>
        <item x="1036"/>
        <item x="487"/>
        <item x="982"/>
        <item x="985"/>
        <item x="751"/>
        <item x="851"/>
        <item x="224"/>
        <item x="884"/>
        <item x="1140"/>
        <item x="76"/>
        <item x="196"/>
        <item x="31"/>
        <item x="752"/>
        <item x="1020"/>
        <item x="473"/>
        <item x="499"/>
        <item x="345"/>
        <item x="886"/>
        <item x="948"/>
        <item x="33"/>
        <item x="220"/>
        <item x="1091"/>
        <item x="738"/>
        <item x="389"/>
        <item x="1171"/>
        <item x="528"/>
        <item x="37"/>
        <item x="162"/>
        <item x="747"/>
        <item x="718"/>
        <item x="1125"/>
        <item x="601"/>
        <item x="785"/>
        <item x="1094"/>
        <item x="1058"/>
        <item x="645"/>
        <item x="857"/>
        <item x="901"/>
        <item x="828"/>
        <item x="485"/>
        <item x="726"/>
        <item x="1028"/>
        <item x="438"/>
        <item x="819"/>
        <item x="628"/>
        <item x="113"/>
        <item x="633"/>
        <item x="1019"/>
        <item x="522"/>
        <item x="881"/>
        <item x="914"/>
        <item x="15"/>
        <item x="875"/>
        <item x="226"/>
        <item x="215"/>
        <item x="182"/>
        <item x="889"/>
        <item x="698"/>
        <item x="600"/>
        <item x="1155"/>
        <item x="159"/>
        <item x="850"/>
        <item x="277"/>
        <item x="90"/>
        <item x="762"/>
        <item x="512"/>
        <item x="663"/>
        <item x="6"/>
        <item x="712"/>
        <item x="1093"/>
        <item x="933"/>
        <item x="197"/>
        <item x="513"/>
        <item x="1099"/>
        <item x="925"/>
        <item x="1150"/>
        <item x="298"/>
        <item x="86"/>
        <item x="413"/>
        <item x="404"/>
        <item x="755"/>
        <item x="661"/>
        <item x="443"/>
        <item x="909"/>
        <item x="786"/>
        <item x="430"/>
        <item x="1052"/>
        <item x="868"/>
        <item x="984"/>
        <item x="677"/>
        <item x="73"/>
        <item x="1134"/>
        <item x="1106"/>
        <item x="14"/>
        <item x="379"/>
        <item x="433"/>
        <item x="979"/>
        <item x="262"/>
        <item x="168"/>
        <item x="517"/>
        <item x="142"/>
        <item x="295"/>
        <item x="75"/>
        <item x="720"/>
        <item x="1145"/>
        <item x="836"/>
        <item x="65"/>
        <item x="344"/>
        <item x="1083"/>
        <item x="1048"/>
        <item x="616"/>
        <item x="195"/>
        <item x="866"/>
        <item x="995"/>
        <item x="112"/>
        <item x="745"/>
        <item x="463"/>
        <item x="639"/>
        <item x="624"/>
        <item x="375"/>
        <item x="1061"/>
        <item x="987"/>
        <item x="915"/>
        <item x="401"/>
        <item x="233"/>
        <item x="394"/>
        <item x="954"/>
        <item x="1046"/>
        <item x="1081"/>
        <item x="648"/>
        <item x="689"/>
        <item x="1117"/>
        <item x="521"/>
        <item x="340"/>
        <item x="123"/>
        <item x="332"/>
        <item x="962"/>
        <item x="612"/>
        <item x="472"/>
        <item x="651"/>
        <item x="509"/>
        <item x="873"/>
        <item x="127"/>
        <item x="179"/>
        <item x="1121"/>
        <item x="40"/>
        <item x="1024"/>
        <item x="213"/>
        <item x="697"/>
        <item x="240"/>
        <item x="1166"/>
        <item x="599"/>
        <item x="279"/>
        <item x="839"/>
        <item x="898"/>
        <item x="735"/>
        <item x="121"/>
        <item x="235"/>
        <item x="923"/>
        <item x="669"/>
        <item x="191"/>
        <item x="489"/>
        <item x="1018"/>
        <item x="771"/>
        <item x="682"/>
        <item x="969"/>
        <item x="321"/>
        <item x="807"/>
        <item x="128"/>
        <item x="410"/>
        <item x="462"/>
        <item x="773"/>
        <item x="899"/>
        <item x="672"/>
        <item x="649"/>
        <item x="823"/>
        <item x="654"/>
        <item x="273"/>
        <item x="409"/>
        <item x="837"/>
        <item x="935"/>
        <item x="454"/>
        <item x="1056"/>
        <item x="913"/>
        <item x="1038"/>
        <item x="29"/>
        <item x="109"/>
        <item x="457"/>
        <item x="418"/>
        <item x="1047"/>
        <item x="339"/>
        <item x="709"/>
        <item x="662"/>
        <item x="468"/>
        <item x="874"/>
        <item x="681"/>
        <item x="320"/>
        <item x="384"/>
        <item x="370"/>
        <item x="221"/>
        <item x="872"/>
        <item x="971"/>
        <item x="504"/>
        <item x="994"/>
        <item x="59"/>
        <item x="1031"/>
        <item x="540"/>
        <item x="497"/>
        <item x="269"/>
        <item x="1055"/>
        <item x="366"/>
        <item x="270"/>
        <item x="95"/>
        <item x="1102"/>
        <item x="91"/>
        <item x="778"/>
        <item x="916"/>
        <item x="848"/>
        <item x="83"/>
        <item x="634"/>
        <item x="722"/>
        <item x="1137"/>
        <item x="1141"/>
        <item x="918"/>
        <item x="81"/>
        <item x="172"/>
        <item x="508"/>
        <item x="1068"/>
        <item x="1152"/>
        <item x="936"/>
        <item x="536"/>
        <item x="145"/>
        <item x="24"/>
        <item x="411"/>
        <item x="578"/>
        <item x="498"/>
        <item x="93"/>
        <item x="555"/>
        <item x="363"/>
        <item x="1053"/>
        <item x="449"/>
        <item x="1122"/>
        <item x="664"/>
        <item x="342"/>
        <item x="272"/>
        <item x="96"/>
        <item x="1170"/>
        <item x="480"/>
        <item x="396"/>
        <item x="1147"/>
        <item x="467"/>
        <item x="78"/>
        <item x="846"/>
        <item x="80"/>
        <item x="169"/>
        <item x="486"/>
        <item x="180"/>
        <item x="402"/>
        <item x="62"/>
        <item x="518"/>
        <item x="34"/>
        <item x="1131"/>
        <item x="945"/>
        <item x="802"/>
        <item x="190"/>
        <item x="105"/>
        <item x="553"/>
        <item x="266"/>
        <item x="85"/>
        <item x="812"/>
        <item x="655"/>
        <item x="692"/>
        <item x="1057"/>
        <item x="470"/>
        <item x="568"/>
        <item x="579"/>
        <item x="481"/>
        <item x="551"/>
        <item x="36"/>
        <item x="349"/>
        <item x="241"/>
        <item x="18"/>
        <item x="800"/>
        <item x="880"/>
        <item x="161"/>
        <item x="774"/>
        <item x="318"/>
        <item x="929"/>
        <item x="878"/>
        <item x="849"/>
        <item x="25"/>
        <item x="767"/>
        <item x="1156"/>
        <item x="1128"/>
        <item x="942"/>
        <item x="403"/>
        <item x="674"/>
        <item x="1115"/>
        <item x="1043"/>
        <item x="422"/>
        <item x="990"/>
        <item x="1067"/>
        <item x="371"/>
        <item x="315"/>
        <item x="983"/>
        <item x="210"/>
        <item x="447"/>
        <item x="544"/>
        <item x="282"/>
        <item x="491"/>
        <item x="768"/>
        <item x="281"/>
        <item x="284"/>
        <item x="399"/>
        <item x="647"/>
        <item x="177"/>
        <item x="448"/>
        <item x="234"/>
        <item x="5"/>
        <item x="591"/>
        <item x="21"/>
        <item x="511"/>
        <item x="362"/>
        <item x="1085"/>
        <item x="1009"/>
        <item x="385"/>
        <item x="108"/>
        <item x="879"/>
        <item x="550"/>
        <item x="250"/>
        <item x="571"/>
        <item x="1034"/>
        <item x="796"/>
        <item x="583"/>
        <item x="0"/>
        <item x="435"/>
        <item x="60"/>
        <item x="482"/>
        <item x="963"/>
        <item x="656"/>
        <item x="541"/>
        <item x="97"/>
        <item x="400"/>
        <item x="862"/>
        <item x="1084"/>
        <item x="977"/>
        <item x="926"/>
        <item x="17"/>
        <item x="1160"/>
        <item x="749"/>
        <item x="360"/>
        <item x="185"/>
        <item x="398"/>
        <item x="374"/>
        <item x="1011"/>
        <item x="300"/>
        <item x="829"/>
        <item x="928"/>
        <item x="1086"/>
        <item x="693"/>
        <item x="103"/>
        <item x="543"/>
        <item x="883"/>
        <item x="478"/>
        <item x="283"/>
        <item x="838"/>
        <item x="972"/>
        <item x="369"/>
        <item x="1127"/>
        <item x="114"/>
        <item x="1162"/>
        <item x="461"/>
        <item x="1039"/>
        <item x="893"/>
        <item x="323"/>
        <item x="302"/>
        <item x="82"/>
        <item x="687"/>
        <item x="1111"/>
        <item x="670"/>
        <item x="658"/>
        <item x="608"/>
        <item x="98"/>
        <item x="1175"/>
        <item x="610"/>
        <item x="94"/>
        <item x="1132"/>
        <item x="63"/>
        <item x="665"/>
        <item x="695"/>
        <item x="390"/>
        <item x="460"/>
        <item x="425"/>
        <item x="476"/>
        <item x="324"/>
        <item x="876"/>
        <item x="2"/>
        <item x="299"/>
        <item x="927"/>
        <item x="118"/>
        <item x="69"/>
        <item x="854"/>
        <item x="30"/>
        <item x="237"/>
        <item x="296"/>
        <item x="520"/>
        <item x="860"/>
        <item x="525"/>
        <item x="22"/>
        <item x="41"/>
        <item x="831"/>
        <item x="209"/>
        <item x="378"/>
        <item x="816"/>
        <item x="265"/>
        <item x="125"/>
        <item x="170"/>
        <item x="1153"/>
        <item x="1136"/>
        <item x="855"/>
        <item x="292"/>
        <item x="859"/>
        <item x="1149"/>
        <item x="1163"/>
        <item x="189"/>
        <item x="23"/>
        <item x="757"/>
        <item x="287"/>
        <item x="603"/>
        <item x="439"/>
        <item x="440"/>
        <item x="214"/>
        <item x="1003"/>
        <item x="173"/>
        <item x="833"/>
        <item x="840"/>
        <item x="488"/>
        <item x="573"/>
        <item x="741"/>
        <item x="989"/>
        <item x="319"/>
        <item x="585"/>
        <item x="946"/>
        <item x="758"/>
        <item x="590"/>
        <item x="820"/>
        <item x="452"/>
        <item x="356"/>
        <item x="588"/>
        <item x="359"/>
        <item x="297"/>
        <item x="505"/>
        <item x="824"/>
        <item x="74"/>
        <item x="566"/>
        <item x="1062"/>
        <item x="500"/>
        <item x="304"/>
        <item x="1029"/>
        <item x="952"/>
        <item x="219"/>
        <item x="556"/>
        <item x="676"/>
        <item x="843"/>
        <item x="844"/>
        <item x="293"/>
        <item x="236"/>
        <item x="1129"/>
        <item x="805"/>
        <item x="1096"/>
        <item x="28"/>
        <item x="368"/>
        <item x="999"/>
        <item x="1176"/>
        <item x="673"/>
        <item x="777"/>
        <item x="685"/>
        <item x="714"/>
        <item x="3"/>
        <item x="986"/>
        <item x="280"/>
        <item x="305"/>
        <item x="218"/>
        <item x="877"/>
        <item x="391"/>
        <item x="523"/>
        <item x="87"/>
        <item x="314"/>
        <item x="174"/>
        <item x="1177"/>
        <item x="659"/>
        <item x="68"/>
        <item x="446"/>
        <item x="67"/>
        <item x="727"/>
        <item x="1101"/>
        <item x="117"/>
        <item x="794"/>
        <item x="959"/>
        <item x="158"/>
        <item x="795"/>
        <item x="495"/>
        <item x="744"/>
        <item x="254"/>
        <item x="960"/>
        <item x="1005"/>
        <item x="572"/>
        <item x="1054"/>
        <item x="1066"/>
        <item x="631"/>
        <item x="790"/>
        <item x="383"/>
        <item x="968"/>
        <item x="736"/>
        <item x="1157"/>
        <item x="466"/>
        <item x="642"/>
        <item x="532"/>
        <item x="308"/>
        <item x="524"/>
        <item x="764"/>
        <item x="1082"/>
        <item x="149"/>
        <item x="527"/>
        <item x="821"/>
        <item x="891"/>
        <item x="1078"/>
        <item x="465"/>
        <item x="684"/>
        <item x="806"/>
        <item x="1041"/>
        <item x="538"/>
        <item x="387"/>
        <item x="1089"/>
        <item x="309"/>
        <item x="1079"/>
        <item x="199"/>
        <item x="407"/>
        <item x="1080"/>
        <item x="55"/>
        <item x="577"/>
        <item x="483"/>
        <item x="155"/>
        <item x="434"/>
        <item x="408"/>
        <item x="641"/>
        <item x="53"/>
        <item x="847"/>
        <item x="865"/>
        <item x="442"/>
        <item x="239"/>
        <item x="688"/>
        <item x="428"/>
        <item x="694"/>
        <item x="728"/>
        <item x="700"/>
        <item x="949"/>
        <item x="804"/>
        <item x="20"/>
        <item x="32"/>
        <item x="699"/>
        <item x="1104"/>
        <item x="597"/>
        <item x="529"/>
        <item x="437"/>
        <item x="92"/>
        <item x="1013"/>
        <item x="139"/>
        <item x="888"/>
        <item x="567"/>
        <item x="137"/>
        <item x="45"/>
        <item x="725"/>
        <item x="594"/>
        <item x="825"/>
        <item x="938"/>
        <item x="814"/>
        <item x="245"/>
        <item x="11"/>
        <item x="1016"/>
        <item x="357"/>
        <item x="46"/>
        <item x="1174"/>
        <item x="1012"/>
        <item x="1119"/>
        <item x="976"/>
        <item x="124"/>
        <item x="788"/>
        <item x="737"/>
        <item x="943"/>
        <item x="426"/>
        <item x="783"/>
        <item x="334"/>
        <item x="140"/>
        <item x="47"/>
        <item x="35"/>
        <item x="111"/>
        <item x="1007"/>
        <item x="475"/>
        <item x="975"/>
        <item x="620"/>
        <item x="704"/>
        <item x="858"/>
        <item x="347"/>
        <item x="1010"/>
        <item x="313"/>
        <item x="702"/>
        <item x="104"/>
        <item x="756"/>
        <item x="431"/>
        <item x="832"/>
        <item x="519"/>
        <item x="627"/>
        <item x="1032"/>
        <item x="432"/>
        <item x="136"/>
        <item x="469"/>
        <item x="1030"/>
        <item x="907"/>
        <item x="247"/>
        <item x="167"/>
        <item x="953"/>
        <item x="803"/>
        <item x="51"/>
        <item x="355"/>
        <item x="479"/>
        <item x="44"/>
        <item x="611"/>
        <item x="1172"/>
        <item x="799"/>
        <item x="131"/>
        <item x="897"/>
        <item x="871"/>
        <item x="1159"/>
        <item x="1142"/>
        <item x="228"/>
        <item x="617"/>
        <item x="640"/>
        <item x="569"/>
        <item x="414"/>
        <item x="135"/>
        <item x="146"/>
        <item x="455"/>
        <item x="424"/>
        <item x="565"/>
        <item x="205"/>
        <item x="950"/>
        <item x="978"/>
        <item x="882"/>
        <item x="1148"/>
        <item x="930"/>
        <item x="602"/>
        <item x="852"/>
        <item x="798"/>
        <item x="129"/>
        <item x="312"/>
        <item x="9"/>
        <item x="861"/>
        <item x="1165"/>
        <item x="733"/>
        <item x="1138"/>
        <item x="341"/>
        <item x="887"/>
        <item x="885"/>
        <item x="130"/>
        <item x="895"/>
        <item x="710"/>
        <item x="910"/>
        <item x="630"/>
        <item x="419"/>
        <item x="507"/>
        <item x="278"/>
        <item x="632"/>
        <item x="595"/>
        <item x="354"/>
        <item x="621"/>
        <item x="894"/>
        <item x="79"/>
        <item x="732"/>
        <item x="100"/>
        <item x="584"/>
        <item x="940"/>
        <item x="1073"/>
        <item x="731"/>
        <item x="1077"/>
        <item x="1146"/>
        <item x="493"/>
        <item x="557"/>
        <item x="1049"/>
        <item x="259"/>
        <item x="376"/>
        <item x="255"/>
        <item x="921"/>
        <item x="492"/>
        <item x="713"/>
        <item x="156"/>
        <item x="346"/>
        <item x="939"/>
        <item x="441"/>
        <item x="151"/>
        <item x="835"/>
        <item x="675"/>
        <item x="981"/>
        <item x="143"/>
        <item x="671"/>
        <item x="56"/>
        <item x="1100"/>
        <item x="867"/>
        <item x="607"/>
        <item x="596"/>
        <item x="211"/>
        <item x="958"/>
        <item x="937"/>
        <item x="330"/>
        <item x="643"/>
        <item x="70"/>
        <item x="160"/>
        <item x="650"/>
        <item x="166"/>
        <item x="1017"/>
        <item x="303"/>
        <item x="931"/>
        <item x="1088"/>
        <item x="997"/>
        <item x="244"/>
        <item x="548"/>
        <item x="285"/>
        <item x="246"/>
        <item x="589"/>
        <item x="1169"/>
        <item x="947"/>
        <item x="516"/>
        <item x="991"/>
        <item x="71"/>
        <item x="1060"/>
        <item x="301"/>
        <item x="636"/>
        <item x="941"/>
        <item x="606"/>
        <item x="49"/>
        <item x="592"/>
        <item x="743"/>
        <item x="683"/>
        <item x="1050"/>
        <item x="902"/>
        <item x="703"/>
        <item x="138"/>
        <item x="892"/>
        <item x="42"/>
        <item x="186"/>
        <item x="1095"/>
        <item x="58"/>
        <item x="845"/>
        <item x="1103"/>
        <item x="429"/>
        <item x="392"/>
        <item x="144"/>
        <item x="955"/>
        <item x="427"/>
        <item x="72"/>
        <item x="1022"/>
        <item x="328"/>
        <item x="294"/>
        <item x="66"/>
        <item x="779"/>
        <item x="605"/>
        <item x="896"/>
        <item x="1075"/>
        <item x="451"/>
        <item x="956"/>
        <item x="264"/>
        <item x="1033"/>
        <item x="382"/>
        <item x="534"/>
        <item x="256"/>
        <item x="471"/>
        <item x="964"/>
        <item x="730"/>
        <item x="1110"/>
        <item x="501"/>
        <item x="780"/>
        <item x="1051"/>
        <item x="286"/>
        <item x="581"/>
        <item x="564"/>
        <item x="19"/>
        <item x="530"/>
        <item x="842"/>
        <item x="110"/>
        <item x="841"/>
        <item x="668"/>
        <item x="194"/>
        <item x="268"/>
        <item x="537"/>
        <item x="88"/>
        <item x="919"/>
        <item x="267"/>
        <item x="618"/>
        <item x="1065"/>
        <item x="660"/>
        <item x="856"/>
        <item x="1069"/>
        <item x="922"/>
        <item x="153"/>
        <item x="547"/>
        <item x="750"/>
        <item x="1114"/>
        <item x="503"/>
        <item x="275"/>
        <item x="1120"/>
        <item x="815"/>
        <item x="415"/>
        <item x="574"/>
        <item x="1014"/>
        <item x="1154"/>
        <item x="184"/>
        <item x="274"/>
        <item x="957"/>
        <item x="552"/>
        <item x="911"/>
        <item x="351"/>
        <item x="810"/>
        <item x="106"/>
        <item x="961"/>
        <item x="830"/>
        <item x="1037"/>
        <item x="307"/>
        <item x="1035"/>
        <item x="789"/>
        <item x="761"/>
        <item x="678"/>
        <item x="217"/>
        <item x="171"/>
        <item x="1076"/>
        <item x="808"/>
        <item x="531"/>
        <item x="1071"/>
        <item x="932"/>
        <item x="951"/>
        <item x="335"/>
        <item x="13"/>
        <item x="38"/>
        <item x="533"/>
        <item x="754"/>
        <item x="1027"/>
        <item x="242"/>
        <item x="181"/>
        <item x="615"/>
        <item x="120"/>
        <item x="204"/>
        <item x="1173"/>
        <item x="57"/>
        <item x="176"/>
        <item x="535"/>
        <item x="792"/>
        <item x="474"/>
        <item x="559"/>
        <item x="227"/>
        <item x="707"/>
        <item x="1063"/>
        <item x="1025"/>
        <item x="826"/>
        <item x="238"/>
        <item x="54"/>
        <item x="1105"/>
        <item x="763"/>
        <item x="147"/>
        <item x="207"/>
        <item x="249"/>
        <item x="604"/>
        <item x="1004"/>
        <item x="506"/>
        <item x="316"/>
        <item x="1072"/>
        <item x="1092"/>
        <item x="212"/>
        <item x="311"/>
        <item x="7"/>
        <item x="133"/>
        <item x="715"/>
        <item x="1151"/>
        <item x="903"/>
        <item x="203"/>
        <item x="1070"/>
        <item x="187"/>
        <item x="89"/>
        <item x="64"/>
        <item x="784"/>
        <item x="337"/>
        <item x="740"/>
        <item x="776"/>
        <item x="1135"/>
        <item x="43"/>
        <item x="834"/>
        <item x="306"/>
        <item x="331"/>
        <item x="580"/>
        <item x="157"/>
        <item x="99"/>
        <item x="4"/>
        <item x="706"/>
        <item x="48"/>
        <item x="912"/>
        <item x="753"/>
        <item x="417"/>
        <item x="576"/>
        <item x="10"/>
        <item x="1168"/>
        <item x="1000"/>
        <item x="1026"/>
        <item x="724"/>
        <item x="558"/>
        <item x="723"/>
        <item x="361"/>
        <item x="988"/>
        <item x="367"/>
        <item x="263"/>
        <item x="729"/>
        <item x="582"/>
        <item x="365"/>
        <item x="734"/>
        <item x="208"/>
        <item x="539"/>
        <item x="920"/>
        <item x="562"/>
        <item x="549"/>
        <item x="16"/>
        <item x="993"/>
        <item x="223"/>
        <item x="811"/>
        <item x="290"/>
        <item x="970"/>
        <item x="84"/>
        <item x="653"/>
        <item x="119"/>
        <item x="570"/>
        <item x="554"/>
        <item x="770"/>
        <item x="690"/>
        <item x="26"/>
        <item x="575"/>
        <item x="546"/>
        <item x="781"/>
        <item x="1023"/>
        <item x="126"/>
        <item x="1097"/>
        <item x="222"/>
        <item x="1015"/>
        <item x="225"/>
        <item x="769"/>
        <item x="870"/>
        <item x="904"/>
        <item x="260"/>
        <item x="890"/>
        <item x="1040"/>
        <item x="742"/>
        <item x="325"/>
        <item x="132"/>
        <item x="333"/>
        <item x="1126"/>
        <item x="188"/>
        <item x="421"/>
        <item x="998"/>
        <item x="317"/>
        <item x="708"/>
        <item x="251"/>
        <item x="1098"/>
        <item x="782"/>
        <item x="206"/>
        <item x="261"/>
        <item x="27"/>
        <item x="423"/>
        <item x="623"/>
        <item x="801"/>
        <item x="759"/>
        <item x="1045"/>
        <item x="381"/>
        <item x="626"/>
        <item x="1059"/>
        <item x="192"/>
        <item x="614"/>
        <item x="154"/>
        <item x="1158"/>
        <item x="327"/>
        <item x="748"/>
        <item x="817"/>
        <item x="746"/>
        <item x="163"/>
        <item x="202"/>
        <item x="644"/>
        <item x="1108"/>
        <item x="373"/>
        <item x="405"/>
        <item x="253"/>
        <item x="353"/>
        <item x="231"/>
        <item x="291"/>
        <item x="496"/>
        <item x="165"/>
        <item x="514"/>
        <item x="459"/>
        <item x="974"/>
        <item x="326"/>
        <item x="1164"/>
        <item x="646"/>
        <item x="348"/>
        <item x="288"/>
        <item x="869"/>
        <item x="1167"/>
        <item x="230"/>
        <item x="1112"/>
        <item x="150"/>
        <item x="1107"/>
        <item x="705"/>
        <item t="default"/>
      </items>
    </pivotField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3"/>
        <item x="4"/>
        <item x="1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>
      <items count="12">
        <item x="8"/>
        <item x="3"/>
        <item x="5"/>
        <item x="0"/>
        <item x="10"/>
        <item x="6"/>
        <item x="2"/>
        <item x="1"/>
        <item x="7"/>
        <item x="9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">
        <item x="1"/>
        <item x="4"/>
        <item x="7"/>
        <item x="0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Average CSAT" fld="13" subtotal="average" baseField="0" baseItem="0" numFmtId="2"/>
  </dataFields>
  <formats count="2">
    <format dxfId="32">
      <pivotArea dataOnly="0" labelOnly="1" outline="0" axis="axisValues" fieldPosition="0"/>
    </format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43C63-4100-4091-AA33-79D0D3DA955D}" name="Tabela dinâmica13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7">
  <location ref="K20:L32" firstHeaderRow="1" firstDataRow="1" firstDataCol="1"/>
  <pivotFields count="38">
    <pivotField showAll="0"/>
    <pivotField showAll="0"/>
    <pivotField numFmtId="22" showAll="0">
      <items count="1180">
        <item x="388"/>
        <item x="289"/>
        <item x="619"/>
        <item x="329"/>
        <item x="115"/>
        <item x="350"/>
        <item x="338"/>
        <item x="809"/>
        <item x="657"/>
        <item x="1090"/>
        <item x="609"/>
        <item x="1"/>
        <item x="613"/>
        <item x="39"/>
        <item x="243"/>
        <item x="980"/>
        <item x="853"/>
        <item x="248"/>
        <item x="152"/>
        <item x="515"/>
        <item x="775"/>
        <item x="973"/>
        <item x="364"/>
        <item x="102"/>
        <item x="1042"/>
        <item x="652"/>
        <item x="635"/>
        <item x="797"/>
        <item x="395"/>
        <item x="393"/>
        <item x="1123"/>
        <item x="679"/>
        <item x="917"/>
        <item x="996"/>
        <item x="358"/>
        <item x="542"/>
        <item x="716"/>
        <item x="450"/>
        <item x="1087"/>
        <item x="924"/>
        <item x="484"/>
        <item x="416"/>
        <item x="711"/>
        <item x="494"/>
        <item x="258"/>
        <item x="598"/>
        <item x="966"/>
        <item x="944"/>
        <item x="386"/>
        <item x="502"/>
        <item x="1143"/>
        <item x="629"/>
        <item x="175"/>
        <item x="252"/>
        <item x="322"/>
        <item x="464"/>
        <item x="900"/>
        <item x="766"/>
        <item x="1144"/>
        <item x="721"/>
        <item x="1178"/>
        <item x="772"/>
        <item x="905"/>
        <item x="122"/>
        <item x="201"/>
        <item x="148"/>
        <item x="107"/>
        <item x="453"/>
        <item x="271"/>
        <item x="1118"/>
        <item x="200"/>
        <item x="667"/>
        <item x="787"/>
        <item x="1133"/>
        <item x="444"/>
        <item x="436"/>
        <item x="864"/>
        <item x="908"/>
        <item x="1002"/>
        <item x="701"/>
        <item x="352"/>
        <item x="420"/>
        <item x="1074"/>
        <item x="526"/>
        <item x="1130"/>
        <item x="967"/>
        <item x="934"/>
        <item x="680"/>
        <item x="686"/>
        <item x="257"/>
        <item x="1006"/>
        <item x="477"/>
        <item x="380"/>
        <item x="372"/>
        <item x="560"/>
        <item x="101"/>
        <item x="638"/>
        <item x="8"/>
        <item x="1064"/>
        <item x="490"/>
        <item x="412"/>
        <item x="717"/>
        <item x="906"/>
        <item x="992"/>
        <item x="593"/>
        <item x="61"/>
        <item x="545"/>
        <item x="1116"/>
        <item x="965"/>
        <item x="458"/>
        <item x="406"/>
        <item x="1113"/>
        <item x="164"/>
        <item x="343"/>
        <item x="1161"/>
        <item x="193"/>
        <item x="310"/>
        <item x="232"/>
        <item x="863"/>
        <item x="1008"/>
        <item x="791"/>
        <item x="216"/>
        <item x="377"/>
        <item x="141"/>
        <item x="625"/>
        <item x="666"/>
        <item x="739"/>
        <item x="77"/>
        <item x="178"/>
        <item x="696"/>
        <item x="510"/>
        <item x="134"/>
        <item x="691"/>
        <item x="116"/>
        <item x="50"/>
        <item x="276"/>
        <item x="198"/>
        <item x="456"/>
        <item x="12"/>
        <item x="586"/>
        <item x="637"/>
        <item x="818"/>
        <item x="1124"/>
        <item x="622"/>
        <item x="563"/>
        <item x="793"/>
        <item x="1044"/>
        <item x="397"/>
        <item x="1139"/>
        <item x="827"/>
        <item x="719"/>
        <item x="760"/>
        <item x="765"/>
        <item x="587"/>
        <item x="52"/>
        <item x="822"/>
        <item x="336"/>
        <item x="1109"/>
        <item x="813"/>
        <item x="445"/>
        <item x="229"/>
        <item x="561"/>
        <item x="1001"/>
        <item x="1021"/>
        <item x="183"/>
        <item x="1036"/>
        <item x="487"/>
        <item x="982"/>
        <item x="985"/>
        <item x="751"/>
        <item x="851"/>
        <item x="224"/>
        <item x="884"/>
        <item x="1140"/>
        <item x="76"/>
        <item x="196"/>
        <item x="31"/>
        <item x="752"/>
        <item x="1020"/>
        <item x="473"/>
        <item x="499"/>
        <item x="345"/>
        <item x="886"/>
        <item x="948"/>
        <item x="33"/>
        <item x="220"/>
        <item x="1091"/>
        <item x="738"/>
        <item x="389"/>
        <item x="1171"/>
        <item x="528"/>
        <item x="37"/>
        <item x="162"/>
        <item x="747"/>
        <item x="718"/>
        <item x="1125"/>
        <item x="601"/>
        <item x="785"/>
        <item x="1094"/>
        <item x="1058"/>
        <item x="645"/>
        <item x="857"/>
        <item x="901"/>
        <item x="828"/>
        <item x="485"/>
        <item x="726"/>
        <item x="1028"/>
        <item x="438"/>
        <item x="819"/>
        <item x="628"/>
        <item x="113"/>
        <item x="633"/>
        <item x="1019"/>
        <item x="522"/>
        <item x="881"/>
        <item x="914"/>
        <item x="15"/>
        <item x="875"/>
        <item x="226"/>
        <item x="215"/>
        <item x="182"/>
        <item x="889"/>
        <item x="698"/>
        <item x="600"/>
        <item x="1155"/>
        <item x="159"/>
        <item x="850"/>
        <item x="277"/>
        <item x="90"/>
        <item x="762"/>
        <item x="512"/>
        <item x="663"/>
        <item x="6"/>
        <item x="712"/>
        <item x="1093"/>
        <item x="933"/>
        <item x="197"/>
        <item x="513"/>
        <item x="1099"/>
        <item x="925"/>
        <item x="1150"/>
        <item x="298"/>
        <item x="86"/>
        <item x="413"/>
        <item x="404"/>
        <item x="755"/>
        <item x="661"/>
        <item x="443"/>
        <item x="909"/>
        <item x="786"/>
        <item x="430"/>
        <item x="1052"/>
        <item x="868"/>
        <item x="984"/>
        <item x="677"/>
        <item x="73"/>
        <item x="1134"/>
        <item x="1106"/>
        <item x="14"/>
        <item x="379"/>
        <item x="433"/>
        <item x="979"/>
        <item x="262"/>
        <item x="168"/>
        <item x="517"/>
        <item x="142"/>
        <item x="295"/>
        <item x="75"/>
        <item x="720"/>
        <item x="1145"/>
        <item x="836"/>
        <item x="65"/>
        <item x="344"/>
        <item x="1083"/>
        <item x="1048"/>
        <item x="616"/>
        <item x="195"/>
        <item x="866"/>
        <item x="995"/>
        <item x="112"/>
        <item x="745"/>
        <item x="463"/>
        <item x="639"/>
        <item x="624"/>
        <item x="375"/>
        <item x="1061"/>
        <item x="987"/>
        <item x="915"/>
        <item x="401"/>
        <item x="233"/>
        <item x="394"/>
        <item x="954"/>
        <item x="1046"/>
        <item x="1081"/>
        <item x="648"/>
        <item x="689"/>
        <item x="1117"/>
        <item x="521"/>
        <item x="340"/>
        <item x="123"/>
        <item x="332"/>
        <item x="962"/>
        <item x="612"/>
        <item x="472"/>
        <item x="651"/>
        <item x="509"/>
        <item x="873"/>
        <item x="127"/>
        <item x="179"/>
        <item x="1121"/>
        <item x="40"/>
        <item x="1024"/>
        <item x="213"/>
        <item x="697"/>
        <item x="240"/>
        <item x="1166"/>
        <item x="599"/>
        <item x="279"/>
        <item x="839"/>
        <item x="898"/>
        <item x="735"/>
        <item x="121"/>
        <item x="235"/>
        <item x="923"/>
        <item x="669"/>
        <item x="191"/>
        <item x="489"/>
        <item x="1018"/>
        <item x="771"/>
        <item x="682"/>
        <item x="969"/>
        <item x="321"/>
        <item x="807"/>
        <item x="128"/>
        <item x="410"/>
        <item x="462"/>
        <item x="773"/>
        <item x="899"/>
        <item x="672"/>
        <item x="649"/>
        <item x="823"/>
        <item x="654"/>
        <item x="273"/>
        <item x="409"/>
        <item x="837"/>
        <item x="935"/>
        <item x="454"/>
        <item x="1056"/>
        <item x="913"/>
        <item x="1038"/>
        <item x="29"/>
        <item x="109"/>
        <item x="457"/>
        <item x="418"/>
        <item x="1047"/>
        <item x="339"/>
        <item x="709"/>
        <item x="662"/>
        <item x="468"/>
        <item x="874"/>
        <item x="681"/>
        <item x="320"/>
        <item x="384"/>
        <item x="370"/>
        <item x="221"/>
        <item x="872"/>
        <item x="971"/>
        <item x="504"/>
        <item x="994"/>
        <item x="59"/>
        <item x="1031"/>
        <item x="540"/>
        <item x="497"/>
        <item x="269"/>
        <item x="1055"/>
        <item x="366"/>
        <item x="270"/>
        <item x="95"/>
        <item x="1102"/>
        <item x="91"/>
        <item x="778"/>
        <item x="916"/>
        <item x="848"/>
        <item x="83"/>
        <item x="634"/>
        <item x="722"/>
        <item x="1137"/>
        <item x="1141"/>
        <item x="918"/>
        <item x="81"/>
        <item x="172"/>
        <item x="508"/>
        <item x="1068"/>
        <item x="1152"/>
        <item x="936"/>
        <item x="536"/>
        <item x="145"/>
        <item x="24"/>
        <item x="411"/>
        <item x="578"/>
        <item x="498"/>
        <item x="93"/>
        <item x="555"/>
        <item x="363"/>
        <item x="1053"/>
        <item x="449"/>
        <item x="1122"/>
        <item x="664"/>
        <item x="342"/>
        <item x="272"/>
        <item x="96"/>
        <item x="1170"/>
        <item x="480"/>
        <item x="396"/>
        <item x="1147"/>
        <item x="467"/>
        <item x="78"/>
        <item x="846"/>
        <item x="80"/>
        <item x="169"/>
        <item x="486"/>
        <item x="180"/>
        <item x="402"/>
        <item x="62"/>
        <item x="518"/>
        <item x="34"/>
        <item x="1131"/>
        <item x="945"/>
        <item x="802"/>
        <item x="190"/>
        <item x="105"/>
        <item x="553"/>
        <item x="266"/>
        <item x="85"/>
        <item x="812"/>
        <item x="655"/>
        <item x="692"/>
        <item x="1057"/>
        <item x="470"/>
        <item x="568"/>
        <item x="579"/>
        <item x="481"/>
        <item x="551"/>
        <item x="36"/>
        <item x="349"/>
        <item x="241"/>
        <item x="18"/>
        <item x="800"/>
        <item x="880"/>
        <item x="161"/>
        <item x="774"/>
        <item x="318"/>
        <item x="929"/>
        <item x="878"/>
        <item x="849"/>
        <item x="25"/>
        <item x="767"/>
        <item x="1156"/>
        <item x="1128"/>
        <item x="942"/>
        <item x="403"/>
        <item x="674"/>
        <item x="1115"/>
        <item x="1043"/>
        <item x="422"/>
        <item x="990"/>
        <item x="1067"/>
        <item x="371"/>
        <item x="315"/>
        <item x="983"/>
        <item x="210"/>
        <item x="447"/>
        <item x="544"/>
        <item x="282"/>
        <item x="491"/>
        <item x="768"/>
        <item x="281"/>
        <item x="284"/>
        <item x="399"/>
        <item x="647"/>
        <item x="177"/>
        <item x="448"/>
        <item x="234"/>
        <item x="5"/>
        <item x="591"/>
        <item x="21"/>
        <item x="511"/>
        <item x="362"/>
        <item x="1085"/>
        <item x="1009"/>
        <item x="385"/>
        <item x="108"/>
        <item x="879"/>
        <item x="550"/>
        <item x="250"/>
        <item x="571"/>
        <item x="1034"/>
        <item x="796"/>
        <item x="583"/>
        <item x="0"/>
        <item x="435"/>
        <item x="60"/>
        <item x="482"/>
        <item x="963"/>
        <item x="656"/>
        <item x="541"/>
        <item x="97"/>
        <item x="400"/>
        <item x="862"/>
        <item x="1084"/>
        <item x="977"/>
        <item x="926"/>
        <item x="17"/>
        <item x="1160"/>
        <item x="749"/>
        <item x="360"/>
        <item x="185"/>
        <item x="398"/>
        <item x="374"/>
        <item x="1011"/>
        <item x="300"/>
        <item x="829"/>
        <item x="928"/>
        <item x="1086"/>
        <item x="693"/>
        <item x="103"/>
        <item x="543"/>
        <item x="883"/>
        <item x="478"/>
        <item x="283"/>
        <item x="838"/>
        <item x="972"/>
        <item x="369"/>
        <item x="1127"/>
        <item x="114"/>
        <item x="1162"/>
        <item x="461"/>
        <item x="1039"/>
        <item x="893"/>
        <item x="323"/>
        <item x="302"/>
        <item x="82"/>
        <item x="687"/>
        <item x="1111"/>
        <item x="670"/>
        <item x="658"/>
        <item x="608"/>
        <item x="98"/>
        <item x="1175"/>
        <item x="610"/>
        <item x="94"/>
        <item x="1132"/>
        <item x="63"/>
        <item x="665"/>
        <item x="695"/>
        <item x="390"/>
        <item x="460"/>
        <item x="425"/>
        <item x="476"/>
        <item x="324"/>
        <item x="876"/>
        <item x="2"/>
        <item x="299"/>
        <item x="927"/>
        <item x="118"/>
        <item x="69"/>
        <item x="854"/>
        <item x="30"/>
        <item x="237"/>
        <item x="296"/>
        <item x="520"/>
        <item x="860"/>
        <item x="525"/>
        <item x="22"/>
        <item x="41"/>
        <item x="831"/>
        <item x="209"/>
        <item x="378"/>
        <item x="816"/>
        <item x="265"/>
        <item x="125"/>
        <item x="170"/>
        <item x="1153"/>
        <item x="1136"/>
        <item x="855"/>
        <item x="292"/>
        <item x="859"/>
        <item x="1149"/>
        <item x="1163"/>
        <item x="189"/>
        <item x="23"/>
        <item x="757"/>
        <item x="287"/>
        <item x="603"/>
        <item x="439"/>
        <item x="440"/>
        <item x="214"/>
        <item x="1003"/>
        <item x="173"/>
        <item x="833"/>
        <item x="840"/>
        <item x="488"/>
        <item x="573"/>
        <item x="741"/>
        <item x="989"/>
        <item x="319"/>
        <item x="585"/>
        <item x="946"/>
        <item x="758"/>
        <item x="590"/>
        <item x="820"/>
        <item x="452"/>
        <item x="356"/>
        <item x="588"/>
        <item x="359"/>
        <item x="297"/>
        <item x="505"/>
        <item x="824"/>
        <item x="74"/>
        <item x="566"/>
        <item x="1062"/>
        <item x="500"/>
        <item x="304"/>
        <item x="1029"/>
        <item x="952"/>
        <item x="219"/>
        <item x="556"/>
        <item x="676"/>
        <item x="843"/>
        <item x="844"/>
        <item x="293"/>
        <item x="236"/>
        <item x="1129"/>
        <item x="805"/>
        <item x="1096"/>
        <item x="28"/>
        <item x="368"/>
        <item x="999"/>
        <item x="1176"/>
        <item x="673"/>
        <item x="777"/>
        <item x="685"/>
        <item x="714"/>
        <item x="3"/>
        <item x="986"/>
        <item x="280"/>
        <item x="305"/>
        <item x="218"/>
        <item x="877"/>
        <item x="391"/>
        <item x="523"/>
        <item x="87"/>
        <item x="314"/>
        <item x="174"/>
        <item x="1177"/>
        <item x="659"/>
        <item x="68"/>
        <item x="446"/>
        <item x="67"/>
        <item x="727"/>
        <item x="1101"/>
        <item x="117"/>
        <item x="794"/>
        <item x="959"/>
        <item x="158"/>
        <item x="795"/>
        <item x="495"/>
        <item x="744"/>
        <item x="254"/>
        <item x="960"/>
        <item x="1005"/>
        <item x="572"/>
        <item x="1054"/>
        <item x="1066"/>
        <item x="631"/>
        <item x="790"/>
        <item x="383"/>
        <item x="968"/>
        <item x="736"/>
        <item x="1157"/>
        <item x="466"/>
        <item x="642"/>
        <item x="532"/>
        <item x="308"/>
        <item x="524"/>
        <item x="764"/>
        <item x="1082"/>
        <item x="149"/>
        <item x="527"/>
        <item x="821"/>
        <item x="891"/>
        <item x="1078"/>
        <item x="465"/>
        <item x="684"/>
        <item x="806"/>
        <item x="1041"/>
        <item x="538"/>
        <item x="387"/>
        <item x="1089"/>
        <item x="309"/>
        <item x="1079"/>
        <item x="199"/>
        <item x="407"/>
        <item x="1080"/>
        <item x="55"/>
        <item x="577"/>
        <item x="483"/>
        <item x="155"/>
        <item x="434"/>
        <item x="408"/>
        <item x="641"/>
        <item x="53"/>
        <item x="847"/>
        <item x="865"/>
        <item x="442"/>
        <item x="239"/>
        <item x="688"/>
        <item x="428"/>
        <item x="694"/>
        <item x="728"/>
        <item x="700"/>
        <item x="949"/>
        <item x="804"/>
        <item x="20"/>
        <item x="32"/>
        <item x="699"/>
        <item x="1104"/>
        <item x="597"/>
        <item x="529"/>
        <item x="437"/>
        <item x="92"/>
        <item x="1013"/>
        <item x="139"/>
        <item x="888"/>
        <item x="567"/>
        <item x="137"/>
        <item x="45"/>
        <item x="725"/>
        <item x="594"/>
        <item x="825"/>
        <item x="938"/>
        <item x="814"/>
        <item x="245"/>
        <item x="11"/>
        <item x="1016"/>
        <item x="357"/>
        <item x="46"/>
        <item x="1174"/>
        <item x="1012"/>
        <item x="1119"/>
        <item x="976"/>
        <item x="124"/>
        <item x="788"/>
        <item x="737"/>
        <item x="943"/>
        <item x="426"/>
        <item x="783"/>
        <item x="334"/>
        <item x="140"/>
        <item x="47"/>
        <item x="35"/>
        <item x="111"/>
        <item x="1007"/>
        <item x="475"/>
        <item x="975"/>
        <item x="620"/>
        <item x="704"/>
        <item x="858"/>
        <item x="347"/>
        <item x="1010"/>
        <item x="313"/>
        <item x="702"/>
        <item x="104"/>
        <item x="756"/>
        <item x="431"/>
        <item x="832"/>
        <item x="519"/>
        <item x="627"/>
        <item x="1032"/>
        <item x="432"/>
        <item x="136"/>
        <item x="469"/>
        <item x="1030"/>
        <item x="907"/>
        <item x="247"/>
        <item x="167"/>
        <item x="953"/>
        <item x="803"/>
        <item x="51"/>
        <item x="355"/>
        <item x="479"/>
        <item x="44"/>
        <item x="611"/>
        <item x="1172"/>
        <item x="799"/>
        <item x="131"/>
        <item x="897"/>
        <item x="871"/>
        <item x="1159"/>
        <item x="1142"/>
        <item x="228"/>
        <item x="617"/>
        <item x="640"/>
        <item x="569"/>
        <item x="414"/>
        <item x="135"/>
        <item x="146"/>
        <item x="455"/>
        <item x="424"/>
        <item x="565"/>
        <item x="205"/>
        <item x="950"/>
        <item x="978"/>
        <item x="882"/>
        <item x="1148"/>
        <item x="930"/>
        <item x="602"/>
        <item x="852"/>
        <item x="798"/>
        <item x="129"/>
        <item x="312"/>
        <item x="9"/>
        <item x="861"/>
        <item x="1165"/>
        <item x="733"/>
        <item x="1138"/>
        <item x="341"/>
        <item x="887"/>
        <item x="885"/>
        <item x="130"/>
        <item x="895"/>
        <item x="710"/>
        <item x="910"/>
        <item x="630"/>
        <item x="419"/>
        <item x="507"/>
        <item x="278"/>
        <item x="632"/>
        <item x="595"/>
        <item x="354"/>
        <item x="621"/>
        <item x="894"/>
        <item x="79"/>
        <item x="732"/>
        <item x="100"/>
        <item x="584"/>
        <item x="940"/>
        <item x="1073"/>
        <item x="731"/>
        <item x="1077"/>
        <item x="1146"/>
        <item x="493"/>
        <item x="557"/>
        <item x="1049"/>
        <item x="259"/>
        <item x="376"/>
        <item x="255"/>
        <item x="921"/>
        <item x="492"/>
        <item x="713"/>
        <item x="156"/>
        <item x="346"/>
        <item x="939"/>
        <item x="441"/>
        <item x="151"/>
        <item x="835"/>
        <item x="675"/>
        <item x="981"/>
        <item x="143"/>
        <item x="671"/>
        <item x="56"/>
        <item x="1100"/>
        <item x="867"/>
        <item x="607"/>
        <item x="596"/>
        <item x="211"/>
        <item x="958"/>
        <item x="937"/>
        <item x="330"/>
        <item x="643"/>
        <item x="70"/>
        <item x="160"/>
        <item x="650"/>
        <item x="166"/>
        <item x="1017"/>
        <item x="303"/>
        <item x="931"/>
        <item x="1088"/>
        <item x="997"/>
        <item x="244"/>
        <item x="548"/>
        <item x="285"/>
        <item x="246"/>
        <item x="589"/>
        <item x="1169"/>
        <item x="947"/>
        <item x="516"/>
        <item x="991"/>
        <item x="71"/>
        <item x="1060"/>
        <item x="301"/>
        <item x="636"/>
        <item x="941"/>
        <item x="606"/>
        <item x="49"/>
        <item x="592"/>
        <item x="743"/>
        <item x="683"/>
        <item x="1050"/>
        <item x="902"/>
        <item x="703"/>
        <item x="138"/>
        <item x="892"/>
        <item x="42"/>
        <item x="186"/>
        <item x="1095"/>
        <item x="58"/>
        <item x="845"/>
        <item x="1103"/>
        <item x="429"/>
        <item x="392"/>
        <item x="144"/>
        <item x="955"/>
        <item x="427"/>
        <item x="72"/>
        <item x="1022"/>
        <item x="328"/>
        <item x="294"/>
        <item x="66"/>
        <item x="779"/>
        <item x="605"/>
        <item x="896"/>
        <item x="1075"/>
        <item x="451"/>
        <item x="956"/>
        <item x="264"/>
        <item x="1033"/>
        <item x="382"/>
        <item x="534"/>
        <item x="256"/>
        <item x="471"/>
        <item x="964"/>
        <item x="730"/>
        <item x="1110"/>
        <item x="501"/>
        <item x="780"/>
        <item x="1051"/>
        <item x="286"/>
        <item x="581"/>
        <item x="564"/>
        <item x="19"/>
        <item x="530"/>
        <item x="842"/>
        <item x="110"/>
        <item x="841"/>
        <item x="668"/>
        <item x="194"/>
        <item x="268"/>
        <item x="537"/>
        <item x="88"/>
        <item x="919"/>
        <item x="267"/>
        <item x="618"/>
        <item x="1065"/>
        <item x="660"/>
        <item x="856"/>
        <item x="1069"/>
        <item x="922"/>
        <item x="153"/>
        <item x="547"/>
        <item x="750"/>
        <item x="1114"/>
        <item x="503"/>
        <item x="275"/>
        <item x="1120"/>
        <item x="815"/>
        <item x="415"/>
        <item x="574"/>
        <item x="1014"/>
        <item x="1154"/>
        <item x="184"/>
        <item x="274"/>
        <item x="957"/>
        <item x="552"/>
        <item x="911"/>
        <item x="351"/>
        <item x="810"/>
        <item x="106"/>
        <item x="961"/>
        <item x="830"/>
        <item x="1037"/>
        <item x="307"/>
        <item x="1035"/>
        <item x="789"/>
        <item x="761"/>
        <item x="678"/>
        <item x="217"/>
        <item x="171"/>
        <item x="1076"/>
        <item x="808"/>
        <item x="531"/>
        <item x="1071"/>
        <item x="932"/>
        <item x="951"/>
        <item x="335"/>
        <item x="13"/>
        <item x="38"/>
        <item x="533"/>
        <item x="754"/>
        <item x="1027"/>
        <item x="242"/>
        <item x="181"/>
        <item x="615"/>
        <item x="120"/>
        <item x="204"/>
        <item x="1173"/>
        <item x="57"/>
        <item x="176"/>
        <item x="535"/>
        <item x="792"/>
        <item x="474"/>
        <item x="559"/>
        <item x="227"/>
        <item x="707"/>
        <item x="1063"/>
        <item x="1025"/>
        <item x="826"/>
        <item x="238"/>
        <item x="54"/>
        <item x="1105"/>
        <item x="763"/>
        <item x="147"/>
        <item x="207"/>
        <item x="249"/>
        <item x="604"/>
        <item x="1004"/>
        <item x="506"/>
        <item x="316"/>
        <item x="1072"/>
        <item x="1092"/>
        <item x="212"/>
        <item x="311"/>
        <item x="7"/>
        <item x="133"/>
        <item x="715"/>
        <item x="1151"/>
        <item x="903"/>
        <item x="203"/>
        <item x="1070"/>
        <item x="187"/>
        <item x="89"/>
        <item x="64"/>
        <item x="784"/>
        <item x="337"/>
        <item x="740"/>
        <item x="776"/>
        <item x="1135"/>
        <item x="43"/>
        <item x="834"/>
        <item x="306"/>
        <item x="331"/>
        <item x="580"/>
        <item x="157"/>
        <item x="99"/>
        <item x="4"/>
        <item x="706"/>
        <item x="48"/>
        <item x="912"/>
        <item x="753"/>
        <item x="417"/>
        <item x="576"/>
        <item x="10"/>
        <item x="1168"/>
        <item x="1000"/>
        <item x="1026"/>
        <item x="724"/>
        <item x="558"/>
        <item x="723"/>
        <item x="361"/>
        <item x="988"/>
        <item x="367"/>
        <item x="263"/>
        <item x="729"/>
        <item x="582"/>
        <item x="365"/>
        <item x="734"/>
        <item x="208"/>
        <item x="539"/>
        <item x="920"/>
        <item x="562"/>
        <item x="549"/>
        <item x="16"/>
        <item x="993"/>
        <item x="223"/>
        <item x="811"/>
        <item x="290"/>
        <item x="970"/>
        <item x="84"/>
        <item x="653"/>
        <item x="119"/>
        <item x="570"/>
        <item x="554"/>
        <item x="770"/>
        <item x="690"/>
        <item x="26"/>
        <item x="575"/>
        <item x="546"/>
        <item x="781"/>
        <item x="1023"/>
        <item x="126"/>
        <item x="1097"/>
        <item x="222"/>
        <item x="1015"/>
        <item x="225"/>
        <item x="769"/>
        <item x="870"/>
        <item x="904"/>
        <item x="260"/>
        <item x="890"/>
        <item x="1040"/>
        <item x="742"/>
        <item x="325"/>
        <item x="132"/>
        <item x="333"/>
        <item x="1126"/>
        <item x="188"/>
        <item x="421"/>
        <item x="998"/>
        <item x="317"/>
        <item x="708"/>
        <item x="251"/>
        <item x="1098"/>
        <item x="782"/>
        <item x="206"/>
        <item x="261"/>
        <item x="27"/>
        <item x="423"/>
        <item x="623"/>
        <item x="801"/>
        <item x="759"/>
        <item x="1045"/>
        <item x="381"/>
        <item x="626"/>
        <item x="1059"/>
        <item x="192"/>
        <item x="614"/>
        <item x="154"/>
        <item x="1158"/>
        <item x="327"/>
        <item x="748"/>
        <item x="817"/>
        <item x="746"/>
        <item x="163"/>
        <item x="202"/>
        <item x="644"/>
        <item x="1108"/>
        <item x="373"/>
        <item x="405"/>
        <item x="253"/>
        <item x="353"/>
        <item x="231"/>
        <item x="291"/>
        <item x="496"/>
        <item x="165"/>
        <item x="514"/>
        <item x="459"/>
        <item x="974"/>
        <item x="326"/>
        <item x="1164"/>
        <item x="646"/>
        <item x="348"/>
        <item x="288"/>
        <item x="869"/>
        <item x="1167"/>
        <item x="230"/>
        <item x="1112"/>
        <item x="150"/>
        <item x="1107"/>
        <item x="705"/>
        <item t="default"/>
      </items>
    </pivotField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3"/>
        <item x="4"/>
        <item x="1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axis="axisRow" showAll="0">
      <items count="12">
        <item x="8"/>
        <item x="3"/>
        <item x="5"/>
        <item x="0"/>
        <item x="10"/>
        <item x="6"/>
        <item x="2"/>
        <item x="1"/>
        <item x="7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">
        <item x="1"/>
        <item x="4"/>
        <item x="7"/>
        <item x="0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Ticket Flag" fld="29" baseField="0" baseItem="0"/>
  </dataFields>
  <formats count="3">
    <format dxfId="35">
      <pivotArea type="all" dataOnly="0" outline="0" fieldPosition="0"/>
    </format>
    <format dxfId="34">
      <pivotArea dataOnly="0" labelOnly="1" outline="0" axis="axisValues" fieldPosition="0"/>
    </format>
    <format dxfId="33">
      <pivotArea outline="0" collapsedLevelsAreSubtotals="1" fieldPosition="0"/>
    </format>
  </formats>
  <chartFormats count="1"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F89C3-F123-4258-98C7-B73D9EE76406}" name="Tabela dinâmica14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0">
  <location ref="A31:B35" firstHeaderRow="1" firstDataRow="1" firstDataCol="1"/>
  <pivotFields count="38">
    <pivotField showAll="0"/>
    <pivotField showAll="0"/>
    <pivotField numFmtId="22" showAll="0">
      <items count="1180">
        <item x="388"/>
        <item x="289"/>
        <item x="619"/>
        <item x="329"/>
        <item x="115"/>
        <item x="350"/>
        <item x="338"/>
        <item x="809"/>
        <item x="657"/>
        <item x="1090"/>
        <item x="609"/>
        <item x="1"/>
        <item x="613"/>
        <item x="39"/>
        <item x="243"/>
        <item x="980"/>
        <item x="853"/>
        <item x="248"/>
        <item x="152"/>
        <item x="515"/>
        <item x="775"/>
        <item x="973"/>
        <item x="364"/>
        <item x="102"/>
        <item x="1042"/>
        <item x="652"/>
        <item x="635"/>
        <item x="797"/>
        <item x="395"/>
        <item x="393"/>
        <item x="1123"/>
        <item x="679"/>
        <item x="917"/>
        <item x="996"/>
        <item x="358"/>
        <item x="542"/>
        <item x="716"/>
        <item x="450"/>
        <item x="1087"/>
        <item x="924"/>
        <item x="484"/>
        <item x="416"/>
        <item x="711"/>
        <item x="494"/>
        <item x="258"/>
        <item x="598"/>
        <item x="966"/>
        <item x="944"/>
        <item x="386"/>
        <item x="502"/>
        <item x="1143"/>
        <item x="629"/>
        <item x="175"/>
        <item x="252"/>
        <item x="322"/>
        <item x="464"/>
        <item x="900"/>
        <item x="766"/>
        <item x="1144"/>
        <item x="721"/>
        <item x="1178"/>
        <item x="772"/>
        <item x="905"/>
        <item x="122"/>
        <item x="201"/>
        <item x="148"/>
        <item x="107"/>
        <item x="453"/>
        <item x="271"/>
        <item x="1118"/>
        <item x="200"/>
        <item x="667"/>
        <item x="787"/>
        <item x="1133"/>
        <item x="444"/>
        <item x="436"/>
        <item x="864"/>
        <item x="908"/>
        <item x="1002"/>
        <item x="701"/>
        <item x="352"/>
        <item x="420"/>
        <item x="1074"/>
        <item x="526"/>
        <item x="1130"/>
        <item x="967"/>
        <item x="934"/>
        <item x="680"/>
        <item x="686"/>
        <item x="257"/>
        <item x="1006"/>
        <item x="477"/>
        <item x="380"/>
        <item x="372"/>
        <item x="560"/>
        <item x="101"/>
        <item x="638"/>
        <item x="8"/>
        <item x="1064"/>
        <item x="490"/>
        <item x="412"/>
        <item x="717"/>
        <item x="906"/>
        <item x="992"/>
        <item x="593"/>
        <item x="61"/>
        <item x="545"/>
        <item x="1116"/>
        <item x="965"/>
        <item x="458"/>
        <item x="406"/>
        <item x="1113"/>
        <item x="164"/>
        <item x="343"/>
        <item x="1161"/>
        <item x="193"/>
        <item x="310"/>
        <item x="232"/>
        <item x="863"/>
        <item x="1008"/>
        <item x="791"/>
        <item x="216"/>
        <item x="377"/>
        <item x="141"/>
        <item x="625"/>
        <item x="666"/>
        <item x="739"/>
        <item x="77"/>
        <item x="178"/>
        <item x="696"/>
        <item x="510"/>
        <item x="134"/>
        <item x="691"/>
        <item x="116"/>
        <item x="50"/>
        <item x="276"/>
        <item x="198"/>
        <item x="456"/>
        <item x="12"/>
        <item x="586"/>
        <item x="637"/>
        <item x="818"/>
        <item x="1124"/>
        <item x="622"/>
        <item x="563"/>
        <item x="793"/>
        <item x="1044"/>
        <item x="397"/>
        <item x="1139"/>
        <item x="827"/>
        <item x="719"/>
        <item x="760"/>
        <item x="765"/>
        <item x="587"/>
        <item x="52"/>
        <item x="822"/>
        <item x="336"/>
        <item x="1109"/>
        <item x="813"/>
        <item x="445"/>
        <item x="229"/>
        <item x="561"/>
        <item x="1001"/>
        <item x="1021"/>
        <item x="183"/>
        <item x="1036"/>
        <item x="487"/>
        <item x="982"/>
        <item x="985"/>
        <item x="751"/>
        <item x="851"/>
        <item x="224"/>
        <item x="884"/>
        <item x="1140"/>
        <item x="76"/>
        <item x="196"/>
        <item x="31"/>
        <item x="752"/>
        <item x="1020"/>
        <item x="473"/>
        <item x="499"/>
        <item x="345"/>
        <item x="886"/>
        <item x="948"/>
        <item x="33"/>
        <item x="220"/>
        <item x="1091"/>
        <item x="738"/>
        <item x="389"/>
        <item x="1171"/>
        <item x="528"/>
        <item x="37"/>
        <item x="162"/>
        <item x="747"/>
        <item x="718"/>
        <item x="1125"/>
        <item x="601"/>
        <item x="785"/>
        <item x="1094"/>
        <item x="1058"/>
        <item x="645"/>
        <item x="857"/>
        <item x="901"/>
        <item x="828"/>
        <item x="485"/>
        <item x="726"/>
        <item x="1028"/>
        <item x="438"/>
        <item x="819"/>
        <item x="628"/>
        <item x="113"/>
        <item x="633"/>
        <item x="1019"/>
        <item x="522"/>
        <item x="881"/>
        <item x="914"/>
        <item x="15"/>
        <item x="875"/>
        <item x="226"/>
        <item x="215"/>
        <item x="182"/>
        <item x="889"/>
        <item x="698"/>
        <item x="600"/>
        <item x="1155"/>
        <item x="159"/>
        <item x="850"/>
        <item x="277"/>
        <item x="90"/>
        <item x="762"/>
        <item x="512"/>
        <item x="663"/>
        <item x="6"/>
        <item x="712"/>
        <item x="1093"/>
        <item x="933"/>
        <item x="197"/>
        <item x="513"/>
        <item x="1099"/>
        <item x="925"/>
        <item x="1150"/>
        <item x="298"/>
        <item x="86"/>
        <item x="413"/>
        <item x="404"/>
        <item x="755"/>
        <item x="661"/>
        <item x="443"/>
        <item x="909"/>
        <item x="786"/>
        <item x="430"/>
        <item x="1052"/>
        <item x="868"/>
        <item x="984"/>
        <item x="677"/>
        <item x="73"/>
        <item x="1134"/>
        <item x="1106"/>
        <item x="14"/>
        <item x="379"/>
        <item x="433"/>
        <item x="979"/>
        <item x="262"/>
        <item x="168"/>
        <item x="517"/>
        <item x="142"/>
        <item x="295"/>
        <item x="75"/>
        <item x="720"/>
        <item x="1145"/>
        <item x="836"/>
        <item x="65"/>
        <item x="344"/>
        <item x="1083"/>
        <item x="1048"/>
        <item x="616"/>
        <item x="195"/>
        <item x="866"/>
        <item x="995"/>
        <item x="112"/>
        <item x="745"/>
        <item x="463"/>
        <item x="639"/>
        <item x="624"/>
        <item x="375"/>
        <item x="1061"/>
        <item x="987"/>
        <item x="915"/>
        <item x="401"/>
        <item x="233"/>
        <item x="394"/>
        <item x="954"/>
        <item x="1046"/>
        <item x="1081"/>
        <item x="648"/>
        <item x="689"/>
        <item x="1117"/>
        <item x="521"/>
        <item x="340"/>
        <item x="123"/>
        <item x="332"/>
        <item x="962"/>
        <item x="612"/>
        <item x="472"/>
        <item x="651"/>
        <item x="509"/>
        <item x="873"/>
        <item x="127"/>
        <item x="179"/>
        <item x="1121"/>
        <item x="40"/>
        <item x="1024"/>
        <item x="213"/>
        <item x="697"/>
        <item x="240"/>
        <item x="1166"/>
        <item x="599"/>
        <item x="279"/>
        <item x="839"/>
        <item x="898"/>
        <item x="735"/>
        <item x="121"/>
        <item x="235"/>
        <item x="923"/>
        <item x="669"/>
        <item x="191"/>
        <item x="489"/>
        <item x="1018"/>
        <item x="771"/>
        <item x="682"/>
        <item x="969"/>
        <item x="321"/>
        <item x="807"/>
        <item x="128"/>
        <item x="410"/>
        <item x="462"/>
        <item x="773"/>
        <item x="899"/>
        <item x="672"/>
        <item x="649"/>
        <item x="823"/>
        <item x="654"/>
        <item x="273"/>
        <item x="409"/>
        <item x="837"/>
        <item x="935"/>
        <item x="454"/>
        <item x="1056"/>
        <item x="913"/>
        <item x="1038"/>
        <item x="29"/>
        <item x="109"/>
        <item x="457"/>
        <item x="418"/>
        <item x="1047"/>
        <item x="339"/>
        <item x="709"/>
        <item x="662"/>
        <item x="468"/>
        <item x="874"/>
        <item x="681"/>
        <item x="320"/>
        <item x="384"/>
        <item x="370"/>
        <item x="221"/>
        <item x="872"/>
        <item x="971"/>
        <item x="504"/>
        <item x="994"/>
        <item x="59"/>
        <item x="1031"/>
        <item x="540"/>
        <item x="497"/>
        <item x="269"/>
        <item x="1055"/>
        <item x="366"/>
        <item x="270"/>
        <item x="95"/>
        <item x="1102"/>
        <item x="91"/>
        <item x="778"/>
        <item x="916"/>
        <item x="848"/>
        <item x="83"/>
        <item x="634"/>
        <item x="722"/>
        <item x="1137"/>
        <item x="1141"/>
        <item x="918"/>
        <item x="81"/>
        <item x="172"/>
        <item x="508"/>
        <item x="1068"/>
        <item x="1152"/>
        <item x="936"/>
        <item x="536"/>
        <item x="145"/>
        <item x="24"/>
        <item x="411"/>
        <item x="578"/>
        <item x="498"/>
        <item x="93"/>
        <item x="555"/>
        <item x="363"/>
        <item x="1053"/>
        <item x="449"/>
        <item x="1122"/>
        <item x="664"/>
        <item x="342"/>
        <item x="272"/>
        <item x="96"/>
        <item x="1170"/>
        <item x="480"/>
        <item x="396"/>
        <item x="1147"/>
        <item x="467"/>
        <item x="78"/>
        <item x="846"/>
        <item x="80"/>
        <item x="169"/>
        <item x="486"/>
        <item x="180"/>
        <item x="402"/>
        <item x="62"/>
        <item x="518"/>
        <item x="34"/>
        <item x="1131"/>
        <item x="945"/>
        <item x="802"/>
        <item x="190"/>
        <item x="105"/>
        <item x="553"/>
        <item x="266"/>
        <item x="85"/>
        <item x="812"/>
        <item x="655"/>
        <item x="692"/>
        <item x="1057"/>
        <item x="470"/>
        <item x="568"/>
        <item x="579"/>
        <item x="481"/>
        <item x="551"/>
        <item x="36"/>
        <item x="349"/>
        <item x="241"/>
        <item x="18"/>
        <item x="800"/>
        <item x="880"/>
        <item x="161"/>
        <item x="774"/>
        <item x="318"/>
        <item x="929"/>
        <item x="878"/>
        <item x="849"/>
        <item x="25"/>
        <item x="767"/>
        <item x="1156"/>
        <item x="1128"/>
        <item x="942"/>
        <item x="403"/>
        <item x="674"/>
        <item x="1115"/>
        <item x="1043"/>
        <item x="422"/>
        <item x="990"/>
        <item x="1067"/>
        <item x="371"/>
        <item x="315"/>
        <item x="983"/>
        <item x="210"/>
        <item x="447"/>
        <item x="544"/>
        <item x="282"/>
        <item x="491"/>
        <item x="768"/>
        <item x="281"/>
        <item x="284"/>
        <item x="399"/>
        <item x="647"/>
        <item x="177"/>
        <item x="448"/>
        <item x="234"/>
        <item x="5"/>
        <item x="591"/>
        <item x="21"/>
        <item x="511"/>
        <item x="362"/>
        <item x="1085"/>
        <item x="1009"/>
        <item x="385"/>
        <item x="108"/>
        <item x="879"/>
        <item x="550"/>
        <item x="250"/>
        <item x="571"/>
        <item x="1034"/>
        <item x="796"/>
        <item x="583"/>
        <item x="0"/>
        <item x="435"/>
        <item x="60"/>
        <item x="482"/>
        <item x="963"/>
        <item x="656"/>
        <item x="541"/>
        <item x="97"/>
        <item x="400"/>
        <item x="862"/>
        <item x="1084"/>
        <item x="977"/>
        <item x="926"/>
        <item x="17"/>
        <item x="1160"/>
        <item x="749"/>
        <item x="360"/>
        <item x="185"/>
        <item x="398"/>
        <item x="374"/>
        <item x="1011"/>
        <item x="300"/>
        <item x="829"/>
        <item x="928"/>
        <item x="1086"/>
        <item x="693"/>
        <item x="103"/>
        <item x="543"/>
        <item x="883"/>
        <item x="478"/>
        <item x="283"/>
        <item x="838"/>
        <item x="972"/>
        <item x="369"/>
        <item x="1127"/>
        <item x="114"/>
        <item x="1162"/>
        <item x="461"/>
        <item x="1039"/>
        <item x="893"/>
        <item x="323"/>
        <item x="302"/>
        <item x="82"/>
        <item x="687"/>
        <item x="1111"/>
        <item x="670"/>
        <item x="658"/>
        <item x="608"/>
        <item x="98"/>
        <item x="1175"/>
        <item x="610"/>
        <item x="94"/>
        <item x="1132"/>
        <item x="63"/>
        <item x="665"/>
        <item x="695"/>
        <item x="390"/>
        <item x="460"/>
        <item x="425"/>
        <item x="476"/>
        <item x="324"/>
        <item x="876"/>
        <item x="2"/>
        <item x="299"/>
        <item x="927"/>
        <item x="118"/>
        <item x="69"/>
        <item x="854"/>
        <item x="30"/>
        <item x="237"/>
        <item x="296"/>
        <item x="520"/>
        <item x="860"/>
        <item x="525"/>
        <item x="22"/>
        <item x="41"/>
        <item x="831"/>
        <item x="209"/>
        <item x="378"/>
        <item x="816"/>
        <item x="265"/>
        <item x="125"/>
        <item x="170"/>
        <item x="1153"/>
        <item x="1136"/>
        <item x="855"/>
        <item x="292"/>
        <item x="859"/>
        <item x="1149"/>
        <item x="1163"/>
        <item x="189"/>
        <item x="23"/>
        <item x="757"/>
        <item x="287"/>
        <item x="603"/>
        <item x="439"/>
        <item x="440"/>
        <item x="214"/>
        <item x="1003"/>
        <item x="173"/>
        <item x="833"/>
        <item x="840"/>
        <item x="488"/>
        <item x="573"/>
        <item x="741"/>
        <item x="989"/>
        <item x="319"/>
        <item x="585"/>
        <item x="946"/>
        <item x="758"/>
        <item x="590"/>
        <item x="820"/>
        <item x="452"/>
        <item x="356"/>
        <item x="588"/>
        <item x="359"/>
        <item x="297"/>
        <item x="505"/>
        <item x="824"/>
        <item x="74"/>
        <item x="566"/>
        <item x="1062"/>
        <item x="500"/>
        <item x="304"/>
        <item x="1029"/>
        <item x="952"/>
        <item x="219"/>
        <item x="556"/>
        <item x="676"/>
        <item x="843"/>
        <item x="844"/>
        <item x="293"/>
        <item x="236"/>
        <item x="1129"/>
        <item x="805"/>
        <item x="1096"/>
        <item x="28"/>
        <item x="368"/>
        <item x="999"/>
        <item x="1176"/>
        <item x="673"/>
        <item x="777"/>
        <item x="685"/>
        <item x="714"/>
        <item x="3"/>
        <item x="986"/>
        <item x="280"/>
        <item x="305"/>
        <item x="218"/>
        <item x="877"/>
        <item x="391"/>
        <item x="523"/>
        <item x="87"/>
        <item x="314"/>
        <item x="174"/>
        <item x="1177"/>
        <item x="659"/>
        <item x="68"/>
        <item x="446"/>
        <item x="67"/>
        <item x="727"/>
        <item x="1101"/>
        <item x="117"/>
        <item x="794"/>
        <item x="959"/>
        <item x="158"/>
        <item x="795"/>
        <item x="495"/>
        <item x="744"/>
        <item x="254"/>
        <item x="960"/>
        <item x="1005"/>
        <item x="572"/>
        <item x="1054"/>
        <item x="1066"/>
        <item x="631"/>
        <item x="790"/>
        <item x="383"/>
        <item x="968"/>
        <item x="736"/>
        <item x="1157"/>
        <item x="466"/>
        <item x="642"/>
        <item x="532"/>
        <item x="308"/>
        <item x="524"/>
        <item x="764"/>
        <item x="1082"/>
        <item x="149"/>
        <item x="527"/>
        <item x="821"/>
        <item x="891"/>
        <item x="1078"/>
        <item x="465"/>
        <item x="684"/>
        <item x="806"/>
        <item x="1041"/>
        <item x="538"/>
        <item x="387"/>
        <item x="1089"/>
        <item x="309"/>
        <item x="1079"/>
        <item x="199"/>
        <item x="407"/>
        <item x="1080"/>
        <item x="55"/>
        <item x="577"/>
        <item x="483"/>
        <item x="155"/>
        <item x="434"/>
        <item x="408"/>
        <item x="641"/>
        <item x="53"/>
        <item x="847"/>
        <item x="865"/>
        <item x="442"/>
        <item x="239"/>
        <item x="688"/>
        <item x="428"/>
        <item x="694"/>
        <item x="728"/>
        <item x="700"/>
        <item x="949"/>
        <item x="804"/>
        <item x="20"/>
        <item x="32"/>
        <item x="699"/>
        <item x="1104"/>
        <item x="597"/>
        <item x="529"/>
        <item x="437"/>
        <item x="92"/>
        <item x="1013"/>
        <item x="139"/>
        <item x="888"/>
        <item x="567"/>
        <item x="137"/>
        <item x="45"/>
        <item x="725"/>
        <item x="594"/>
        <item x="825"/>
        <item x="938"/>
        <item x="814"/>
        <item x="245"/>
        <item x="11"/>
        <item x="1016"/>
        <item x="357"/>
        <item x="46"/>
        <item x="1174"/>
        <item x="1012"/>
        <item x="1119"/>
        <item x="976"/>
        <item x="124"/>
        <item x="788"/>
        <item x="737"/>
        <item x="943"/>
        <item x="426"/>
        <item x="783"/>
        <item x="334"/>
        <item x="140"/>
        <item x="47"/>
        <item x="35"/>
        <item x="111"/>
        <item x="1007"/>
        <item x="475"/>
        <item x="975"/>
        <item x="620"/>
        <item x="704"/>
        <item x="858"/>
        <item x="347"/>
        <item x="1010"/>
        <item x="313"/>
        <item x="702"/>
        <item x="104"/>
        <item x="756"/>
        <item x="431"/>
        <item x="832"/>
        <item x="519"/>
        <item x="627"/>
        <item x="1032"/>
        <item x="432"/>
        <item x="136"/>
        <item x="469"/>
        <item x="1030"/>
        <item x="907"/>
        <item x="247"/>
        <item x="167"/>
        <item x="953"/>
        <item x="803"/>
        <item x="51"/>
        <item x="355"/>
        <item x="479"/>
        <item x="44"/>
        <item x="611"/>
        <item x="1172"/>
        <item x="799"/>
        <item x="131"/>
        <item x="897"/>
        <item x="871"/>
        <item x="1159"/>
        <item x="1142"/>
        <item x="228"/>
        <item x="617"/>
        <item x="640"/>
        <item x="569"/>
        <item x="414"/>
        <item x="135"/>
        <item x="146"/>
        <item x="455"/>
        <item x="424"/>
        <item x="565"/>
        <item x="205"/>
        <item x="950"/>
        <item x="978"/>
        <item x="882"/>
        <item x="1148"/>
        <item x="930"/>
        <item x="602"/>
        <item x="852"/>
        <item x="798"/>
        <item x="129"/>
        <item x="312"/>
        <item x="9"/>
        <item x="861"/>
        <item x="1165"/>
        <item x="733"/>
        <item x="1138"/>
        <item x="341"/>
        <item x="887"/>
        <item x="885"/>
        <item x="130"/>
        <item x="895"/>
        <item x="710"/>
        <item x="910"/>
        <item x="630"/>
        <item x="419"/>
        <item x="507"/>
        <item x="278"/>
        <item x="632"/>
        <item x="595"/>
        <item x="354"/>
        <item x="621"/>
        <item x="894"/>
        <item x="79"/>
        <item x="732"/>
        <item x="100"/>
        <item x="584"/>
        <item x="940"/>
        <item x="1073"/>
        <item x="731"/>
        <item x="1077"/>
        <item x="1146"/>
        <item x="493"/>
        <item x="557"/>
        <item x="1049"/>
        <item x="259"/>
        <item x="376"/>
        <item x="255"/>
        <item x="921"/>
        <item x="492"/>
        <item x="713"/>
        <item x="156"/>
        <item x="346"/>
        <item x="939"/>
        <item x="441"/>
        <item x="151"/>
        <item x="835"/>
        <item x="675"/>
        <item x="981"/>
        <item x="143"/>
        <item x="671"/>
        <item x="56"/>
        <item x="1100"/>
        <item x="867"/>
        <item x="607"/>
        <item x="596"/>
        <item x="211"/>
        <item x="958"/>
        <item x="937"/>
        <item x="330"/>
        <item x="643"/>
        <item x="70"/>
        <item x="160"/>
        <item x="650"/>
        <item x="166"/>
        <item x="1017"/>
        <item x="303"/>
        <item x="931"/>
        <item x="1088"/>
        <item x="997"/>
        <item x="244"/>
        <item x="548"/>
        <item x="285"/>
        <item x="246"/>
        <item x="589"/>
        <item x="1169"/>
        <item x="947"/>
        <item x="516"/>
        <item x="991"/>
        <item x="71"/>
        <item x="1060"/>
        <item x="301"/>
        <item x="636"/>
        <item x="941"/>
        <item x="606"/>
        <item x="49"/>
        <item x="592"/>
        <item x="743"/>
        <item x="683"/>
        <item x="1050"/>
        <item x="902"/>
        <item x="703"/>
        <item x="138"/>
        <item x="892"/>
        <item x="42"/>
        <item x="186"/>
        <item x="1095"/>
        <item x="58"/>
        <item x="845"/>
        <item x="1103"/>
        <item x="429"/>
        <item x="392"/>
        <item x="144"/>
        <item x="955"/>
        <item x="427"/>
        <item x="72"/>
        <item x="1022"/>
        <item x="328"/>
        <item x="294"/>
        <item x="66"/>
        <item x="779"/>
        <item x="605"/>
        <item x="896"/>
        <item x="1075"/>
        <item x="451"/>
        <item x="956"/>
        <item x="264"/>
        <item x="1033"/>
        <item x="382"/>
        <item x="534"/>
        <item x="256"/>
        <item x="471"/>
        <item x="964"/>
        <item x="730"/>
        <item x="1110"/>
        <item x="501"/>
        <item x="780"/>
        <item x="1051"/>
        <item x="286"/>
        <item x="581"/>
        <item x="564"/>
        <item x="19"/>
        <item x="530"/>
        <item x="842"/>
        <item x="110"/>
        <item x="841"/>
        <item x="668"/>
        <item x="194"/>
        <item x="268"/>
        <item x="537"/>
        <item x="88"/>
        <item x="919"/>
        <item x="267"/>
        <item x="618"/>
        <item x="1065"/>
        <item x="660"/>
        <item x="856"/>
        <item x="1069"/>
        <item x="922"/>
        <item x="153"/>
        <item x="547"/>
        <item x="750"/>
        <item x="1114"/>
        <item x="503"/>
        <item x="275"/>
        <item x="1120"/>
        <item x="815"/>
        <item x="415"/>
        <item x="574"/>
        <item x="1014"/>
        <item x="1154"/>
        <item x="184"/>
        <item x="274"/>
        <item x="957"/>
        <item x="552"/>
        <item x="911"/>
        <item x="351"/>
        <item x="810"/>
        <item x="106"/>
        <item x="961"/>
        <item x="830"/>
        <item x="1037"/>
        <item x="307"/>
        <item x="1035"/>
        <item x="789"/>
        <item x="761"/>
        <item x="678"/>
        <item x="217"/>
        <item x="171"/>
        <item x="1076"/>
        <item x="808"/>
        <item x="531"/>
        <item x="1071"/>
        <item x="932"/>
        <item x="951"/>
        <item x="335"/>
        <item x="13"/>
        <item x="38"/>
        <item x="533"/>
        <item x="754"/>
        <item x="1027"/>
        <item x="242"/>
        <item x="181"/>
        <item x="615"/>
        <item x="120"/>
        <item x="204"/>
        <item x="1173"/>
        <item x="57"/>
        <item x="176"/>
        <item x="535"/>
        <item x="792"/>
        <item x="474"/>
        <item x="559"/>
        <item x="227"/>
        <item x="707"/>
        <item x="1063"/>
        <item x="1025"/>
        <item x="826"/>
        <item x="238"/>
        <item x="54"/>
        <item x="1105"/>
        <item x="763"/>
        <item x="147"/>
        <item x="207"/>
        <item x="249"/>
        <item x="604"/>
        <item x="1004"/>
        <item x="506"/>
        <item x="316"/>
        <item x="1072"/>
        <item x="1092"/>
        <item x="212"/>
        <item x="311"/>
        <item x="7"/>
        <item x="133"/>
        <item x="715"/>
        <item x="1151"/>
        <item x="903"/>
        <item x="203"/>
        <item x="1070"/>
        <item x="187"/>
        <item x="89"/>
        <item x="64"/>
        <item x="784"/>
        <item x="337"/>
        <item x="740"/>
        <item x="776"/>
        <item x="1135"/>
        <item x="43"/>
        <item x="834"/>
        <item x="306"/>
        <item x="331"/>
        <item x="580"/>
        <item x="157"/>
        <item x="99"/>
        <item x="4"/>
        <item x="706"/>
        <item x="48"/>
        <item x="912"/>
        <item x="753"/>
        <item x="417"/>
        <item x="576"/>
        <item x="10"/>
        <item x="1168"/>
        <item x="1000"/>
        <item x="1026"/>
        <item x="724"/>
        <item x="558"/>
        <item x="723"/>
        <item x="361"/>
        <item x="988"/>
        <item x="367"/>
        <item x="263"/>
        <item x="729"/>
        <item x="582"/>
        <item x="365"/>
        <item x="734"/>
        <item x="208"/>
        <item x="539"/>
        <item x="920"/>
        <item x="562"/>
        <item x="549"/>
        <item x="16"/>
        <item x="993"/>
        <item x="223"/>
        <item x="811"/>
        <item x="290"/>
        <item x="970"/>
        <item x="84"/>
        <item x="653"/>
        <item x="119"/>
        <item x="570"/>
        <item x="554"/>
        <item x="770"/>
        <item x="690"/>
        <item x="26"/>
        <item x="575"/>
        <item x="546"/>
        <item x="781"/>
        <item x="1023"/>
        <item x="126"/>
        <item x="1097"/>
        <item x="222"/>
        <item x="1015"/>
        <item x="225"/>
        <item x="769"/>
        <item x="870"/>
        <item x="904"/>
        <item x="260"/>
        <item x="890"/>
        <item x="1040"/>
        <item x="742"/>
        <item x="325"/>
        <item x="132"/>
        <item x="333"/>
        <item x="1126"/>
        <item x="188"/>
        <item x="421"/>
        <item x="998"/>
        <item x="317"/>
        <item x="708"/>
        <item x="251"/>
        <item x="1098"/>
        <item x="782"/>
        <item x="206"/>
        <item x="261"/>
        <item x="27"/>
        <item x="423"/>
        <item x="623"/>
        <item x="801"/>
        <item x="759"/>
        <item x="1045"/>
        <item x="381"/>
        <item x="626"/>
        <item x="1059"/>
        <item x="192"/>
        <item x="614"/>
        <item x="154"/>
        <item x="1158"/>
        <item x="327"/>
        <item x="748"/>
        <item x="817"/>
        <item x="746"/>
        <item x="163"/>
        <item x="202"/>
        <item x="644"/>
        <item x="1108"/>
        <item x="373"/>
        <item x="405"/>
        <item x="253"/>
        <item x="353"/>
        <item x="231"/>
        <item x="291"/>
        <item x="496"/>
        <item x="165"/>
        <item x="514"/>
        <item x="459"/>
        <item x="974"/>
        <item x="326"/>
        <item x="1164"/>
        <item x="646"/>
        <item x="348"/>
        <item x="288"/>
        <item x="869"/>
        <item x="1167"/>
        <item x="230"/>
        <item x="1112"/>
        <item x="150"/>
        <item x="1107"/>
        <item x="705"/>
        <item t="default"/>
      </items>
    </pivotField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3"/>
        <item x="4"/>
        <item x="1"/>
        <item x="2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>
      <items count="12">
        <item x="8"/>
        <item x="3"/>
        <item x="5"/>
        <item x="0"/>
        <item x="10"/>
        <item x="6"/>
        <item x="2"/>
        <item x="1"/>
        <item x="7"/>
        <item x="9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">
        <item x="1"/>
        <item x="4"/>
        <item x="7"/>
        <item x="0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édia de CSAT (1-5)" fld="13" subtotal="average" baseField="0" baseItem="0"/>
  </dataFields>
  <formats count="3">
    <format dxfId="38">
      <pivotArea type="all" dataOnly="0" outline="0" fieldPosition="0"/>
    </format>
    <format dxfId="37">
      <pivotArea dataOnly="0" labelOnly="1" outline="0" axis="axisValues" fieldPosition="0"/>
    </format>
    <format dxfId="36">
      <pivotArea outline="0" collapsedLevelsAreSubtotals="1" fieldPosition="0"/>
    </format>
  </format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AA24D-1DFC-45C8-B01E-1CF8085C23D7}" name="Tabela dinâmica8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D1:D2" firstHeaderRow="1" firstDataRow="1" firstDataCol="0"/>
  <pivotFields count="38">
    <pivotField showAll="0"/>
    <pivotField showAll="0"/>
    <pivotField numFmtId="22" showAll="0">
      <items count="1180">
        <item x="388"/>
        <item x="289"/>
        <item x="619"/>
        <item x="329"/>
        <item x="115"/>
        <item x="350"/>
        <item x="338"/>
        <item x="809"/>
        <item x="657"/>
        <item x="1090"/>
        <item x="609"/>
        <item x="1"/>
        <item x="613"/>
        <item x="39"/>
        <item x="243"/>
        <item x="980"/>
        <item x="853"/>
        <item x="248"/>
        <item x="152"/>
        <item x="515"/>
        <item x="775"/>
        <item x="973"/>
        <item x="364"/>
        <item x="102"/>
        <item x="1042"/>
        <item x="652"/>
        <item x="635"/>
        <item x="797"/>
        <item x="395"/>
        <item x="393"/>
        <item x="1123"/>
        <item x="679"/>
        <item x="917"/>
        <item x="996"/>
        <item x="358"/>
        <item x="542"/>
        <item x="716"/>
        <item x="450"/>
        <item x="1087"/>
        <item x="924"/>
        <item x="484"/>
        <item x="416"/>
        <item x="711"/>
        <item x="494"/>
        <item x="258"/>
        <item x="598"/>
        <item x="966"/>
        <item x="944"/>
        <item x="386"/>
        <item x="502"/>
        <item x="1143"/>
        <item x="629"/>
        <item x="175"/>
        <item x="252"/>
        <item x="322"/>
        <item x="464"/>
        <item x="900"/>
        <item x="766"/>
        <item x="1144"/>
        <item x="721"/>
        <item x="1178"/>
        <item x="772"/>
        <item x="905"/>
        <item x="122"/>
        <item x="201"/>
        <item x="148"/>
        <item x="107"/>
        <item x="453"/>
        <item x="271"/>
        <item x="1118"/>
        <item x="200"/>
        <item x="667"/>
        <item x="787"/>
        <item x="1133"/>
        <item x="444"/>
        <item x="436"/>
        <item x="864"/>
        <item x="908"/>
        <item x="1002"/>
        <item x="701"/>
        <item x="352"/>
        <item x="420"/>
        <item x="1074"/>
        <item x="526"/>
        <item x="1130"/>
        <item x="967"/>
        <item x="934"/>
        <item x="680"/>
        <item x="686"/>
        <item x="257"/>
        <item x="1006"/>
        <item x="477"/>
        <item x="380"/>
        <item x="372"/>
        <item x="560"/>
        <item x="101"/>
        <item x="638"/>
        <item x="8"/>
        <item x="1064"/>
        <item x="490"/>
        <item x="412"/>
        <item x="717"/>
        <item x="906"/>
        <item x="992"/>
        <item x="593"/>
        <item x="61"/>
        <item x="545"/>
        <item x="1116"/>
        <item x="965"/>
        <item x="458"/>
        <item x="406"/>
        <item x="1113"/>
        <item x="164"/>
        <item x="343"/>
        <item x="1161"/>
        <item x="193"/>
        <item x="310"/>
        <item x="232"/>
        <item x="863"/>
        <item x="1008"/>
        <item x="791"/>
        <item x="216"/>
        <item x="377"/>
        <item x="141"/>
        <item x="625"/>
        <item x="666"/>
        <item x="739"/>
        <item x="77"/>
        <item x="178"/>
        <item x="696"/>
        <item x="510"/>
        <item x="134"/>
        <item x="691"/>
        <item x="116"/>
        <item x="50"/>
        <item x="276"/>
        <item x="198"/>
        <item x="456"/>
        <item x="12"/>
        <item x="586"/>
        <item x="637"/>
        <item x="818"/>
        <item x="1124"/>
        <item x="622"/>
        <item x="563"/>
        <item x="793"/>
        <item x="1044"/>
        <item x="397"/>
        <item x="1139"/>
        <item x="827"/>
        <item x="719"/>
        <item x="760"/>
        <item x="765"/>
        <item x="587"/>
        <item x="52"/>
        <item x="822"/>
        <item x="336"/>
        <item x="1109"/>
        <item x="813"/>
        <item x="445"/>
        <item x="229"/>
        <item x="561"/>
        <item x="1001"/>
        <item x="1021"/>
        <item x="183"/>
        <item x="1036"/>
        <item x="487"/>
        <item x="982"/>
        <item x="985"/>
        <item x="751"/>
        <item x="851"/>
        <item x="224"/>
        <item x="884"/>
        <item x="1140"/>
        <item x="76"/>
        <item x="196"/>
        <item x="31"/>
        <item x="752"/>
        <item x="1020"/>
        <item x="473"/>
        <item x="499"/>
        <item x="345"/>
        <item x="886"/>
        <item x="948"/>
        <item x="33"/>
        <item x="220"/>
        <item x="1091"/>
        <item x="738"/>
        <item x="389"/>
        <item x="1171"/>
        <item x="528"/>
        <item x="37"/>
        <item x="162"/>
        <item x="747"/>
        <item x="718"/>
        <item x="1125"/>
        <item x="601"/>
        <item x="785"/>
        <item x="1094"/>
        <item x="1058"/>
        <item x="645"/>
        <item x="857"/>
        <item x="901"/>
        <item x="828"/>
        <item x="485"/>
        <item x="726"/>
        <item x="1028"/>
        <item x="438"/>
        <item x="819"/>
        <item x="628"/>
        <item x="113"/>
        <item x="633"/>
        <item x="1019"/>
        <item x="522"/>
        <item x="881"/>
        <item x="914"/>
        <item x="15"/>
        <item x="875"/>
        <item x="226"/>
        <item x="215"/>
        <item x="182"/>
        <item x="889"/>
        <item x="698"/>
        <item x="600"/>
        <item x="1155"/>
        <item x="159"/>
        <item x="850"/>
        <item x="277"/>
        <item x="90"/>
        <item x="762"/>
        <item x="512"/>
        <item x="663"/>
        <item x="6"/>
        <item x="712"/>
        <item x="1093"/>
        <item x="933"/>
        <item x="197"/>
        <item x="513"/>
        <item x="1099"/>
        <item x="925"/>
        <item x="1150"/>
        <item x="298"/>
        <item x="86"/>
        <item x="413"/>
        <item x="404"/>
        <item x="755"/>
        <item x="661"/>
        <item x="443"/>
        <item x="909"/>
        <item x="786"/>
        <item x="430"/>
        <item x="1052"/>
        <item x="868"/>
        <item x="984"/>
        <item x="677"/>
        <item x="73"/>
        <item x="1134"/>
        <item x="1106"/>
        <item x="14"/>
        <item x="379"/>
        <item x="433"/>
        <item x="979"/>
        <item x="262"/>
        <item x="168"/>
        <item x="517"/>
        <item x="142"/>
        <item x="295"/>
        <item x="75"/>
        <item x="720"/>
        <item x="1145"/>
        <item x="836"/>
        <item x="65"/>
        <item x="344"/>
        <item x="1083"/>
        <item x="1048"/>
        <item x="616"/>
        <item x="195"/>
        <item x="866"/>
        <item x="995"/>
        <item x="112"/>
        <item x="745"/>
        <item x="463"/>
        <item x="639"/>
        <item x="624"/>
        <item x="375"/>
        <item x="1061"/>
        <item x="987"/>
        <item x="915"/>
        <item x="401"/>
        <item x="233"/>
        <item x="394"/>
        <item x="954"/>
        <item x="1046"/>
        <item x="1081"/>
        <item x="648"/>
        <item x="689"/>
        <item x="1117"/>
        <item x="521"/>
        <item x="340"/>
        <item x="123"/>
        <item x="332"/>
        <item x="962"/>
        <item x="612"/>
        <item x="472"/>
        <item x="651"/>
        <item x="509"/>
        <item x="873"/>
        <item x="127"/>
        <item x="179"/>
        <item x="1121"/>
        <item x="40"/>
        <item x="1024"/>
        <item x="213"/>
        <item x="697"/>
        <item x="240"/>
        <item x="1166"/>
        <item x="599"/>
        <item x="279"/>
        <item x="839"/>
        <item x="898"/>
        <item x="735"/>
        <item x="121"/>
        <item x="235"/>
        <item x="923"/>
        <item x="669"/>
        <item x="191"/>
        <item x="489"/>
        <item x="1018"/>
        <item x="771"/>
        <item x="682"/>
        <item x="969"/>
        <item x="321"/>
        <item x="807"/>
        <item x="128"/>
        <item x="410"/>
        <item x="462"/>
        <item x="773"/>
        <item x="899"/>
        <item x="672"/>
        <item x="649"/>
        <item x="823"/>
        <item x="654"/>
        <item x="273"/>
        <item x="409"/>
        <item x="837"/>
        <item x="935"/>
        <item x="454"/>
        <item x="1056"/>
        <item x="913"/>
        <item x="1038"/>
        <item x="29"/>
        <item x="109"/>
        <item x="457"/>
        <item x="418"/>
        <item x="1047"/>
        <item x="339"/>
        <item x="709"/>
        <item x="662"/>
        <item x="468"/>
        <item x="874"/>
        <item x="681"/>
        <item x="320"/>
        <item x="384"/>
        <item x="370"/>
        <item x="221"/>
        <item x="872"/>
        <item x="971"/>
        <item x="504"/>
        <item x="994"/>
        <item x="59"/>
        <item x="1031"/>
        <item x="540"/>
        <item x="497"/>
        <item x="269"/>
        <item x="1055"/>
        <item x="366"/>
        <item x="270"/>
        <item x="95"/>
        <item x="1102"/>
        <item x="91"/>
        <item x="778"/>
        <item x="916"/>
        <item x="848"/>
        <item x="83"/>
        <item x="634"/>
        <item x="722"/>
        <item x="1137"/>
        <item x="1141"/>
        <item x="918"/>
        <item x="81"/>
        <item x="172"/>
        <item x="508"/>
        <item x="1068"/>
        <item x="1152"/>
        <item x="936"/>
        <item x="536"/>
        <item x="145"/>
        <item x="24"/>
        <item x="411"/>
        <item x="578"/>
        <item x="498"/>
        <item x="93"/>
        <item x="555"/>
        <item x="363"/>
        <item x="1053"/>
        <item x="449"/>
        <item x="1122"/>
        <item x="664"/>
        <item x="342"/>
        <item x="272"/>
        <item x="96"/>
        <item x="1170"/>
        <item x="480"/>
        <item x="396"/>
        <item x="1147"/>
        <item x="467"/>
        <item x="78"/>
        <item x="846"/>
        <item x="80"/>
        <item x="169"/>
        <item x="486"/>
        <item x="180"/>
        <item x="402"/>
        <item x="62"/>
        <item x="518"/>
        <item x="34"/>
        <item x="1131"/>
        <item x="945"/>
        <item x="802"/>
        <item x="190"/>
        <item x="105"/>
        <item x="553"/>
        <item x="266"/>
        <item x="85"/>
        <item x="812"/>
        <item x="655"/>
        <item x="692"/>
        <item x="1057"/>
        <item x="470"/>
        <item x="568"/>
        <item x="579"/>
        <item x="481"/>
        <item x="551"/>
        <item x="36"/>
        <item x="349"/>
        <item x="241"/>
        <item x="18"/>
        <item x="800"/>
        <item x="880"/>
        <item x="161"/>
        <item x="774"/>
        <item x="318"/>
        <item x="929"/>
        <item x="878"/>
        <item x="849"/>
        <item x="25"/>
        <item x="767"/>
        <item x="1156"/>
        <item x="1128"/>
        <item x="942"/>
        <item x="403"/>
        <item x="674"/>
        <item x="1115"/>
        <item x="1043"/>
        <item x="422"/>
        <item x="990"/>
        <item x="1067"/>
        <item x="371"/>
        <item x="315"/>
        <item x="983"/>
        <item x="210"/>
        <item x="447"/>
        <item x="544"/>
        <item x="282"/>
        <item x="491"/>
        <item x="768"/>
        <item x="281"/>
        <item x="284"/>
        <item x="399"/>
        <item x="647"/>
        <item x="177"/>
        <item x="448"/>
        <item x="234"/>
        <item x="5"/>
        <item x="591"/>
        <item x="21"/>
        <item x="511"/>
        <item x="362"/>
        <item x="1085"/>
        <item x="1009"/>
        <item x="385"/>
        <item x="108"/>
        <item x="879"/>
        <item x="550"/>
        <item x="250"/>
        <item x="571"/>
        <item x="1034"/>
        <item x="796"/>
        <item x="583"/>
        <item x="0"/>
        <item x="435"/>
        <item x="60"/>
        <item x="482"/>
        <item x="963"/>
        <item x="656"/>
        <item x="541"/>
        <item x="97"/>
        <item x="400"/>
        <item x="862"/>
        <item x="1084"/>
        <item x="977"/>
        <item x="926"/>
        <item x="17"/>
        <item x="1160"/>
        <item x="749"/>
        <item x="360"/>
        <item x="185"/>
        <item x="398"/>
        <item x="374"/>
        <item x="1011"/>
        <item x="300"/>
        <item x="829"/>
        <item x="928"/>
        <item x="1086"/>
        <item x="693"/>
        <item x="103"/>
        <item x="543"/>
        <item x="883"/>
        <item x="478"/>
        <item x="283"/>
        <item x="838"/>
        <item x="972"/>
        <item x="369"/>
        <item x="1127"/>
        <item x="114"/>
        <item x="1162"/>
        <item x="461"/>
        <item x="1039"/>
        <item x="893"/>
        <item x="323"/>
        <item x="302"/>
        <item x="82"/>
        <item x="687"/>
        <item x="1111"/>
        <item x="670"/>
        <item x="658"/>
        <item x="608"/>
        <item x="98"/>
        <item x="1175"/>
        <item x="610"/>
        <item x="94"/>
        <item x="1132"/>
        <item x="63"/>
        <item x="665"/>
        <item x="695"/>
        <item x="390"/>
        <item x="460"/>
        <item x="425"/>
        <item x="476"/>
        <item x="324"/>
        <item x="876"/>
        <item x="2"/>
        <item x="299"/>
        <item x="927"/>
        <item x="118"/>
        <item x="69"/>
        <item x="854"/>
        <item x="30"/>
        <item x="237"/>
        <item x="296"/>
        <item x="520"/>
        <item x="860"/>
        <item x="525"/>
        <item x="22"/>
        <item x="41"/>
        <item x="831"/>
        <item x="209"/>
        <item x="378"/>
        <item x="816"/>
        <item x="265"/>
        <item x="125"/>
        <item x="170"/>
        <item x="1153"/>
        <item x="1136"/>
        <item x="855"/>
        <item x="292"/>
        <item x="859"/>
        <item x="1149"/>
        <item x="1163"/>
        <item x="189"/>
        <item x="23"/>
        <item x="757"/>
        <item x="287"/>
        <item x="603"/>
        <item x="439"/>
        <item x="440"/>
        <item x="214"/>
        <item x="1003"/>
        <item x="173"/>
        <item x="833"/>
        <item x="840"/>
        <item x="488"/>
        <item x="573"/>
        <item x="741"/>
        <item x="989"/>
        <item x="319"/>
        <item x="585"/>
        <item x="946"/>
        <item x="758"/>
        <item x="590"/>
        <item x="820"/>
        <item x="452"/>
        <item x="356"/>
        <item x="588"/>
        <item x="359"/>
        <item x="297"/>
        <item x="505"/>
        <item x="824"/>
        <item x="74"/>
        <item x="566"/>
        <item x="1062"/>
        <item x="500"/>
        <item x="304"/>
        <item x="1029"/>
        <item x="952"/>
        <item x="219"/>
        <item x="556"/>
        <item x="676"/>
        <item x="843"/>
        <item x="844"/>
        <item x="293"/>
        <item x="236"/>
        <item x="1129"/>
        <item x="805"/>
        <item x="1096"/>
        <item x="28"/>
        <item x="368"/>
        <item x="999"/>
        <item x="1176"/>
        <item x="673"/>
        <item x="777"/>
        <item x="685"/>
        <item x="714"/>
        <item x="3"/>
        <item x="986"/>
        <item x="280"/>
        <item x="305"/>
        <item x="218"/>
        <item x="877"/>
        <item x="391"/>
        <item x="523"/>
        <item x="87"/>
        <item x="314"/>
        <item x="174"/>
        <item x="1177"/>
        <item x="659"/>
        <item x="68"/>
        <item x="446"/>
        <item x="67"/>
        <item x="727"/>
        <item x="1101"/>
        <item x="117"/>
        <item x="794"/>
        <item x="959"/>
        <item x="158"/>
        <item x="795"/>
        <item x="495"/>
        <item x="744"/>
        <item x="254"/>
        <item x="960"/>
        <item x="1005"/>
        <item x="572"/>
        <item x="1054"/>
        <item x="1066"/>
        <item x="631"/>
        <item x="790"/>
        <item x="383"/>
        <item x="968"/>
        <item x="736"/>
        <item x="1157"/>
        <item x="466"/>
        <item x="642"/>
        <item x="532"/>
        <item x="308"/>
        <item x="524"/>
        <item x="764"/>
        <item x="1082"/>
        <item x="149"/>
        <item x="527"/>
        <item x="821"/>
        <item x="891"/>
        <item x="1078"/>
        <item x="465"/>
        <item x="684"/>
        <item x="806"/>
        <item x="1041"/>
        <item x="538"/>
        <item x="387"/>
        <item x="1089"/>
        <item x="309"/>
        <item x="1079"/>
        <item x="199"/>
        <item x="407"/>
        <item x="1080"/>
        <item x="55"/>
        <item x="577"/>
        <item x="483"/>
        <item x="155"/>
        <item x="434"/>
        <item x="408"/>
        <item x="641"/>
        <item x="53"/>
        <item x="847"/>
        <item x="865"/>
        <item x="442"/>
        <item x="239"/>
        <item x="688"/>
        <item x="428"/>
        <item x="694"/>
        <item x="728"/>
        <item x="700"/>
        <item x="949"/>
        <item x="804"/>
        <item x="20"/>
        <item x="32"/>
        <item x="699"/>
        <item x="1104"/>
        <item x="597"/>
        <item x="529"/>
        <item x="437"/>
        <item x="92"/>
        <item x="1013"/>
        <item x="139"/>
        <item x="888"/>
        <item x="567"/>
        <item x="137"/>
        <item x="45"/>
        <item x="725"/>
        <item x="594"/>
        <item x="825"/>
        <item x="938"/>
        <item x="814"/>
        <item x="245"/>
        <item x="11"/>
        <item x="1016"/>
        <item x="357"/>
        <item x="46"/>
        <item x="1174"/>
        <item x="1012"/>
        <item x="1119"/>
        <item x="976"/>
        <item x="124"/>
        <item x="788"/>
        <item x="737"/>
        <item x="943"/>
        <item x="426"/>
        <item x="783"/>
        <item x="334"/>
        <item x="140"/>
        <item x="47"/>
        <item x="35"/>
        <item x="111"/>
        <item x="1007"/>
        <item x="475"/>
        <item x="975"/>
        <item x="620"/>
        <item x="704"/>
        <item x="858"/>
        <item x="347"/>
        <item x="1010"/>
        <item x="313"/>
        <item x="702"/>
        <item x="104"/>
        <item x="756"/>
        <item x="431"/>
        <item x="832"/>
        <item x="519"/>
        <item x="627"/>
        <item x="1032"/>
        <item x="432"/>
        <item x="136"/>
        <item x="469"/>
        <item x="1030"/>
        <item x="907"/>
        <item x="247"/>
        <item x="167"/>
        <item x="953"/>
        <item x="803"/>
        <item x="51"/>
        <item x="355"/>
        <item x="479"/>
        <item x="44"/>
        <item x="611"/>
        <item x="1172"/>
        <item x="799"/>
        <item x="131"/>
        <item x="897"/>
        <item x="871"/>
        <item x="1159"/>
        <item x="1142"/>
        <item x="228"/>
        <item x="617"/>
        <item x="640"/>
        <item x="569"/>
        <item x="414"/>
        <item x="135"/>
        <item x="146"/>
        <item x="455"/>
        <item x="424"/>
        <item x="565"/>
        <item x="205"/>
        <item x="950"/>
        <item x="978"/>
        <item x="882"/>
        <item x="1148"/>
        <item x="930"/>
        <item x="602"/>
        <item x="852"/>
        <item x="798"/>
        <item x="129"/>
        <item x="312"/>
        <item x="9"/>
        <item x="861"/>
        <item x="1165"/>
        <item x="733"/>
        <item x="1138"/>
        <item x="341"/>
        <item x="887"/>
        <item x="885"/>
        <item x="130"/>
        <item x="895"/>
        <item x="710"/>
        <item x="910"/>
        <item x="630"/>
        <item x="419"/>
        <item x="507"/>
        <item x="278"/>
        <item x="632"/>
        <item x="595"/>
        <item x="354"/>
        <item x="621"/>
        <item x="894"/>
        <item x="79"/>
        <item x="732"/>
        <item x="100"/>
        <item x="584"/>
        <item x="940"/>
        <item x="1073"/>
        <item x="731"/>
        <item x="1077"/>
        <item x="1146"/>
        <item x="493"/>
        <item x="557"/>
        <item x="1049"/>
        <item x="259"/>
        <item x="376"/>
        <item x="255"/>
        <item x="921"/>
        <item x="492"/>
        <item x="713"/>
        <item x="156"/>
        <item x="346"/>
        <item x="939"/>
        <item x="441"/>
        <item x="151"/>
        <item x="835"/>
        <item x="675"/>
        <item x="981"/>
        <item x="143"/>
        <item x="671"/>
        <item x="56"/>
        <item x="1100"/>
        <item x="867"/>
        <item x="607"/>
        <item x="596"/>
        <item x="211"/>
        <item x="958"/>
        <item x="937"/>
        <item x="330"/>
        <item x="643"/>
        <item x="70"/>
        <item x="160"/>
        <item x="650"/>
        <item x="166"/>
        <item x="1017"/>
        <item x="303"/>
        <item x="931"/>
        <item x="1088"/>
        <item x="997"/>
        <item x="244"/>
        <item x="548"/>
        <item x="285"/>
        <item x="246"/>
        <item x="589"/>
        <item x="1169"/>
        <item x="947"/>
        <item x="516"/>
        <item x="991"/>
        <item x="71"/>
        <item x="1060"/>
        <item x="301"/>
        <item x="636"/>
        <item x="941"/>
        <item x="606"/>
        <item x="49"/>
        <item x="592"/>
        <item x="743"/>
        <item x="683"/>
        <item x="1050"/>
        <item x="902"/>
        <item x="703"/>
        <item x="138"/>
        <item x="892"/>
        <item x="42"/>
        <item x="186"/>
        <item x="1095"/>
        <item x="58"/>
        <item x="845"/>
        <item x="1103"/>
        <item x="429"/>
        <item x="392"/>
        <item x="144"/>
        <item x="955"/>
        <item x="427"/>
        <item x="72"/>
        <item x="1022"/>
        <item x="328"/>
        <item x="294"/>
        <item x="66"/>
        <item x="779"/>
        <item x="605"/>
        <item x="896"/>
        <item x="1075"/>
        <item x="451"/>
        <item x="956"/>
        <item x="264"/>
        <item x="1033"/>
        <item x="382"/>
        <item x="534"/>
        <item x="256"/>
        <item x="471"/>
        <item x="964"/>
        <item x="730"/>
        <item x="1110"/>
        <item x="501"/>
        <item x="780"/>
        <item x="1051"/>
        <item x="286"/>
        <item x="581"/>
        <item x="564"/>
        <item x="19"/>
        <item x="530"/>
        <item x="842"/>
        <item x="110"/>
        <item x="841"/>
        <item x="668"/>
        <item x="194"/>
        <item x="268"/>
        <item x="537"/>
        <item x="88"/>
        <item x="919"/>
        <item x="267"/>
        <item x="618"/>
        <item x="1065"/>
        <item x="660"/>
        <item x="856"/>
        <item x="1069"/>
        <item x="922"/>
        <item x="153"/>
        <item x="547"/>
        <item x="750"/>
        <item x="1114"/>
        <item x="503"/>
        <item x="275"/>
        <item x="1120"/>
        <item x="815"/>
        <item x="415"/>
        <item x="574"/>
        <item x="1014"/>
        <item x="1154"/>
        <item x="184"/>
        <item x="274"/>
        <item x="957"/>
        <item x="552"/>
        <item x="911"/>
        <item x="351"/>
        <item x="810"/>
        <item x="106"/>
        <item x="961"/>
        <item x="830"/>
        <item x="1037"/>
        <item x="307"/>
        <item x="1035"/>
        <item x="789"/>
        <item x="761"/>
        <item x="678"/>
        <item x="217"/>
        <item x="171"/>
        <item x="1076"/>
        <item x="808"/>
        <item x="531"/>
        <item x="1071"/>
        <item x="932"/>
        <item x="951"/>
        <item x="335"/>
        <item x="13"/>
        <item x="38"/>
        <item x="533"/>
        <item x="754"/>
        <item x="1027"/>
        <item x="242"/>
        <item x="181"/>
        <item x="615"/>
        <item x="120"/>
        <item x="204"/>
        <item x="1173"/>
        <item x="57"/>
        <item x="176"/>
        <item x="535"/>
        <item x="792"/>
        <item x="474"/>
        <item x="559"/>
        <item x="227"/>
        <item x="707"/>
        <item x="1063"/>
        <item x="1025"/>
        <item x="826"/>
        <item x="238"/>
        <item x="54"/>
        <item x="1105"/>
        <item x="763"/>
        <item x="147"/>
        <item x="207"/>
        <item x="249"/>
        <item x="604"/>
        <item x="1004"/>
        <item x="506"/>
        <item x="316"/>
        <item x="1072"/>
        <item x="1092"/>
        <item x="212"/>
        <item x="311"/>
        <item x="7"/>
        <item x="133"/>
        <item x="715"/>
        <item x="1151"/>
        <item x="903"/>
        <item x="203"/>
        <item x="1070"/>
        <item x="187"/>
        <item x="89"/>
        <item x="64"/>
        <item x="784"/>
        <item x="337"/>
        <item x="740"/>
        <item x="776"/>
        <item x="1135"/>
        <item x="43"/>
        <item x="834"/>
        <item x="306"/>
        <item x="331"/>
        <item x="580"/>
        <item x="157"/>
        <item x="99"/>
        <item x="4"/>
        <item x="706"/>
        <item x="48"/>
        <item x="912"/>
        <item x="753"/>
        <item x="417"/>
        <item x="576"/>
        <item x="10"/>
        <item x="1168"/>
        <item x="1000"/>
        <item x="1026"/>
        <item x="724"/>
        <item x="558"/>
        <item x="723"/>
        <item x="361"/>
        <item x="988"/>
        <item x="367"/>
        <item x="263"/>
        <item x="729"/>
        <item x="582"/>
        <item x="365"/>
        <item x="734"/>
        <item x="208"/>
        <item x="539"/>
        <item x="920"/>
        <item x="562"/>
        <item x="549"/>
        <item x="16"/>
        <item x="993"/>
        <item x="223"/>
        <item x="811"/>
        <item x="290"/>
        <item x="970"/>
        <item x="84"/>
        <item x="653"/>
        <item x="119"/>
        <item x="570"/>
        <item x="554"/>
        <item x="770"/>
        <item x="690"/>
        <item x="26"/>
        <item x="575"/>
        <item x="546"/>
        <item x="781"/>
        <item x="1023"/>
        <item x="126"/>
        <item x="1097"/>
        <item x="222"/>
        <item x="1015"/>
        <item x="225"/>
        <item x="769"/>
        <item x="870"/>
        <item x="904"/>
        <item x="260"/>
        <item x="890"/>
        <item x="1040"/>
        <item x="742"/>
        <item x="325"/>
        <item x="132"/>
        <item x="333"/>
        <item x="1126"/>
        <item x="188"/>
        <item x="421"/>
        <item x="998"/>
        <item x="317"/>
        <item x="708"/>
        <item x="251"/>
        <item x="1098"/>
        <item x="782"/>
        <item x="206"/>
        <item x="261"/>
        <item x="27"/>
        <item x="423"/>
        <item x="623"/>
        <item x="801"/>
        <item x="759"/>
        <item x="1045"/>
        <item x="381"/>
        <item x="626"/>
        <item x="1059"/>
        <item x="192"/>
        <item x="614"/>
        <item x="154"/>
        <item x="1158"/>
        <item x="327"/>
        <item x="748"/>
        <item x="817"/>
        <item x="746"/>
        <item x="163"/>
        <item x="202"/>
        <item x="644"/>
        <item x="1108"/>
        <item x="373"/>
        <item x="405"/>
        <item x="253"/>
        <item x="353"/>
        <item x="231"/>
        <item x="291"/>
        <item x="496"/>
        <item x="165"/>
        <item x="514"/>
        <item x="459"/>
        <item x="974"/>
        <item x="326"/>
        <item x="1164"/>
        <item x="646"/>
        <item x="348"/>
        <item x="288"/>
        <item x="869"/>
        <item x="1167"/>
        <item x="230"/>
        <item x="1112"/>
        <item x="150"/>
        <item x="1107"/>
        <item x="705"/>
        <item t="default"/>
      </items>
    </pivotField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3"/>
        <item x="4"/>
        <item x="1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>
      <items count="12">
        <item x="8"/>
        <item x="3"/>
        <item x="5"/>
        <item x="0"/>
        <item x="10"/>
        <item x="6"/>
        <item x="2"/>
        <item x="1"/>
        <item x="7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">
        <item x="1"/>
        <item x="4"/>
        <item x="7"/>
        <item x="0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Resolution SLA" fld="35" subtotal="average" baseField="0" baseItem="0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20EEE-FB60-431E-866C-AA05AF0B0F05}" name="Tabela dinâmica12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3">
  <location ref="E20:J27" firstHeaderRow="1" firstDataRow="2" firstDataCol="1"/>
  <pivotFields count="38">
    <pivotField dataField="1" showAll="0"/>
    <pivotField showAll="0"/>
    <pivotField numFmtId="22" showAll="0">
      <items count="1180">
        <item x="388"/>
        <item x="289"/>
        <item x="619"/>
        <item x="329"/>
        <item x="115"/>
        <item x="350"/>
        <item x="338"/>
        <item x="809"/>
        <item x="657"/>
        <item x="1090"/>
        <item x="609"/>
        <item x="1"/>
        <item x="613"/>
        <item x="39"/>
        <item x="243"/>
        <item x="980"/>
        <item x="853"/>
        <item x="248"/>
        <item x="152"/>
        <item x="515"/>
        <item x="775"/>
        <item x="973"/>
        <item x="364"/>
        <item x="102"/>
        <item x="1042"/>
        <item x="652"/>
        <item x="635"/>
        <item x="797"/>
        <item x="395"/>
        <item x="393"/>
        <item x="1123"/>
        <item x="679"/>
        <item x="917"/>
        <item x="996"/>
        <item x="358"/>
        <item x="542"/>
        <item x="716"/>
        <item x="450"/>
        <item x="1087"/>
        <item x="924"/>
        <item x="484"/>
        <item x="416"/>
        <item x="711"/>
        <item x="494"/>
        <item x="258"/>
        <item x="598"/>
        <item x="966"/>
        <item x="944"/>
        <item x="386"/>
        <item x="502"/>
        <item x="1143"/>
        <item x="629"/>
        <item x="175"/>
        <item x="252"/>
        <item x="322"/>
        <item x="464"/>
        <item x="900"/>
        <item x="766"/>
        <item x="1144"/>
        <item x="721"/>
        <item x="1178"/>
        <item x="772"/>
        <item x="905"/>
        <item x="122"/>
        <item x="201"/>
        <item x="148"/>
        <item x="107"/>
        <item x="453"/>
        <item x="271"/>
        <item x="1118"/>
        <item x="200"/>
        <item x="667"/>
        <item x="787"/>
        <item x="1133"/>
        <item x="444"/>
        <item x="436"/>
        <item x="864"/>
        <item x="908"/>
        <item x="1002"/>
        <item x="701"/>
        <item x="352"/>
        <item x="420"/>
        <item x="1074"/>
        <item x="526"/>
        <item x="1130"/>
        <item x="967"/>
        <item x="934"/>
        <item x="680"/>
        <item x="686"/>
        <item x="257"/>
        <item x="1006"/>
        <item x="477"/>
        <item x="380"/>
        <item x="372"/>
        <item x="560"/>
        <item x="101"/>
        <item x="638"/>
        <item x="8"/>
        <item x="1064"/>
        <item x="490"/>
        <item x="412"/>
        <item x="717"/>
        <item x="906"/>
        <item x="992"/>
        <item x="593"/>
        <item x="61"/>
        <item x="545"/>
        <item x="1116"/>
        <item x="965"/>
        <item x="458"/>
        <item x="406"/>
        <item x="1113"/>
        <item x="164"/>
        <item x="343"/>
        <item x="1161"/>
        <item x="193"/>
        <item x="310"/>
        <item x="232"/>
        <item x="863"/>
        <item x="1008"/>
        <item x="791"/>
        <item x="216"/>
        <item x="377"/>
        <item x="141"/>
        <item x="625"/>
        <item x="666"/>
        <item x="739"/>
        <item x="77"/>
        <item x="178"/>
        <item x="696"/>
        <item x="510"/>
        <item x="134"/>
        <item x="691"/>
        <item x="116"/>
        <item x="50"/>
        <item x="276"/>
        <item x="198"/>
        <item x="456"/>
        <item x="12"/>
        <item x="586"/>
        <item x="637"/>
        <item x="818"/>
        <item x="1124"/>
        <item x="622"/>
        <item x="563"/>
        <item x="793"/>
        <item x="1044"/>
        <item x="397"/>
        <item x="1139"/>
        <item x="827"/>
        <item x="719"/>
        <item x="760"/>
        <item x="765"/>
        <item x="587"/>
        <item x="52"/>
        <item x="822"/>
        <item x="336"/>
        <item x="1109"/>
        <item x="813"/>
        <item x="445"/>
        <item x="229"/>
        <item x="561"/>
        <item x="1001"/>
        <item x="1021"/>
        <item x="183"/>
        <item x="1036"/>
        <item x="487"/>
        <item x="982"/>
        <item x="985"/>
        <item x="751"/>
        <item x="851"/>
        <item x="224"/>
        <item x="884"/>
        <item x="1140"/>
        <item x="76"/>
        <item x="196"/>
        <item x="31"/>
        <item x="752"/>
        <item x="1020"/>
        <item x="473"/>
        <item x="499"/>
        <item x="345"/>
        <item x="886"/>
        <item x="948"/>
        <item x="33"/>
        <item x="220"/>
        <item x="1091"/>
        <item x="738"/>
        <item x="389"/>
        <item x="1171"/>
        <item x="528"/>
        <item x="37"/>
        <item x="162"/>
        <item x="747"/>
        <item x="718"/>
        <item x="1125"/>
        <item x="601"/>
        <item x="785"/>
        <item x="1094"/>
        <item x="1058"/>
        <item x="645"/>
        <item x="857"/>
        <item x="901"/>
        <item x="828"/>
        <item x="485"/>
        <item x="726"/>
        <item x="1028"/>
        <item x="438"/>
        <item x="819"/>
        <item x="628"/>
        <item x="113"/>
        <item x="633"/>
        <item x="1019"/>
        <item x="522"/>
        <item x="881"/>
        <item x="914"/>
        <item x="15"/>
        <item x="875"/>
        <item x="226"/>
        <item x="215"/>
        <item x="182"/>
        <item x="889"/>
        <item x="698"/>
        <item x="600"/>
        <item x="1155"/>
        <item x="159"/>
        <item x="850"/>
        <item x="277"/>
        <item x="90"/>
        <item x="762"/>
        <item x="512"/>
        <item x="663"/>
        <item x="6"/>
        <item x="712"/>
        <item x="1093"/>
        <item x="933"/>
        <item x="197"/>
        <item x="513"/>
        <item x="1099"/>
        <item x="925"/>
        <item x="1150"/>
        <item x="298"/>
        <item x="86"/>
        <item x="413"/>
        <item x="404"/>
        <item x="755"/>
        <item x="661"/>
        <item x="443"/>
        <item x="909"/>
        <item x="786"/>
        <item x="430"/>
        <item x="1052"/>
        <item x="868"/>
        <item x="984"/>
        <item x="677"/>
        <item x="73"/>
        <item x="1134"/>
        <item x="1106"/>
        <item x="14"/>
        <item x="379"/>
        <item x="433"/>
        <item x="979"/>
        <item x="262"/>
        <item x="168"/>
        <item x="517"/>
        <item x="142"/>
        <item x="295"/>
        <item x="75"/>
        <item x="720"/>
        <item x="1145"/>
        <item x="836"/>
        <item x="65"/>
        <item x="344"/>
        <item x="1083"/>
        <item x="1048"/>
        <item x="616"/>
        <item x="195"/>
        <item x="866"/>
        <item x="995"/>
        <item x="112"/>
        <item x="745"/>
        <item x="463"/>
        <item x="639"/>
        <item x="624"/>
        <item x="375"/>
        <item x="1061"/>
        <item x="987"/>
        <item x="915"/>
        <item x="401"/>
        <item x="233"/>
        <item x="394"/>
        <item x="954"/>
        <item x="1046"/>
        <item x="1081"/>
        <item x="648"/>
        <item x="689"/>
        <item x="1117"/>
        <item x="521"/>
        <item x="340"/>
        <item x="123"/>
        <item x="332"/>
        <item x="962"/>
        <item x="612"/>
        <item x="472"/>
        <item x="651"/>
        <item x="509"/>
        <item x="873"/>
        <item x="127"/>
        <item x="179"/>
        <item x="1121"/>
        <item x="40"/>
        <item x="1024"/>
        <item x="213"/>
        <item x="697"/>
        <item x="240"/>
        <item x="1166"/>
        <item x="599"/>
        <item x="279"/>
        <item x="839"/>
        <item x="898"/>
        <item x="735"/>
        <item x="121"/>
        <item x="235"/>
        <item x="923"/>
        <item x="669"/>
        <item x="191"/>
        <item x="489"/>
        <item x="1018"/>
        <item x="771"/>
        <item x="682"/>
        <item x="969"/>
        <item x="321"/>
        <item x="807"/>
        <item x="128"/>
        <item x="410"/>
        <item x="462"/>
        <item x="773"/>
        <item x="899"/>
        <item x="672"/>
        <item x="649"/>
        <item x="823"/>
        <item x="654"/>
        <item x="273"/>
        <item x="409"/>
        <item x="837"/>
        <item x="935"/>
        <item x="454"/>
        <item x="1056"/>
        <item x="913"/>
        <item x="1038"/>
        <item x="29"/>
        <item x="109"/>
        <item x="457"/>
        <item x="418"/>
        <item x="1047"/>
        <item x="339"/>
        <item x="709"/>
        <item x="662"/>
        <item x="468"/>
        <item x="874"/>
        <item x="681"/>
        <item x="320"/>
        <item x="384"/>
        <item x="370"/>
        <item x="221"/>
        <item x="872"/>
        <item x="971"/>
        <item x="504"/>
        <item x="994"/>
        <item x="59"/>
        <item x="1031"/>
        <item x="540"/>
        <item x="497"/>
        <item x="269"/>
        <item x="1055"/>
        <item x="366"/>
        <item x="270"/>
        <item x="95"/>
        <item x="1102"/>
        <item x="91"/>
        <item x="778"/>
        <item x="916"/>
        <item x="848"/>
        <item x="83"/>
        <item x="634"/>
        <item x="722"/>
        <item x="1137"/>
        <item x="1141"/>
        <item x="918"/>
        <item x="81"/>
        <item x="172"/>
        <item x="508"/>
        <item x="1068"/>
        <item x="1152"/>
        <item x="936"/>
        <item x="536"/>
        <item x="145"/>
        <item x="24"/>
        <item x="411"/>
        <item x="578"/>
        <item x="498"/>
        <item x="93"/>
        <item x="555"/>
        <item x="363"/>
        <item x="1053"/>
        <item x="449"/>
        <item x="1122"/>
        <item x="664"/>
        <item x="342"/>
        <item x="272"/>
        <item x="96"/>
        <item x="1170"/>
        <item x="480"/>
        <item x="396"/>
        <item x="1147"/>
        <item x="467"/>
        <item x="78"/>
        <item x="846"/>
        <item x="80"/>
        <item x="169"/>
        <item x="486"/>
        <item x="180"/>
        <item x="402"/>
        <item x="62"/>
        <item x="518"/>
        <item x="34"/>
        <item x="1131"/>
        <item x="945"/>
        <item x="802"/>
        <item x="190"/>
        <item x="105"/>
        <item x="553"/>
        <item x="266"/>
        <item x="85"/>
        <item x="812"/>
        <item x="655"/>
        <item x="692"/>
        <item x="1057"/>
        <item x="470"/>
        <item x="568"/>
        <item x="579"/>
        <item x="481"/>
        <item x="551"/>
        <item x="36"/>
        <item x="349"/>
        <item x="241"/>
        <item x="18"/>
        <item x="800"/>
        <item x="880"/>
        <item x="161"/>
        <item x="774"/>
        <item x="318"/>
        <item x="929"/>
        <item x="878"/>
        <item x="849"/>
        <item x="25"/>
        <item x="767"/>
        <item x="1156"/>
        <item x="1128"/>
        <item x="942"/>
        <item x="403"/>
        <item x="674"/>
        <item x="1115"/>
        <item x="1043"/>
        <item x="422"/>
        <item x="990"/>
        <item x="1067"/>
        <item x="371"/>
        <item x="315"/>
        <item x="983"/>
        <item x="210"/>
        <item x="447"/>
        <item x="544"/>
        <item x="282"/>
        <item x="491"/>
        <item x="768"/>
        <item x="281"/>
        <item x="284"/>
        <item x="399"/>
        <item x="647"/>
        <item x="177"/>
        <item x="448"/>
        <item x="234"/>
        <item x="5"/>
        <item x="591"/>
        <item x="21"/>
        <item x="511"/>
        <item x="362"/>
        <item x="1085"/>
        <item x="1009"/>
        <item x="385"/>
        <item x="108"/>
        <item x="879"/>
        <item x="550"/>
        <item x="250"/>
        <item x="571"/>
        <item x="1034"/>
        <item x="796"/>
        <item x="583"/>
        <item x="0"/>
        <item x="435"/>
        <item x="60"/>
        <item x="482"/>
        <item x="963"/>
        <item x="656"/>
        <item x="541"/>
        <item x="97"/>
        <item x="400"/>
        <item x="862"/>
        <item x="1084"/>
        <item x="977"/>
        <item x="926"/>
        <item x="17"/>
        <item x="1160"/>
        <item x="749"/>
        <item x="360"/>
        <item x="185"/>
        <item x="398"/>
        <item x="374"/>
        <item x="1011"/>
        <item x="300"/>
        <item x="829"/>
        <item x="928"/>
        <item x="1086"/>
        <item x="693"/>
        <item x="103"/>
        <item x="543"/>
        <item x="883"/>
        <item x="478"/>
        <item x="283"/>
        <item x="838"/>
        <item x="972"/>
        <item x="369"/>
        <item x="1127"/>
        <item x="114"/>
        <item x="1162"/>
        <item x="461"/>
        <item x="1039"/>
        <item x="893"/>
        <item x="323"/>
        <item x="302"/>
        <item x="82"/>
        <item x="687"/>
        <item x="1111"/>
        <item x="670"/>
        <item x="658"/>
        <item x="608"/>
        <item x="98"/>
        <item x="1175"/>
        <item x="610"/>
        <item x="94"/>
        <item x="1132"/>
        <item x="63"/>
        <item x="665"/>
        <item x="695"/>
        <item x="390"/>
        <item x="460"/>
        <item x="425"/>
        <item x="476"/>
        <item x="324"/>
        <item x="876"/>
        <item x="2"/>
        <item x="299"/>
        <item x="927"/>
        <item x="118"/>
        <item x="69"/>
        <item x="854"/>
        <item x="30"/>
        <item x="237"/>
        <item x="296"/>
        <item x="520"/>
        <item x="860"/>
        <item x="525"/>
        <item x="22"/>
        <item x="41"/>
        <item x="831"/>
        <item x="209"/>
        <item x="378"/>
        <item x="816"/>
        <item x="265"/>
        <item x="125"/>
        <item x="170"/>
        <item x="1153"/>
        <item x="1136"/>
        <item x="855"/>
        <item x="292"/>
        <item x="859"/>
        <item x="1149"/>
        <item x="1163"/>
        <item x="189"/>
        <item x="23"/>
        <item x="757"/>
        <item x="287"/>
        <item x="603"/>
        <item x="439"/>
        <item x="440"/>
        <item x="214"/>
        <item x="1003"/>
        <item x="173"/>
        <item x="833"/>
        <item x="840"/>
        <item x="488"/>
        <item x="573"/>
        <item x="741"/>
        <item x="989"/>
        <item x="319"/>
        <item x="585"/>
        <item x="946"/>
        <item x="758"/>
        <item x="590"/>
        <item x="820"/>
        <item x="452"/>
        <item x="356"/>
        <item x="588"/>
        <item x="359"/>
        <item x="297"/>
        <item x="505"/>
        <item x="824"/>
        <item x="74"/>
        <item x="566"/>
        <item x="1062"/>
        <item x="500"/>
        <item x="304"/>
        <item x="1029"/>
        <item x="952"/>
        <item x="219"/>
        <item x="556"/>
        <item x="676"/>
        <item x="843"/>
        <item x="844"/>
        <item x="293"/>
        <item x="236"/>
        <item x="1129"/>
        <item x="805"/>
        <item x="1096"/>
        <item x="28"/>
        <item x="368"/>
        <item x="999"/>
        <item x="1176"/>
        <item x="673"/>
        <item x="777"/>
        <item x="685"/>
        <item x="714"/>
        <item x="3"/>
        <item x="986"/>
        <item x="280"/>
        <item x="305"/>
        <item x="218"/>
        <item x="877"/>
        <item x="391"/>
        <item x="523"/>
        <item x="87"/>
        <item x="314"/>
        <item x="174"/>
        <item x="1177"/>
        <item x="659"/>
        <item x="68"/>
        <item x="446"/>
        <item x="67"/>
        <item x="727"/>
        <item x="1101"/>
        <item x="117"/>
        <item x="794"/>
        <item x="959"/>
        <item x="158"/>
        <item x="795"/>
        <item x="495"/>
        <item x="744"/>
        <item x="254"/>
        <item x="960"/>
        <item x="1005"/>
        <item x="572"/>
        <item x="1054"/>
        <item x="1066"/>
        <item x="631"/>
        <item x="790"/>
        <item x="383"/>
        <item x="968"/>
        <item x="736"/>
        <item x="1157"/>
        <item x="466"/>
        <item x="642"/>
        <item x="532"/>
        <item x="308"/>
        <item x="524"/>
        <item x="764"/>
        <item x="1082"/>
        <item x="149"/>
        <item x="527"/>
        <item x="821"/>
        <item x="891"/>
        <item x="1078"/>
        <item x="465"/>
        <item x="684"/>
        <item x="806"/>
        <item x="1041"/>
        <item x="538"/>
        <item x="387"/>
        <item x="1089"/>
        <item x="309"/>
        <item x="1079"/>
        <item x="199"/>
        <item x="407"/>
        <item x="1080"/>
        <item x="55"/>
        <item x="577"/>
        <item x="483"/>
        <item x="155"/>
        <item x="434"/>
        <item x="408"/>
        <item x="641"/>
        <item x="53"/>
        <item x="847"/>
        <item x="865"/>
        <item x="442"/>
        <item x="239"/>
        <item x="688"/>
        <item x="428"/>
        <item x="694"/>
        <item x="728"/>
        <item x="700"/>
        <item x="949"/>
        <item x="804"/>
        <item x="20"/>
        <item x="32"/>
        <item x="699"/>
        <item x="1104"/>
        <item x="597"/>
        <item x="529"/>
        <item x="437"/>
        <item x="92"/>
        <item x="1013"/>
        <item x="139"/>
        <item x="888"/>
        <item x="567"/>
        <item x="137"/>
        <item x="45"/>
        <item x="725"/>
        <item x="594"/>
        <item x="825"/>
        <item x="938"/>
        <item x="814"/>
        <item x="245"/>
        <item x="11"/>
        <item x="1016"/>
        <item x="357"/>
        <item x="46"/>
        <item x="1174"/>
        <item x="1012"/>
        <item x="1119"/>
        <item x="976"/>
        <item x="124"/>
        <item x="788"/>
        <item x="737"/>
        <item x="943"/>
        <item x="426"/>
        <item x="783"/>
        <item x="334"/>
        <item x="140"/>
        <item x="47"/>
        <item x="35"/>
        <item x="111"/>
        <item x="1007"/>
        <item x="475"/>
        <item x="975"/>
        <item x="620"/>
        <item x="704"/>
        <item x="858"/>
        <item x="347"/>
        <item x="1010"/>
        <item x="313"/>
        <item x="702"/>
        <item x="104"/>
        <item x="756"/>
        <item x="431"/>
        <item x="832"/>
        <item x="519"/>
        <item x="627"/>
        <item x="1032"/>
        <item x="432"/>
        <item x="136"/>
        <item x="469"/>
        <item x="1030"/>
        <item x="907"/>
        <item x="247"/>
        <item x="167"/>
        <item x="953"/>
        <item x="803"/>
        <item x="51"/>
        <item x="355"/>
        <item x="479"/>
        <item x="44"/>
        <item x="611"/>
        <item x="1172"/>
        <item x="799"/>
        <item x="131"/>
        <item x="897"/>
        <item x="871"/>
        <item x="1159"/>
        <item x="1142"/>
        <item x="228"/>
        <item x="617"/>
        <item x="640"/>
        <item x="569"/>
        <item x="414"/>
        <item x="135"/>
        <item x="146"/>
        <item x="455"/>
        <item x="424"/>
        <item x="565"/>
        <item x="205"/>
        <item x="950"/>
        <item x="978"/>
        <item x="882"/>
        <item x="1148"/>
        <item x="930"/>
        <item x="602"/>
        <item x="852"/>
        <item x="798"/>
        <item x="129"/>
        <item x="312"/>
        <item x="9"/>
        <item x="861"/>
        <item x="1165"/>
        <item x="733"/>
        <item x="1138"/>
        <item x="341"/>
        <item x="887"/>
        <item x="885"/>
        <item x="130"/>
        <item x="895"/>
        <item x="710"/>
        <item x="910"/>
        <item x="630"/>
        <item x="419"/>
        <item x="507"/>
        <item x="278"/>
        <item x="632"/>
        <item x="595"/>
        <item x="354"/>
        <item x="621"/>
        <item x="894"/>
        <item x="79"/>
        <item x="732"/>
        <item x="100"/>
        <item x="584"/>
        <item x="940"/>
        <item x="1073"/>
        <item x="731"/>
        <item x="1077"/>
        <item x="1146"/>
        <item x="493"/>
        <item x="557"/>
        <item x="1049"/>
        <item x="259"/>
        <item x="376"/>
        <item x="255"/>
        <item x="921"/>
        <item x="492"/>
        <item x="713"/>
        <item x="156"/>
        <item x="346"/>
        <item x="939"/>
        <item x="441"/>
        <item x="151"/>
        <item x="835"/>
        <item x="675"/>
        <item x="981"/>
        <item x="143"/>
        <item x="671"/>
        <item x="56"/>
        <item x="1100"/>
        <item x="867"/>
        <item x="607"/>
        <item x="596"/>
        <item x="211"/>
        <item x="958"/>
        <item x="937"/>
        <item x="330"/>
        <item x="643"/>
        <item x="70"/>
        <item x="160"/>
        <item x="650"/>
        <item x="166"/>
        <item x="1017"/>
        <item x="303"/>
        <item x="931"/>
        <item x="1088"/>
        <item x="997"/>
        <item x="244"/>
        <item x="548"/>
        <item x="285"/>
        <item x="246"/>
        <item x="589"/>
        <item x="1169"/>
        <item x="947"/>
        <item x="516"/>
        <item x="991"/>
        <item x="71"/>
        <item x="1060"/>
        <item x="301"/>
        <item x="636"/>
        <item x="941"/>
        <item x="606"/>
        <item x="49"/>
        <item x="592"/>
        <item x="743"/>
        <item x="683"/>
        <item x="1050"/>
        <item x="902"/>
        <item x="703"/>
        <item x="138"/>
        <item x="892"/>
        <item x="42"/>
        <item x="186"/>
        <item x="1095"/>
        <item x="58"/>
        <item x="845"/>
        <item x="1103"/>
        <item x="429"/>
        <item x="392"/>
        <item x="144"/>
        <item x="955"/>
        <item x="427"/>
        <item x="72"/>
        <item x="1022"/>
        <item x="328"/>
        <item x="294"/>
        <item x="66"/>
        <item x="779"/>
        <item x="605"/>
        <item x="896"/>
        <item x="1075"/>
        <item x="451"/>
        <item x="956"/>
        <item x="264"/>
        <item x="1033"/>
        <item x="382"/>
        <item x="534"/>
        <item x="256"/>
        <item x="471"/>
        <item x="964"/>
        <item x="730"/>
        <item x="1110"/>
        <item x="501"/>
        <item x="780"/>
        <item x="1051"/>
        <item x="286"/>
        <item x="581"/>
        <item x="564"/>
        <item x="19"/>
        <item x="530"/>
        <item x="842"/>
        <item x="110"/>
        <item x="841"/>
        <item x="668"/>
        <item x="194"/>
        <item x="268"/>
        <item x="537"/>
        <item x="88"/>
        <item x="919"/>
        <item x="267"/>
        <item x="618"/>
        <item x="1065"/>
        <item x="660"/>
        <item x="856"/>
        <item x="1069"/>
        <item x="922"/>
        <item x="153"/>
        <item x="547"/>
        <item x="750"/>
        <item x="1114"/>
        <item x="503"/>
        <item x="275"/>
        <item x="1120"/>
        <item x="815"/>
        <item x="415"/>
        <item x="574"/>
        <item x="1014"/>
        <item x="1154"/>
        <item x="184"/>
        <item x="274"/>
        <item x="957"/>
        <item x="552"/>
        <item x="911"/>
        <item x="351"/>
        <item x="810"/>
        <item x="106"/>
        <item x="961"/>
        <item x="830"/>
        <item x="1037"/>
        <item x="307"/>
        <item x="1035"/>
        <item x="789"/>
        <item x="761"/>
        <item x="678"/>
        <item x="217"/>
        <item x="171"/>
        <item x="1076"/>
        <item x="808"/>
        <item x="531"/>
        <item x="1071"/>
        <item x="932"/>
        <item x="951"/>
        <item x="335"/>
        <item x="13"/>
        <item x="38"/>
        <item x="533"/>
        <item x="754"/>
        <item x="1027"/>
        <item x="242"/>
        <item x="181"/>
        <item x="615"/>
        <item x="120"/>
        <item x="204"/>
        <item x="1173"/>
        <item x="57"/>
        <item x="176"/>
        <item x="535"/>
        <item x="792"/>
        <item x="474"/>
        <item x="559"/>
        <item x="227"/>
        <item x="707"/>
        <item x="1063"/>
        <item x="1025"/>
        <item x="826"/>
        <item x="238"/>
        <item x="54"/>
        <item x="1105"/>
        <item x="763"/>
        <item x="147"/>
        <item x="207"/>
        <item x="249"/>
        <item x="604"/>
        <item x="1004"/>
        <item x="506"/>
        <item x="316"/>
        <item x="1072"/>
        <item x="1092"/>
        <item x="212"/>
        <item x="311"/>
        <item x="7"/>
        <item x="133"/>
        <item x="715"/>
        <item x="1151"/>
        <item x="903"/>
        <item x="203"/>
        <item x="1070"/>
        <item x="187"/>
        <item x="89"/>
        <item x="64"/>
        <item x="784"/>
        <item x="337"/>
        <item x="740"/>
        <item x="776"/>
        <item x="1135"/>
        <item x="43"/>
        <item x="834"/>
        <item x="306"/>
        <item x="331"/>
        <item x="580"/>
        <item x="157"/>
        <item x="99"/>
        <item x="4"/>
        <item x="706"/>
        <item x="48"/>
        <item x="912"/>
        <item x="753"/>
        <item x="417"/>
        <item x="576"/>
        <item x="10"/>
        <item x="1168"/>
        <item x="1000"/>
        <item x="1026"/>
        <item x="724"/>
        <item x="558"/>
        <item x="723"/>
        <item x="361"/>
        <item x="988"/>
        <item x="367"/>
        <item x="263"/>
        <item x="729"/>
        <item x="582"/>
        <item x="365"/>
        <item x="734"/>
        <item x="208"/>
        <item x="539"/>
        <item x="920"/>
        <item x="562"/>
        <item x="549"/>
        <item x="16"/>
        <item x="993"/>
        <item x="223"/>
        <item x="811"/>
        <item x="290"/>
        <item x="970"/>
        <item x="84"/>
        <item x="653"/>
        <item x="119"/>
        <item x="570"/>
        <item x="554"/>
        <item x="770"/>
        <item x="690"/>
        <item x="26"/>
        <item x="575"/>
        <item x="546"/>
        <item x="781"/>
        <item x="1023"/>
        <item x="126"/>
        <item x="1097"/>
        <item x="222"/>
        <item x="1015"/>
        <item x="225"/>
        <item x="769"/>
        <item x="870"/>
        <item x="904"/>
        <item x="260"/>
        <item x="890"/>
        <item x="1040"/>
        <item x="742"/>
        <item x="325"/>
        <item x="132"/>
        <item x="333"/>
        <item x="1126"/>
        <item x="188"/>
        <item x="421"/>
        <item x="998"/>
        <item x="317"/>
        <item x="708"/>
        <item x="251"/>
        <item x="1098"/>
        <item x="782"/>
        <item x="206"/>
        <item x="261"/>
        <item x="27"/>
        <item x="423"/>
        <item x="623"/>
        <item x="801"/>
        <item x="759"/>
        <item x="1045"/>
        <item x="381"/>
        <item x="626"/>
        <item x="1059"/>
        <item x="192"/>
        <item x="614"/>
        <item x="154"/>
        <item x="1158"/>
        <item x="327"/>
        <item x="748"/>
        <item x="817"/>
        <item x="746"/>
        <item x="163"/>
        <item x="202"/>
        <item x="644"/>
        <item x="1108"/>
        <item x="373"/>
        <item x="405"/>
        <item x="253"/>
        <item x="353"/>
        <item x="231"/>
        <item x="291"/>
        <item x="496"/>
        <item x="165"/>
        <item x="514"/>
        <item x="459"/>
        <item x="974"/>
        <item x="326"/>
        <item x="1164"/>
        <item x="646"/>
        <item x="348"/>
        <item x="288"/>
        <item x="869"/>
        <item x="1167"/>
        <item x="230"/>
        <item x="1112"/>
        <item x="150"/>
        <item x="1107"/>
        <item x="705"/>
        <item t="default"/>
      </items>
    </pivotField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3"/>
        <item x="4"/>
        <item x="1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>
      <items count="12">
        <item x="8"/>
        <item x="3"/>
        <item x="5"/>
        <item x="0"/>
        <item x="10"/>
        <item x="6"/>
        <item x="2"/>
        <item x="1"/>
        <item x="7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numFmtId="14" showAll="0">
      <items count="9">
        <item x="1"/>
        <item x="4"/>
        <item x="7"/>
        <item x="0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5">
    <i>
      <x/>
    </i>
    <i>
      <x v="1"/>
    </i>
    <i>
      <x v="2"/>
    </i>
    <i>
      <x v="3"/>
    </i>
    <i t="grand">
      <x/>
    </i>
  </colItems>
  <dataFields count="1">
    <dataField name="Contagem de Ticket ID" fld="0" subtotal="count" showDataAs="percentOfRow" baseField="0" baseItem="0" numFmtId="10"/>
  </dataFields>
  <formats count="3">
    <format dxfId="42">
      <pivotArea type="all" dataOnly="0" outline="0" fieldPosition="0"/>
    </format>
    <format dxfId="41">
      <pivotArea dataOnly="0" labelOnly="1" outline="0" axis="axisValues" fieldPosition="0"/>
    </format>
    <format dxfId="40">
      <pivotArea outline="0" collapsedLevelsAreSubtotals="1" fieldPosition="0"/>
    </format>
  </formats>
  <chartFormats count="6">
    <chartFormat chart="24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4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4" format="1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24" format="1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24" format="12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20" count="1" selected="0">
            <x v="2"/>
          </reference>
        </references>
      </pivotArea>
    </chartFormat>
    <chartFormat chart="2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EF18E-0A96-4F12-8731-107A02A887C9}" name="Tabela dinâmica4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C1:C2" firstHeaderRow="1" firstDataRow="1" firstDataCol="0"/>
  <pivotFields count="38">
    <pivotField showAll="0"/>
    <pivotField showAll="0"/>
    <pivotField numFmtId="22" showAll="0">
      <items count="1180">
        <item x="388"/>
        <item x="289"/>
        <item x="619"/>
        <item x="329"/>
        <item x="115"/>
        <item x="350"/>
        <item x="338"/>
        <item x="809"/>
        <item x="657"/>
        <item x="1090"/>
        <item x="609"/>
        <item x="1"/>
        <item x="613"/>
        <item x="39"/>
        <item x="243"/>
        <item x="980"/>
        <item x="853"/>
        <item x="248"/>
        <item x="152"/>
        <item x="515"/>
        <item x="775"/>
        <item x="973"/>
        <item x="364"/>
        <item x="102"/>
        <item x="1042"/>
        <item x="652"/>
        <item x="635"/>
        <item x="797"/>
        <item x="395"/>
        <item x="393"/>
        <item x="1123"/>
        <item x="679"/>
        <item x="917"/>
        <item x="996"/>
        <item x="358"/>
        <item x="542"/>
        <item x="716"/>
        <item x="450"/>
        <item x="1087"/>
        <item x="924"/>
        <item x="484"/>
        <item x="416"/>
        <item x="711"/>
        <item x="494"/>
        <item x="258"/>
        <item x="598"/>
        <item x="966"/>
        <item x="944"/>
        <item x="386"/>
        <item x="502"/>
        <item x="1143"/>
        <item x="629"/>
        <item x="175"/>
        <item x="252"/>
        <item x="322"/>
        <item x="464"/>
        <item x="900"/>
        <item x="766"/>
        <item x="1144"/>
        <item x="721"/>
        <item x="1178"/>
        <item x="772"/>
        <item x="905"/>
        <item x="122"/>
        <item x="201"/>
        <item x="148"/>
        <item x="107"/>
        <item x="453"/>
        <item x="271"/>
        <item x="1118"/>
        <item x="200"/>
        <item x="667"/>
        <item x="787"/>
        <item x="1133"/>
        <item x="444"/>
        <item x="436"/>
        <item x="864"/>
        <item x="908"/>
        <item x="1002"/>
        <item x="701"/>
        <item x="352"/>
        <item x="420"/>
        <item x="1074"/>
        <item x="526"/>
        <item x="1130"/>
        <item x="967"/>
        <item x="934"/>
        <item x="680"/>
        <item x="686"/>
        <item x="257"/>
        <item x="1006"/>
        <item x="477"/>
        <item x="380"/>
        <item x="372"/>
        <item x="560"/>
        <item x="101"/>
        <item x="638"/>
        <item x="8"/>
        <item x="1064"/>
        <item x="490"/>
        <item x="412"/>
        <item x="717"/>
        <item x="906"/>
        <item x="992"/>
        <item x="593"/>
        <item x="61"/>
        <item x="545"/>
        <item x="1116"/>
        <item x="965"/>
        <item x="458"/>
        <item x="406"/>
        <item x="1113"/>
        <item x="164"/>
        <item x="343"/>
        <item x="1161"/>
        <item x="193"/>
        <item x="310"/>
        <item x="232"/>
        <item x="863"/>
        <item x="1008"/>
        <item x="791"/>
        <item x="216"/>
        <item x="377"/>
        <item x="141"/>
        <item x="625"/>
        <item x="666"/>
        <item x="739"/>
        <item x="77"/>
        <item x="178"/>
        <item x="696"/>
        <item x="510"/>
        <item x="134"/>
        <item x="691"/>
        <item x="116"/>
        <item x="50"/>
        <item x="276"/>
        <item x="198"/>
        <item x="456"/>
        <item x="12"/>
        <item x="586"/>
        <item x="637"/>
        <item x="818"/>
        <item x="1124"/>
        <item x="622"/>
        <item x="563"/>
        <item x="793"/>
        <item x="1044"/>
        <item x="397"/>
        <item x="1139"/>
        <item x="827"/>
        <item x="719"/>
        <item x="760"/>
        <item x="765"/>
        <item x="587"/>
        <item x="52"/>
        <item x="822"/>
        <item x="336"/>
        <item x="1109"/>
        <item x="813"/>
        <item x="445"/>
        <item x="229"/>
        <item x="561"/>
        <item x="1001"/>
        <item x="1021"/>
        <item x="183"/>
        <item x="1036"/>
        <item x="487"/>
        <item x="982"/>
        <item x="985"/>
        <item x="751"/>
        <item x="851"/>
        <item x="224"/>
        <item x="884"/>
        <item x="1140"/>
        <item x="76"/>
        <item x="196"/>
        <item x="31"/>
        <item x="752"/>
        <item x="1020"/>
        <item x="473"/>
        <item x="499"/>
        <item x="345"/>
        <item x="886"/>
        <item x="948"/>
        <item x="33"/>
        <item x="220"/>
        <item x="1091"/>
        <item x="738"/>
        <item x="389"/>
        <item x="1171"/>
        <item x="528"/>
        <item x="37"/>
        <item x="162"/>
        <item x="747"/>
        <item x="718"/>
        <item x="1125"/>
        <item x="601"/>
        <item x="785"/>
        <item x="1094"/>
        <item x="1058"/>
        <item x="645"/>
        <item x="857"/>
        <item x="901"/>
        <item x="828"/>
        <item x="485"/>
        <item x="726"/>
        <item x="1028"/>
        <item x="438"/>
        <item x="819"/>
        <item x="628"/>
        <item x="113"/>
        <item x="633"/>
        <item x="1019"/>
        <item x="522"/>
        <item x="881"/>
        <item x="914"/>
        <item x="15"/>
        <item x="875"/>
        <item x="226"/>
        <item x="215"/>
        <item x="182"/>
        <item x="889"/>
        <item x="698"/>
        <item x="600"/>
        <item x="1155"/>
        <item x="159"/>
        <item x="850"/>
        <item x="277"/>
        <item x="90"/>
        <item x="762"/>
        <item x="512"/>
        <item x="663"/>
        <item x="6"/>
        <item x="712"/>
        <item x="1093"/>
        <item x="933"/>
        <item x="197"/>
        <item x="513"/>
        <item x="1099"/>
        <item x="925"/>
        <item x="1150"/>
        <item x="298"/>
        <item x="86"/>
        <item x="413"/>
        <item x="404"/>
        <item x="755"/>
        <item x="661"/>
        <item x="443"/>
        <item x="909"/>
        <item x="786"/>
        <item x="430"/>
        <item x="1052"/>
        <item x="868"/>
        <item x="984"/>
        <item x="677"/>
        <item x="73"/>
        <item x="1134"/>
        <item x="1106"/>
        <item x="14"/>
        <item x="379"/>
        <item x="433"/>
        <item x="979"/>
        <item x="262"/>
        <item x="168"/>
        <item x="517"/>
        <item x="142"/>
        <item x="295"/>
        <item x="75"/>
        <item x="720"/>
        <item x="1145"/>
        <item x="836"/>
        <item x="65"/>
        <item x="344"/>
        <item x="1083"/>
        <item x="1048"/>
        <item x="616"/>
        <item x="195"/>
        <item x="866"/>
        <item x="995"/>
        <item x="112"/>
        <item x="745"/>
        <item x="463"/>
        <item x="639"/>
        <item x="624"/>
        <item x="375"/>
        <item x="1061"/>
        <item x="987"/>
        <item x="915"/>
        <item x="401"/>
        <item x="233"/>
        <item x="394"/>
        <item x="954"/>
        <item x="1046"/>
        <item x="1081"/>
        <item x="648"/>
        <item x="689"/>
        <item x="1117"/>
        <item x="521"/>
        <item x="340"/>
        <item x="123"/>
        <item x="332"/>
        <item x="962"/>
        <item x="612"/>
        <item x="472"/>
        <item x="651"/>
        <item x="509"/>
        <item x="873"/>
        <item x="127"/>
        <item x="179"/>
        <item x="1121"/>
        <item x="40"/>
        <item x="1024"/>
        <item x="213"/>
        <item x="697"/>
        <item x="240"/>
        <item x="1166"/>
        <item x="599"/>
        <item x="279"/>
        <item x="839"/>
        <item x="898"/>
        <item x="735"/>
        <item x="121"/>
        <item x="235"/>
        <item x="923"/>
        <item x="669"/>
        <item x="191"/>
        <item x="489"/>
        <item x="1018"/>
        <item x="771"/>
        <item x="682"/>
        <item x="969"/>
        <item x="321"/>
        <item x="807"/>
        <item x="128"/>
        <item x="410"/>
        <item x="462"/>
        <item x="773"/>
        <item x="899"/>
        <item x="672"/>
        <item x="649"/>
        <item x="823"/>
        <item x="654"/>
        <item x="273"/>
        <item x="409"/>
        <item x="837"/>
        <item x="935"/>
        <item x="454"/>
        <item x="1056"/>
        <item x="913"/>
        <item x="1038"/>
        <item x="29"/>
        <item x="109"/>
        <item x="457"/>
        <item x="418"/>
        <item x="1047"/>
        <item x="339"/>
        <item x="709"/>
        <item x="662"/>
        <item x="468"/>
        <item x="874"/>
        <item x="681"/>
        <item x="320"/>
        <item x="384"/>
        <item x="370"/>
        <item x="221"/>
        <item x="872"/>
        <item x="971"/>
        <item x="504"/>
        <item x="994"/>
        <item x="59"/>
        <item x="1031"/>
        <item x="540"/>
        <item x="497"/>
        <item x="269"/>
        <item x="1055"/>
        <item x="366"/>
        <item x="270"/>
        <item x="95"/>
        <item x="1102"/>
        <item x="91"/>
        <item x="778"/>
        <item x="916"/>
        <item x="848"/>
        <item x="83"/>
        <item x="634"/>
        <item x="722"/>
        <item x="1137"/>
        <item x="1141"/>
        <item x="918"/>
        <item x="81"/>
        <item x="172"/>
        <item x="508"/>
        <item x="1068"/>
        <item x="1152"/>
        <item x="936"/>
        <item x="536"/>
        <item x="145"/>
        <item x="24"/>
        <item x="411"/>
        <item x="578"/>
        <item x="498"/>
        <item x="93"/>
        <item x="555"/>
        <item x="363"/>
        <item x="1053"/>
        <item x="449"/>
        <item x="1122"/>
        <item x="664"/>
        <item x="342"/>
        <item x="272"/>
        <item x="96"/>
        <item x="1170"/>
        <item x="480"/>
        <item x="396"/>
        <item x="1147"/>
        <item x="467"/>
        <item x="78"/>
        <item x="846"/>
        <item x="80"/>
        <item x="169"/>
        <item x="486"/>
        <item x="180"/>
        <item x="402"/>
        <item x="62"/>
        <item x="518"/>
        <item x="34"/>
        <item x="1131"/>
        <item x="945"/>
        <item x="802"/>
        <item x="190"/>
        <item x="105"/>
        <item x="553"/>
        <item x="266"/>
        <item x="85"/>
        <item x="812"/>
        <item x="655"/>
        <item x="692"/>
        <item x="1057"/>
        <item x="470"/>
        <item x="568"/>
        <item x="579"/>
        <item x="481"/>
        <item x="551"/>
        <item x="36"/>
        <item x="349"/>
        <item x="241"/>
        <item x="18"/>
        <item x="800"/>
        <item x="880"/>
        <item x="161"/>
        <item x="774"/>
        <item x="318"/>
        <item x="929"/>
        <item x="878"/>
        <item x="849"/>
        <item x="25"/>
        <item x="767"/>
        <item x="1156"/>
        <item x="1128"/>
        <item x="942"/>
        <item x="403"/>
        <item x="674"/>
        <item x="1115"/>
        <item x="1043"/>
        <item x="422"/>
        <item x="990"/>
        <item x="1067"/>
        <item x="371"/>
        <item x="315"/>
        <item x="983"/>
        <item x="210"/>
        <item x="447"/>
        <item x="544"/>
        <item x="282"/>
        <item x="491"/>
        <item x="768"/>
        <item x="281"/>
        <item x="284"/>
        <item x="399"/>
        <item x="647"/>
        <item x="177"/>
        <item x="448"/>
        <item x="234"/>
        <item x="5"/>
        <item x="591"/>
        <item x="21"/>
        <item x="511"/>
        <item x="362"/>
        <item x="1085"/>
        <item x="1009"/>
        <item x="385"/>
        <item x="108"/>
        <item x="879"/>
        <item x="550"/>
        <item x="250"/>
        <item x="571"/>
        <item x="1034"/>
        <item x="796"/>
        <item x="583"/>
        <item x="0"/>
        <item x="435"/>
        <item x="60"/>
        <item x="482"/>
        <item x="963"/>
        <item x="656"/>
        <item x="541"/>
        <item x="97"/>
        <item x="400"/>
        <item x="862"/>
        <item x="1084"/>
        <item x="977"/>
        <item x="926"/>
        <item x="17"/>
        <item x="1160"/>
        <item x="749"/>
        <item x="360"/>
        <item x="185"/>
        <item x="398"/>
        <item x="374"/>
        <item x="1011"/>
        <item x="300"/>
        <item x="829"/>
        <item x="928"/>
        <item x="1086"/>
        <item x="693"/>
        <item x="103"/>
        <item x="543"/>
        <item x="883"/>
        <item x="478"/>
        <item x="283"/>
        <item x="838"/>
        <item x="972"/>
        <item x="369"/>
        <item x="1127"/>
        <item x="114"/>
        <item x="1162"/>
        <item x="461"/>
        <item x="1039"/>
        <item x="893"/>
        <item x="323"/>
        <item x="302"/>
        <item x="82"/>
        <item x="687"/>
        <item x="1111"/>
        <item x="670"/>
        <item x="658"/>
        <item x="608"/>
        <item x="98"/>
        <item x="1175"/>
        <item x="610"/>
        <item x="94"/>
        <item x="1132"/>
        <item x="63"/>
        <item x="665"/>
        <item x="695"/>
        <item x="390"/>
        <item x="460"/>
        <item x="425"/>
        <item x="476"/>
        <item x="324"/>
        <item x="876"/>
        <item x="2"/>
        <item x="299"/>
        <item x="927"/>
        <item x="118"/>
        <item x="69"/>
        <item x="854"/>
        <item x="30"/>
        <item x="237"/>
        <item x="296"/>
        <item x="520"/>
        <item x="860"/>
        <item x="525"/>
        <item x="22"/>
        <item x="41"/>
        <item x="831"/>
        <item x="209"/>
        <item x="378"/>
        <item x="816"/>
        <item x="265"/>
        <item x="125"/>
        <item x="170"/>
        <item x="1153"/>
        <item x="1136"/>
        <item x="855"/>
        <item x="292"/>
        <item x="859"/>
        <item x="1149"/>
        <item x="1163"/>
        <item x="189"/>
        <item x="23"/>
        <item x="757"/>
        <item x="287"/>
        <item x="603"/>
        <item x="439"/>
        <item x="440"/>
        <item x="214"/>
        <item x="1003"/>
        <item x="173"/>
        <item x="833"/>
        <item x="840"/>
        <item x="488"/>
        <item x="573"/>
        <item x="741"/>
        <item x="989"/>
        <item x="319"/>
        <item x="585"/>
        <item x="946"/>
        <item x="758"/>
        <item x="590"/>
        <item x="820"/>
        <item x="452"/>
        <item x="356"/>
        <item x="588"/>
        <item x="359"/>
        <item x="297"/>
        <item x="505"/>
        <item x="824"/>
        <item x="74"/>
        <item x="566"/>
        <item x="1062"/>
        <item x="500"/>
        <item x="304"/>
        <item x="1029"/>
        <item x="952"/>
        <item x="219"/>
        <item x="556"/>
        <item x="676"/>
        <item x="843"/>
        <item x="844"/>
        <item x="293"/>
        <item x="236"/>
        <item x="1129"/>
        <item x="805"/>
        <item x="1096"/>
        <item x="28"/>
        <item x="368"/>
        <item x="999"/>
        <item x="1176"/>
        <item x="673"/>
        <item x="777"/>
        <item x="685"/>
        <item x="714"/>
        <item x="3"/>
        <item x="986"/>
        <item x="280"/>
        <item x="305"/>
        <item x="218"/>
        <item x="877"/>
        <item x="391"/>
        <item x="523"/>
        <item x="87"/>
        <item x="314"/>
        <item x="174"/>
        <item x="1177"/>
        <item x="659"/>
        <item x="68"/>
        <item x="446"/>
        <item x="67"/>
        <item x="727"/>
        <item x="1101"/>
        <item x="117"/>
        <item x="794"/>
        <item x="959"/>
        <item x="158"/>
        <item x="795"/>
        <item x="495"/>
        <item x="744"/>
        <item x="254"/>
        <item x="960"/>
        <item x="1005"/>
        <item x="572"/>
        <item x="1054"/>
        <item x="1066"/>
        <item x="631"/>
        <item x="790"/>
        <item x="383"/>
        <item x="968"/>
        <item x="736"/>
        <item x="1157"/>
        <item x="466"/>
        <item x="642"/>
        <item x="532"/>
        <item x="308"/>
        <item x="524"/>
        <item x="764"/>
        <item x="1082"/>
        <item x="149"/>
        <item x="527"/>
        <item x="821"/>
        <item x="891"/>
        <item x="1078"/>
        <item x="465"/>
        <item x="684"/>
        <item x="806"/>
        <item x="1041"/>
        <item x="538"/>
        <item x="387"/>
        <item x="1089"/>
        <item x="309"/>
        <item x="1079"/>
        <item x="199"/>
        <item x="407"/>
        <item x="1080"/>
        <item x="55"/>
        <item x="577"/>
        <item x="483"/>
        <item x="155"/>
        <item x="434"/>
        <item x="408"/>
        <item x="641"/>
        <item x="53"/>
        <item x="847"/>
        <item x="865"/>
        <item x="442"/>
        <item x="239"/>
        <item x="688"/>
        <item x="428"/>
        <item x="694"/>
        <item x="728"/>
        <item x="700"/>
        <item x="949"/>
        <item x="804"/>
        <item x="20"/>
        <item x="32"/>
        <item x="699"/>
        <item x="1104"/>
        <item x="597"/>
        <item x="529"/>
        <item x="437"/>
        <item x="92"/>
        <item x="1013"/>
        <item x="139"/>
        <item x="888"/>
        <item x="567"/>
        <item x="137"/>
        <item x="45"/>
        <item x="725"/>
        <item x="594"/>
        <item x="825"/>
        <item x="938"/>
        <item x="814"/>
        <item x="245"/>
        <item x="11"/>
        <item x="1016"/>
        <item x="357"/>
        <item x="46"/>
        <item x="1174"/>
        <item x="1012"/>
        <item x="1119"/>
        <item x="976"/>
        <item x="124"/>
        <item x="788"/>
        <item x="737"/>
        <item x="943"/>
        <item x="426"/>
        <item x="783"/>
        <item x="334"/>
        <item x="140"/>
        <item x="47"/>
        <item x="35"/>
        <item x="111"/>
        <item x="1007"/>
        <item x="475"/>
        <item x="975"/>
        <item x="620"/>
        <item x="704"/>
        <item x="858"/>
        <item x="347"/>
        <item x="1010"/>
        <item x="313"/>
        <item x="702"/>
        <item x="104"/>
        <item x="756"/>
        <item x="431"/>
        <item x="832"/>
        <item x="519"/>
        <item x="627"/>
        <item x="1032"/>
        <item x="432"/>
        <item x="136"/>
        <item x="469"/>
        <item x="1030"/>
        <item x="907"/>
        <item x="247"/>
        <item x="167"/>
        <item x="953"/>
        <item x="803"/>
        <item x="51"/>
        <item x="355"/>
        <item x="479"/>
        <item x="44"/>
        <item x="611"/>
        <item x="1172"/>
        <item x="799"/>
        <item x="131"/>
        <item x="897"/>
        <item x="871"/>
        <item x="1159"/>
        <item x="1142"/>
        <item x="228"/>
        <item x="617"/>
        <item x="640"/>
        <item x="569"/>
        <item x="414"/>
        <item x="135"/>
        <item x="146"/>
        <item x="455"/>
        <item x="424"/>
        <item x="565"/>
        <item x="205"/>
        <item x="950"/>
        <item x="978"/>
        <item x="882"/>
        <item x="1148"/>
        <item x="930"/>
        <item x="602"/>
        <item x="852"/>
        <item x="798"/>
        <item x="129"/>
        <item x="312"/>
        <item x="9"/>
        <item x="861"/>
        <item x="1165"/>
        <item x="733"/>
        <item x="1138"/>
        <item x="341"/>
        <item x="887"/>
        <item x="885"/>
        <item x="130"/>
        <item x="895"/>
        <item x="710"/>
        <item x="910"/>
        <item x="630"/>
        <item x="419"/>
        <item x="507"/>
        <item x="278"/>
        <item x="632"/>
        <item x="595"/>
        <item x="354"/>
        <item x="621"/>
        <item x="894"/>
        <item x="79"/>
        <item x="732"/>
        <item x="100"/>
        <item x="584"/>
        <item x="940"/>
        <item x="1073"/>
        <item x="731"/>
        <item x="1077"/>
        <item x="1146"/>
        <item x="493"/>
        <item x="557"/>
        <item x="1049"/>
        <item x="259"/>
        <item x="376"/>
        <item x="255"/>
        <item x="921"/>
        <item x="492"/>
        <item x="713"/>
        <item x="156"/>
        <item x="346"/>
        <item x="939"/>
        <item x="441"/>
        <item x="151"/>
        <item x="835"/>
        <item x="675"/>
        <item x="981"/>
        <item x="143"/>
        <item x="671"/>
        <item x="56"/>
        <item x="1100"/>
        <item x="867"/>
        <item x="607"/>
        <item x="596"/>
        <item x="211"/>
        <item x="958"/>
        <item x="937"/>
        <item x="330"/>
        <item x="643"/>
        <item x="70"/>
        <item x="160"/>
        <item x="650"/>
        <item x="166"/>
        <item x="1017"/>
        <item x="303"/>
        <item x="931"/>
        <item x="1088"/>
        <item x="997"/>
        <item x="244"/>
        <item x="548"/>
        <item x="285"/>
        <item x="246"/>
        <item x="589"/>
        <item x="1169"/>
        <item x="947"/>
        <item x="516"/>
        <item x="991"/>
        <item x="71"/>
        <item x="1060"/>
        <item x="301"/>
        <item x="636"/>
        <item x="941"/>
        <item x="606"/>
        <item x="49"/>
        <item x="592"/>
        <item x="743"/>
        <item x="683"/>
        <item x="1050"/>
        <item x="902"/>
        <item x="703"/>
        <item x="138"/>
        <item x="892"/>
        <item x="42"/>
        <item x="186"/>
        <item x="1095"/>
        <item x="58"/>
        <item x="845"/>
        <item x="1103"/>
        <item x="429"/>
        <item x="392"/>
        <item x="144"/>
        <item x="955"/>
        <item x="427"/>
        <item x="72"/>
        <item x="1022"/>
        <item x="328"/>
        <item x="294"/>
        <item x="66"/>
        <item x="779"/>
        <item x="605"/>
        <item x="896"/>
        <item x="1075"/>
        <item x="451"/>
        <item x="956"/>
        <item x="264"/>
        <item x="1033"/>
        <item x="382"/>
        <item x="534"/>
        <item x="256"/>
        <item x="471"/>
        <item x="964"/>
        <item x="730"/>
        <item x="1110"/>
        <item x="501"/>
        <item x="780"/>
        <item x="1051"/>
        <item x="286"/>
        <item x="581"/>
        <item x="564"/>
        <item x="19"/>
        <item x="530"/>
        <item x="842"/>
        <item x="110"/>
        <item x="841"/>
        <item x="668"/>
        <item x="194"/>
        <item x="268"/>
        <item x="537"/>
        <item x="88"/>
        <item x="919"/>
        <item x="267"/>
        <item x="618"/>
        <item x="1065"/>
        <item x="660"/>
        <item x="856"/>
        <item x="1069"/>
        <item x="922"/>
        <item x="153"/>
        <item x="547"/>
        <item x="750"/>
        <item x="1114"/>
        <item x="503"/>
        <item x="275"/>
        <item x="1120"/>
        <item x="815"/>
        <item x="415"/>
        <item x="574"/>
        <item x="1014"/>
        <item x="1154"/>
        <item x="184"/>
        <item x="274"/>
        <item x="957"/>
        <item x="552"/>
        <item x="911"/>
        <item x="351"/>
        <item x="810"/>
        <item x="106"/>
        <item x="961"/>
        <item x="830"/>
        <item x="1037"/>
        <item x="307"/>
        <item x="1035"/>
        <item x="789"/>
        <item x="761"/>
        <item x="678"/>
        <item x="217"/>
        <item x="171"/>
        <item x="1076"/>
        <item x="808"/>
        <item x="531"/>
        <item x="1071"/>
        <item x="932"/>
        <item x="951"/>
        <item x="335"/>
        <item x="13"/>
        <item x="38"/>
        <item x="533"/>
        <item x="754"/>
        <item x="1027"/>
        <item x="242"/>
        <item x="181"/>
        <item x="615"/>
        <item x="120"/>
        <item x="204"/>
        <item x="1173"/>
        <item x="57"/>
        <item x="176"/>
        <item x="535"/>
        <item x="792"/>
        <item x="474"/>
        <item x="559"/>
        <item x="227"/>
        <item x="707"/>
        <item x="1063"/>
        <item x="1025"/>
        <item x="826"/>
        <item x="238"/>
        <item x="54"/>
        <item x="1105"/>
        <item x="763"/>
        <item x="147"/>
        <item x="207"/>
        <item x="249"/>
        <item x="604"/>
        <item x="1004"/>
        <item x="506"/>
        <item x="316"/>
        <item x="1072"/>
        <item x="1092"/>
        <item x="212"/>
        <item x="311"/>
        <item x="7"/>
        <item x="133"/>
        <item x="715"/>
        <item x="1151"/>
        <item x="903"/>
        <item x="203"/>
        <item x="1070"/>
        <item x="187"/>
        <item x="89"/>
        <item x="64"/>
        <item x="784"/>
        <item x="337"/>
        <item x="740"/>
        <item x="776"/>
        <item x="1135"/>
        <item x="43"/>
        <item x="834"/>
        <item x="306"/>
        <item x="331"/>
        <item x="580"/>
        <item x="157"/>
        <item x="99"/>
        <item x="4"/>
        <item x="706"/>
        <item x="48"/>
        <item x="912"/>
        <item x="753"/>
        <item x="417"/>
        <item x="576"/>
        <item x="10"/>
        <item x="1168"/>
        <item x="1000"/>
        <item x="1026"/>
        <item x="724"/>
        <item x="558"/>
        <item x="723"/>
        <item x="361"/>
        <item x="988"/>
        <item x="367"/>
        <item x="263"/>
        <item x="729"/>
        <item x="582"/>
        <item x="365"/>
        <item x="734"/>
        <item x="208"/>
        <item x="539"/>
        <item x="920"/>
        <item x="562"/>
        <item x="549"/>
        <item x="16"/>
        <item x="993"/>
        <item x="223"/>
        <item x="811"/>
        <item x="290"/>
        <item x="970"/>
        <item x="84"/>
        <item x="653"/>
        <item x="119"/>
        <item x="570"/>
        <item x="554"/>
        <item x="770"/>
        <item x="690"/>
        <item x="26"/>
        <item x="575"/>
        <item x="546"/>
        <item x="781"/>
        <item x="1023"/>
        <item x="126"/>
        <item x="1097"/>
        <item x="222"/>
        <item x="1015"/>
        <item x="225"/>
        <item x="769"/>
        <item x="870"/>
        <item x="904"/>
        <item x="260"/>
        <item x="890"/>
        <item x="1040"/>
        <item x="742"/>
        <item x="325"/>
        <item x="132"/>
        <item x="333"/>
        <item x="1126"/>
        <item x="188"/>
        <item x="421"/>
        <item x="998"/>
        <item x="317"/>
        <item x="708"/>
        <item x="251"/>
        <item x="1098"/>
        <item x="782"/>
        <item x="206"/>
        <item x="261"/>
        <item x="27"/>
        <item x="423"/>
        <item x="623"/>
        <item x="801"/>
        <item x="759"/>
        <item x="1045"/>
        <item x="381"/>
        <item x="626"/>
        <item x="1059"/>
        <item x="192"/>
        <item x="614"/>
        <item x="154"/>
        <item x="1158"/>
        <item x="327"/>
        <item x="748"/>
        <item x="817"/>
        <item x="746"/>
        <item x="163"/>
        <item x="202"/>
        <item x="644"/>
        <item x="1108"/>
        <item x="373"/>
        <item x="405"/>
        <item x="253"/>
        <item x="353"/>
        <item x="231"/>
        <item x="291"/>
        <item x="496"/>
        <item x="165"/>
        <item x="514"/>
        <item x="459"/>
        <item x="974"/>
        <item x="326"/>
        <item x="1164"/>
        <item x="646"/>
        <item x="348"/>
        <item x="288"/>
        <item x="869"/>
        <item x="1167"/>
        <item x="230"/>
        <item x="1112"/>
        <item x="150"/>
        <item x="1107"/>
        <item x="705"/>
        <item t="default"/>
      </items>
    </pivotField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3"/>
        <item x="4"/>
        <item x="1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>
      <items count="12">
        <item x="8"/>
        <item x="3"/>
        <item x="5"/>
        <item x="0"/>
        <item x="10"/>
        <item x="6"/>
        <item x="2"/>
        <item x="1"/>
        <item x="7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">
        <item x="1"/>
        <item x="4"/>
        <item x="7"/>
        <item x="0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Open Backlog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34DC8-64FF-4AEB-AF86-28E72C903528}" name="Tabela dinâmica5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J1:J2" firstHeaderRow="1" firstDataRow="1" firstDataCol="0"/>
  <pivotFields count="38">
    <pivotField showAll="0"/>
    <pivotField showAll="0"/>
    <pivotField numFmtId="22" showAll="0">
      <items count="1180">
        <item x="388"/>
        <item x="289"/>
        <item x="619"/>
        <item x="329"/>
        <item x="115"/>
        <item x="350"/>
        <item x="338"/>
        <item x="809"/>
        <item x="657"/>
        <item x="1090"/>
        <item x="609"/>
        <item x="1"/>
        <item x="613"/>
        <item x="39"/>
        <item x="243"/>
        <item x="980"/>
        <item x="853"/>
        <item x="248"/>
        <item x="152"/>
        <item x="515"/>
        <item x="775"/>
        <item x="973"/>
        <item x="364"/>
        <item x="102"/>
        <item x="1042"/>
        <item x="652"/>
        <item x="635"/>
        <item x="797"/>
        <item x="395"/>
        <item x="393"/>
        <item x="1123"/>
        <item x="679"/>
        <item x="917"/>
        <item x="996"/>
        <item x="358"/>
        <item x="542"/>
        <item x="716"/>
        <item x="450"/>
        <item x="1087"/>
        <item x="924"/>
        <item x="484"/>
        <item x="416"/>
        <item x="711"/>
        <item x="494"/>
        <item x="258"/>
        <item x="598"/>
        <item x="966"/>
        <item x="944"/>
        <item x="386"/>
        <item x="502"/>
        <item x="1143"/>
        <item x="629"/>
        <item x="175"/>
        <item x="252"/>
        <item x="322"/>
        <item x="464"/>
        <item x="900"/>
        <item x="766"/>
        <item x="1144"/>
        <item x="721"/>
        <item x="1178"/>
        <item x="772"/>
        <item x="905"/>
        <item x="122"/>
        <item x="201"/>
        <item x="148"/>
        <item x="107"/>
        <item x="453"/>
        <item x="271"/>
        <item x="1118"/>
        <item x="200"/>
        <item x="667"/>
        <item x="787"/>
        <item x="1133"/>
        <item x="444"/>
        <item x="436"/>
        <item x="864"/>
        <item x="908"/>
        <item x="1002"/>
        <item x="701"/>
        <item x="352"/>
        <item x="420"/>
        <item x="1074"/>
        <item x="526"/>
        <item x="1130"/>
        <item x="967"/>
        <item x="934"/>
        <item x="680"/>
        <item x="686"/>
        <item x="257"/>
        <item x="1006"/>
        <item x="477"/>
        <item x="380"/>
        <item x="372"/>
        <item x="560"/>
        <item x="101"/>
        <item x="638"/>
        <item x="8"/>
        <item x="1064"/>
        <item x="490"/>
        <item x="412"/>
        <item x="717"/>
        <item x="906"/>
        <item x="992"/>
        <item x="593"/>
        <item x="61"/>
        <item x="545"/>
        <item x="1116"/>
        <item x="965"/>
        <item x="458"/>
        <item x="406"/>
        <item x="1113"/>
        <item x="164"/>
        <item x="343"/>
        <item x="1161"/>
        <item x="193"/>
        <item x="310"/>
        <item x="232"/>
        <item x="863"/>
        <item x="1008"/>
        <item x="791"/>
        <item x="216"/>
        <item x="377"/>
        <item x="141"/>
        <item x="625"/>
        <item x="666"/>
        <item x="739"/>
        <item x="77"/>
        <item x="178"/>
        <item x="696"/>
        <item x="510"/>
        <item x="134"/>
        <item x="691"/>
        <item x="116"/>
        <item x="50"/>
        <item x="276"/>
        <item x="198"/>
        <item x="456"/>
        <item x="12"/>
        <item x="586"/>
        <item x="637"/>
        <item x="818"/>
        <item x="1124"/>
        <item x="622"/>
        <item x="563"/>
        <item x="793"/>
        <item x="1044"/>
        <item x="397"/>
        <item x="1139"/>
        <item x="827"/>
        <item x="719"/>
        <item x="760"/>
        <item x="765"/>
        <item x="587"/>
        <item x="52"/>
        <item x="822"/>
        <item x="336"/>
        <item x="1109"/>
        <item x="813"/>
        <item x="445"/>
        <item x="229"/>
        <item x="561"/>
        <item x="1001"/>
        <item x="1021"/>
        <item x="183"/>
        <item x="1036"/>
        <item x="487"/>
        <item x="982"/>
        <item x="985"/>
        <item x="751"/>
        <item x="851"/>
        <item x="224"/>
        <item x="884"/>
        <item x="1140"/>
        <item x="76"/>
        <item x="196"/>
        <item x="31"/>
        <item x="752"/>
        <item x="1020"/>
        <item x="473"/>
        <item x="499"/>
        <item x="345"/>
        <item x="886"/>
        <item x="948"/>
        <item x="33"/>
        <item x="220"/>
        <item x="1091"/>
        <item x="738"/>
        <item x="389"/>
        <item x="1171"/>
        <item x="528"/>
        <item x="37"/>
        <item x="162"/>
        <item x="747"/>
        <item x="718"/>
        <item x="1125"/>
        <item x="601"/>
        <item x="785"/>
        <item x="1094"/>
        <item x="1058"/>
        <item x="645"/>
        <item x="857"/>
        <item x="901"/>
        <item x="828"/>
        <item x="485"/>
        <item x="726"/>
        <item x="1028"/>
        <item x="438"/>
        <item x="819"/>
        <item x="628"/>
        <item x="113"/>
        <item x="633"/>
        <item x="1019"/>
        <item x="522"/>
        <item x="881"/>
        <item x="914"/>
        <item x="15"/>
        <item x="875"/>
        <item x="226"/>
        <item x="215"/>
        <item x="182"/>
        <item x="889"/>
        <item x="698"/>
        <item x="600"/>
        <item x="1155"/>
        <item x="159"/>
        <item x="850"/>
        <item x="277"/>
        <item x="90"/>
        <item x="762"/>
        <item x="512"/>
        <item x="663"/>
        <item x="6"/>
        <item x="712"/>
        <item x="1093"/>
        <item x="933"/>
        <item x="197"/>
        <item x="513"/>
        <item x="1099"/>
        <item x="925"/>
        <item x="1150"/>
        <item x="298"/>
        <item x="86"/>
        <item x="413"/>
        <item x="404"/>
        <item x="755"/>
        <item x="661"/>
        <item x="443"/>
        <item x="909"/>
        <item x="786"/>
        <item x="430"/>
        <item x="1052"/>
        <item x="868"/>
        <item x="984"/>
        <item x="677"/>
        <item x="73"/>
        <item x="1134"/>
        <item x="1106"/>
        <item x="14"/>
        <item x="379"/>
        <item x="433"/>
        <item x="979"/>
        <item x="262"/>
        <item x="168"/>
        <item x="517"/>
        <item x="142"/>
        <item x="295"/>
        <item x="75"/>
        <item x="720"/>
        <item x="1145"/>
        <item x="836"/>
        <item x="65"/>
        <item x="344"/>
        <item x="1083"/>
        <item x="1048"/>
        <item x="616"/>
        <item x="195"/>
        <item x="866"/>
        <item x="995"/>
        <item x="112"/>
        <item x="745"/>
        <item x="463"/>
        <item x="639"/>
        <item x="624"/>
        <item x="375"/>
        <item x="1061"/>
        <item x="987"/>
        <item x="915"/>
        <item x="401"/>
        <item x="233"/>
        <item x="394"/>
        <item x="954"/>
        <item x="1046"/>
        <item x="1081"/>
        <item x="648"/>
        <item x="689"/>
        <item x="1117"/>
        <item x="521"/>
        <item x="340"/>
        <item x="123"/>
        <item x="332"/>
        <item x="962"/>
        <item x="612"/>
        <item x="472"/>
        <item x="651"/>
        <item x="509"/>
        <item x="873"/>
        <item x="127"/>
        <item x="179"/>
        <item x="1121"/>
        <item x="40"/>
        <item x="1024"/>
        <item x="213"/>
        <item x="697"/>
        <item x="240"/>
        <item x="1166"/>
        <item x="599"/>
        <item x="279"/>
        <item x="839"/>
        <item x="898"/>
        <item x="735"/>
        <item x="121"/>
        <item x="235"/>
        <item x="923"/>
        <item x="669"/>
        <item x="191"/>
        <item x="489"/>
        <item x="1018"/>
        <item x="771"/>
        <item x="682"/>
        <item x="969"/>
        <item x="321"/>
        <item x="807"/>
        <item x="128"/>
        <item x="410"/>
        <item x="462"/>
        <item x="773"/>
        <item x="899"/>
        <item x="672"/>
        <item x="649"/>
        <item x="823"/>
        <item x="654"/>
        <item x="273"/>
        <item x="409"/>
        <item x="837"/>
        <item x="935"/>
        <item x="454"/>
        <item x="1056"/>
        <item x="913"/>
        <item x="1038"/>
        <item x="29"/>
        <item x="109"/>
        <item x="457"/>
        <item x="418"/>
        <item x="1047"/>
        <item x="339"/>
        <item x="709"/>
        <item x="662"/>
        <item x="468"/>
        <item x="874"/>
        <item x="681"/>
        <item x="320"/>
        <item x="384"/>
        <item x="370"/>
        <item x="221"/>
        <item x="872"/>
        <item x="971"/>
        <item x="504"/>
        <item x="994"/>
        <item x="59"/>
        <item x="1031"/>
        <item x="540"/>
        <item x="497"/>
        <item x="269"/>
        <item x="1055"/>
        <item x="366"/>
        <item x="270"/>
        <item x="95"/>
        <item x="1102"/>
        <item x="91"/>
        <item x="778"/>
        <item x="916"/>
        <item x="848"/>
        <item x="83"/>
        <item x="634"/>
        <item x="722"/>
        <item x="1137"/>
        <item x="1141"/>
        <item x="918"/>
        <item x="81"/>
        <item x="172"/>
        <item x="508"/>
        <item x="1068"/>
        <item x="1152"/>
        <item x="936"/>
        <item x="536"/>
        <item x="145"/>
        <item x="24"/>
        <item x="411"/>
        <item x="578"/>
        <item x="498"/>
        <item x="93"/>
        <item x="555"/>
        <item x="363"/>
        <item x="1053"/>
        <item x="449"/>
        <item x="1122"/>
        <item x="664"/>
        <item x="342"/>
        <item x="272"/>
        <item x="96"/>
        <item x="1170"/>
        <item x="480"/>
        <item x="396"/>
        <item x="1147"/>
        <item x="467"/>
        <item x="78"/>
        <item x="846"/>
        <item x="80"/>
        <item x="169"/>
        <item x="486"/>
        <item x="180"/>
        <item x="402"/>
        <item x="62"/>
        <item x="518"/>
        <item x="34"/>
        <item x="1131"/>
        <item x="945"/>
        <item x="802"/>
        <item x="190"/>
        <item x="105"/>
        <item x="553"/>
        <item x="266"/>
        <item x="85"/>
        <item x="812"/>
        <item x="655"/>
        <item x="692"/>
        <item x="1057"/>
        <item x="470"/>
        <item x="568"/>
        <item x="579"/>
        <item x="481"/>
        <item x="551"/>
        <item x="36"/>
        <item x="349"/>
        <item x="241"/>
        <item x="18"/>
        <item x="800"/>
        <item x="880"/>
        <item x="161"/>
        <item x="774"/>
        <item x="318"/>
        <item x="929"/>
        <item x="878"/>
        <item x="849"/>
        <item x="25"/>
        <item x="767"/>
        <item x="1156"/>
        <item x="1128"/>
        <item x="942"/>
        <item x="403"/>
        <item x="674"/>
        <item x="1115"/>
        <item x="1043"/>
        <item x="422"/>
        <item x="990"/>
        <item x="1067"/>
        <item x="371"/>
        <item x="315"/>
        <item x="983"/>
        <item x="210"/>
        <item x="447"/>
        <item x="544"/>
        <item x="282"/>
        <item x="491"/>
        <item x="768"/>
        <item x="281"/>
        <item x="284"/>
        <item x="399"/>
        <item x="647"/>
        <item x="177"/>
        <item x="448"/>
        <item x="234"/>
        <item x="5"/>
        <item x="591"/>
        <item x="21"/>
        <item x="511"/>
        <item x="362"/>
        <item x="1085"/>
        <item x="1009"/>
        <item x="385"/>
        <item x="108"/>
        <item x="879"/>
        <item x="550"/>
        <item x="250"/>
        <item x="571"/>
        <item x="1034"/>
        <item x="796"/>
        <item x="583"/>
        <item x="0"/>
        <item x="435"/>
        <item x="60"/>
        <item x="482"/>
        <item x="963"/>
        <item x="656"/>
        <item x="541"/>
        <item x="97"/>
        <item x="400"/>
        <item x="862"/>
        <item x="1084"/>
        <item x="977"/>
        <item x="926"/>
        <item x="17"/>
        <item x="1160"/>
        <item x="749"/>
        <item x="360"/>
        <item x="185"/>
        <item x="398"/>
        <item x="374"/>
        <item x="1011"/>
        <item x="300"/>
        <item x="829"/>
        <item x="928"/>
        <item x="1086"/>
        <item x="693"/>
        <item x="103"/>
        <item x="543"/>
        <item x="883"/>
        <item x="478"/>
        <item x="283"/>
        <item x="838"/>
        <item x="972"/>
        <item x="369"/>
        <item x="1127"/>
        <item x="114"/>
        <item x="1162"/>
        <item x="461"/>
        <item x="1039"/>
        <item x="893"/>
        <item x="323"/>
        <item x="302"/>
        <item x="82"/>
        <item x="687"/>
        <item x="1111"/>
        <item x="670"/>
        <item x="658"/>
        <item x="608"/>
        <item x="98"/>
        <item x="1175"/>
        <item x="610"/>
        <item x="94"/>
        <item x="1132"/>
        <item x="63"/>
        <item x="665"/>
        <item x="695"/>
        <item x="390"/>
        <item x="460"/>
        <item x="425"/>
        <item x="476"/>
        <item x="324"/>
        <item x="876"/>
        <item x="2"/>
        <item x="299"/>
        <item x="927"/>
        <item x="118"/>
        <item x="69"/>
        <item x="854"/>
        <item x="30"/>
        <item x="237"/>
        <item x="296"/>
        <item x="520"/>
        <item x="860"/>
        <item x="525"/>
        <item x="22"/>
        <item x="41"/>
        <item x="831"/>
        <item x="209"/>
        <item x="378"/>
        <item x="816"/>
        <item x="265"/>
        <item x="125"/>
        <item x="170"/>
        <item x="1153"/>
        <item x="1136"/>
        <item x="855"/>
        <item x="292"/>
        <item x="859"/>
        <item x="1149"/>
        <item x="1163"/>
        <item x="189"/>
        <item x="23"/>
        <item x="757"/>
        <item x="287"/>
        <item x="603"/>
        <item x="439"/>
        <item x="440"/>
        <item x="214"/>
        <item x="1003"/>
        <item x="173"/>
        <item x="833"/>
        <item x="840"/>
        <item x="488"/>
        <item x="573"/>
        <item x="741"/>
        <item x="989"/>
        <item x="319"/>
        <item x="585"/>
        <item x="946"/>
        <item x="758"/>
        <item x="590"/>
        <item x="820"/>
        <item x="452"/>
        <item x="356"/>
        <item x="588"/>
        <item x="359"/>
        <item x="297"/>
        <item x="505"/>
        <item x="824"/>
        <item x="74"/>
        <item x="566"/>
        <item x="1062"/>
        <item x="500"/>
        <item x="304"/>
        <item x="1029"/>
        <item x="952"/>
        <item x="219"/>
        <item x="556"/>
        <item x="676"/>
        <item x="843"/>
        <item x="844"/>
        <item x="293"/>
        <item x="236"/>
        <item x="1129"/>
        <item x="805"/>
        <item x="1096"/>
        <item x="28"/>
        <item x="368"/>
        <item x="999"/>
        <item x="1176"/>
        <item x="673"/>
        <item x="777"/>
        <item x="685"/>
        <item x="714"/>
        <item x="3"/>
        <item x="986"/>
        <item x="280"/>
        <item x="305"/>
        <item x="218"/>
        <item x="877"/>
        <item x="391"/>
        <item x="523"/>
        <item x="87"/>
        <item x="314"/>
        <item x="174"/>
        <item x="1177"/>
        <item x="659"/>
        <item x="68"/>
        <item x="446"/>
        <item x="67"/>
        <item x="727"/>
        <item x="1101"/>
        <item x="117"/>
        <item x="794"/>
        <item x="959"/>
        <item x="158"/>
        <item x="795"/>
        <item x="495"/>
        <item x="744"/>
        <item x="254"/>
        <item x="960"/>
        <item x="1005"/>
        <item x="572"/>
        <item x="1054"/>
        <item x="1066"/>
        <item x="631"/>
        <item x="790"/>
        <item x="383"/>
        <item x="968"/>
        <item x="736"/>
        <item x="1157"/>
        <item x="466"/>
        <item x="642"/>
        <item x="532"/>
        <item x="308"/>
        <item x="524"/>
        <item x="764"/>
        <item x="1082"/>
        <item x="149"/>
        <item x="527"/>
        <item x="821"/>
        <item x="891"/>
        <item x="1078"/>
        <item x="465"/>
        <item x="684"/>
        <item x="806"/>
        <item x="1041"/>
        <item x="538"/>
        <item x="387"/>
        <item x="1089"/>
        <item x="309"/>
        <item x="1079"/>
        <item x="199"/>
        <item x="407"/>
        <item x="1080"/>
        <item x="55"/>
        <item x="577"/>
        <item x="483"/>
        <item x="155"/>
        <item x="434"/>
        <item x="408"/>
        <item x="641"/>
        <item x="53"/>
        <item x="847"/>
        <item x="865"/>
        <item x="442"/>
        <item x="239"/>
        <item x="688"/>
        <item x="428"/>
        <item x="694"/>
        <item x="728"/>
        <item x="700"/>
        <item x="949"/>
        <item x="804"/>
        <item x="20"/>
        <item x="32"/>
        <item x="699"/>
        <item x="1104"/>
        <item x="597"/>
        <item x="529"/>
        <item x="437"/>
        <item x="92"/>
        <item x="1013"/>
        <item x="139"/>
        <item x="888"/>
        <item x="567"/>
        <item x="137"/>
        <item x="45"/>
        <item x="725"/>
        <item x="594"/>
        <item x="825"/>
        <item x="938"/>
        <item x="814"/>
        <item x="245"/>
        <item x="11"/>
        <item x="1016"/>
        <item x="357"/>
        <item x="46"/>
        <item x="1174"/>
        <item x="1012"/>
        <item x="1119"/>
        <item x="976"/>
        <item x="124"/>
        <item x="788"/>
        <item x="737"/>
        <item x="943"/>
        <item x="426"/>
        <item x="783"/>
        <item x="334"/>
        <item x="140"/>
        <item x="47"/>
        <item x="35"/>
        <item x="111"/>
        <item x="1007"/>
        <item x="475"/>
        <item x="975"/>
        <item x="620"/>
        <item x="704"/>
        <item x="858"/>
        <item x="347"/>
        <item x="1010"/>
        <item x="313"/>
        <item x="702"/>
        <item x="104"/>
        <item x="756"/>
        <item x="431"/>
        <item x="832"/>
        <item x="519"/>
        <item x="627"/>
        <item x="1032"/>
        <item x="432"/>
        <item x="136"/>
        <item x="469"/>
        <item x="1030"/>
        <item x="907"/>
        <item x="247"/>
        <item x="167"/>
        <item x="953"/>
        <item x="803"/>
        <item x="51"/>
        <item x="355"/>
        <item x="479"/>
        <item x="44"/>
        <item x="611"/>
        <item x="1172"/>
        <item x="799"/>
        <item x="131"/>
        <item x="897"/>
        <item x="871"/>
        <item x="1159"/>
        <item x="1142"/>
        <item x="228"/>
        <item x="617"/>
        <item x="640"/>
        <item x="569"/>
        <item x="414"/>
        <item x="135"/>
        <item x="146"/>
        <item x="455"/>
        <item x="424"/>
        <item x="565"/>
        <item x="205"/>
        <item x="950"/>
        <item x="978"/>
        <item x="882"/>
        <item x="1148"/>
        <item x="930"/>
        <item x="602"/>
        <item x="852"/>
        <item x="798"/>
        <item x="129"/>
        <item x="312"/>
        <item x="9"/>
        <item x="861"/>
        <item x="1165"/>
        <item x="733"/>
        <item x="1138"/>
        <item x="341"/>
        <item x="887"/>
        <item x="885"/>
        <item x="130"/>
        <item x="895"/>
        <item x="710"/>
        <item x="910"/>
        <item x="630"/>
        <item x="419"/>
        <item x="507"/>
        <item x="278"/>
        <item x="632"/>
        <item x="595"/>
        <item x="354"/>
        <item x="621"/>
        <item x="894"/>
        <item x="79"/>
        <item x="732"/>
        <item x="100"/>
        <item x="584"/>
        <item x="940"/>
        <item x="1073"/>
        <item x="731"/>
        <item x="1077"/>
        <item x="1146"/>
        <item x="493"/>
        <item x="557"/>
        <item x="1049"/>
        <item x="259"/>
        <item x="376"/>
        <item x="255"/>
        <item x="921"/>
        <item x="492"/>
        <item x="713"/>
        <item x="156"/>
        <item x="346"/>
        <item x="939"/>
        <item x="441"/>
        <item x="151"/>
        <item x="835"/>
        <item x="675"/>
        <item x="981"/>
        <item x="143"/>
        <item x="671"/>
        <item x="56"/>
        <item x="1100"/>
        <item x="867"/>
        <item x="607"/>
        <item x="596"/>
        <item x="211"/>
        <item x="958"/>
        <item x="937"/>
        <item x="330"/>
        <item x="643"/>
        <item x="70"/>
        <item x="160"/>
        <item x="650"/>
        <item x="166"/>
        <item x="1017"/>
        <item x="303"/>
        <item x="931"/>
        <item x="1088"/>
        <item x="997"/>
        <item x="244"/>
        <item x="548"/>
        <item x="285"/>
        <item x="246"/>
        <item x="589"/>
        <item x="1169"/>
        <item x="947"/>
        <item x="516"/>
        <item x="991"/>
        <item x="71"/>
        <item x="1060"/>
        <item x="301"/>
        <item x="636"/>
        <item x="941"/>
        <item x="606"/>
        <item x="49"/>
        <item x="592"/>
        <item x="743"/>
        <item x="683"/>
        <item x="1050"/>
        <item x="902"/>
        <item x="703"/>
        <item x="138"/>
        <item x="892"/>
        <item x="42"/>
        <item x="186"/>
        <item x="1095"/>
        <item x="58"/>
        <item x="845"/>
        <item x="1103"/>
        <item x="429"/>
        <item x="392"/>
        <item x="144"/>
        <item x="955"/>
        <item x="427"/>
        <item x="72"/>
        <item x="1022"/>
        <item x="328"/>
        <item x="294"/>
        <item x="66"/>
        <item x="779"/>
        <item x="605"/>
        <item x="896"/>
        <item x="1075"/>
        <item x="451"/>
        <item x="956"/>
        <item x="264"/>
        <item x="1033"/>
        <item x="382"/>
        <item x="534"/>
        <item x="256"/>
        <item x="471"/>
        <item x="964"/>
        <item x="730"/>
        <item x="1110"/>
        <item x="501"/>
        <item x="780"/>
        <item x="1051"/>
        <item x="286"/>
        <item x="581"/>
        <item x="564"/>
        <item x="19"/>
        <item x="530"/>
        <item x="842"/>
        <item x="110"/>
        <item x="841"/>
        <item x="668"/>
        <item x="194"/>
        <item x="268"/>
        <item x="537"/>
        <item x="88"/>
        <item x="919"/>
        <item x="267"/>
        <item x="618"/>
        <item x="1065"/>
        <item x="660"/>
        <item x="856"/>
        <item x="1069"/>
        <item x="922"/>
        <item x="153"/>
        <item x="547"/>
        <item x="750"/>
        <item x="1114"/>
        <item x="503"/>
        <item x="275"/>
        <item x="1120"/>
        <item x="815"/>
        <item x="415"/>
        <item x="574"/>
        <item x="1014"/>
        <item x="1154"/>
        <item x="184"/>
        <item x="274"/>
        <item x="957"/>
        <item x="552"/>
        <item x="911"/>
        <item x="351"/>
        <item x="810"/>
        <item x="106"/>
        <item x="961"/>
        <item x="830"/>
        <item x="1037"/>
        <item x="307"/>
        <item x="1035"/>
        <item x="789"/>
        <item x="761"/>
        <item x="678"/>
        <item x="217"/>
        <item x="171"/>
        <item x="1076"/>
        <item x="808"/>
        <item x="531"/>
        <item x="1071"/>
        <item x="932"/>
        <item x="951"/>
        <item x="335"/>
        <item x="13"/>
        <item x="38"/>
        <item x="533"/>
        <item x="754"/>
        <item x="1027"/>
        <item x="242"/>
        <item x="181"/>
        <item x="615"/>
        <item x="120"/>
        <item x="204"/>
        <item x="1173"/>
        <item x="57"/>
        <item x="176"/>
        <item x="535"/>
        <item x="792"/>
        <item x="474"/>
        <item x="559"/>
        <item x="227"/>
        <item x="707"/>
        <item x="1063"/>
        <item x="1025"/>
        <item x="826"/>
        <item x="238"/>
        <item x="54"/>
        <item x="1105"/>
        <item x="763"/>
        <item x="147"/>
        <item x="207"/>
        <item x="249"/>
        <item x="604"/>
        <item x="1004"/>
        <item x="506"/>
        <item x="316"/>
        <item x="1072"/>
        <item x="1092"/>
        <item x="212"/>
        <item x="311"/>
        <item x="7"/>
        <item x="133"/>
        <item x="715"/>
        <item x="1151"/>
        <item x="903"/>
        <item x="203"/>
        <item x="1070"/>
        <item x="187"/>
        <item x="89"/>
        <item x="64"/>
        <item x="784"/>
        <item x="337"/>
        <item x="740"/>
        <item x="776"/>
        <item x="1135"/>
        <item x="43"/>
        <item x="834"/>
        <item x="306"/>
        <item x="331"/>
        <item x="580"/>
        <item x="157"/>
        <item x="99"/>
        <item x="4"/>
        <item x="706"/>
        <item x="48"/>
        <item x="912"/>
        <item x="753"/>
        <item x="417"/>
        <item x="576"/>
        <item x="10"/>
        <item x="1168"/>
        <item x="1000"/>
        <item x="1026"/>
        <item x="724"/>
        <item x="558"/>
        <item x="723"/>
        <item x="361"/>
        <item x="988"/>
        <item x="367"/>
        <item x="263"/>
        <item x="729"/>
        <item x="582"/>
        <item x="365"/>
        <item x="734"/>
        <item x="208"/>
        <item x="539"/>
        <item x="920"/>
        <item x="562"/>
        <item x="549"/>
        <item x="16"/>
        <item x="993"/>
        <item x="223"/>
        <item x="811"/>
        <item x="290"/>
        <item x="970"/>
        <item x="84"/>
        <item x="653"/>
        <item x="119"/>
        <item x="570"/>
        <item x="554"/>
        <item x="770"/>
        <item x="690"/>
        <item x="26"/>
        <item x="575"/>
        <item x="546"/>
        <item x="781"/>
        <item x="1023"/>
        <item x="126"/>
        <item x="1097"/>
        <item x="222"/>
        <item x="1015"/>
        <item x="225"/>
        <item x="769"/>
        <item x="870"/>
        <item x="904"/>
        <item x="260"/>
        <item x="890"/>
        <item x="1040"/>
        <item x="742"/>
        <item x="325"/>
        <item x="132"/>
        <item x="333"/>
        <item x="1126"/>
        <item x="188"/>
        <item x="421"/>
        <item x="998"/>
        <item x="317"/>
        <item x="708"/>
        <item x="251"/>
        <item x="1098"/>
        <item x="782"/>
        <item x="206"/>
        <item x="261"/>
        <item x="27"/>
        <item x="423"/>
        <item x="623"/>
        <item x="801"/>
        <item x="759"/>
        <item x="1045"/>
        <item x="381"/>
        <item x="626"/>
        <item x="1059"/>
        <item x="192"/>
        <item x="614"/>
        <item x="154"/>
        <item x="1158"/>
        <item x="327"/>
        <item x="748"/>
        <item x="817"/>
        <item x="746"/>
        <item x="163"/>
        <item x="202"/>
        <item x="644"/>
        <item x="1108"/>
        <item x="373"/>
        <item x="405"/>
        <item x="253"/>
        <item x="353"/>
        <item x="231"/>
        <item x="291"/>
        <item x="496"/>
        <item x="165"/>
        <item x="514"/>
        <item x="459"/>
        <item x="974"/>
        <item x="326"/>
        <item x="1164"/>
        <item x="646"/>
        <item x="348"/>
        <item x="288"/>
        <item x="869"/>
        <item x="1167"/>
        <item x="230"/>
        <item x="1112"/>
        <item x="150"/>
        <item x="1107"/>
        <item x="705"/>
        <item t="default"/>
      </items>
    </pivotField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3"/>
        <item x="4"/>
        <item x="1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>
      <items count="12">
        <item x="8"/>
        <item x="3"/>
        <item x="5"/>
        <item x="0"/>
        <item x="10"/>
        <item x="6"/>
        <item x="2"/>
        <item x="1"/>
        <item x="7"/>
        <item x="9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">
        <item x="1"/>
        <item x="4"/>
        <item x="7"/>
        <item x="0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Average First Response" fld="12" subtotal="average" baseField="0" baseItem="0" numFmtId="2"/>
  </dataFields>
  <formats count="1">
    <format dxfId="4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C2C8B8-6A20-49B2-A1C8-D24C6B816381}" name="Tabela dinâmica10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G1:G2" firstHeaderRow="1" firstDataRow="1" firstDataCol="0"/>
  <pivotFields count="38">
    <pivotField showAll="0"/>
    <pivotField showAll="0"/>
    <pivotField numFmtId="22" showAll="0">
      <items count="1180">
        <item x="388"/>
        <item x="289"/>
        <item x="619"/>
        <item x="329"/>
        <item x="115"/>
        <item x="350"/>
        <item x="338"/>
        <item x="809"/>
        <item x="657"/>
        <item x="1090"/>
        <item x="609"/>
        <item x="1"/>
        <item x="613"/>
        <item x="39"/>
        <item x="243"/>
        <item x="980"/>
        <item x="853"/>
        <item x="248"/>
        <item x="152"/>
        <item x="515"/>
        <item x="775"/>
        <item x="973"/>
        <item x="364"/>
        <item x="102"/>
        <item x="1042"/>
        <item x="652"/>
        <item x="635"/>
        <item x="797"/>
        <item x="395"/>
        <item x="393"/>
        <item x="1123"/>
        <item x="679"/>
        <item x="917"/>
        <item x="996"/>
        <item x="358"/>
        <item x="542"/>
        <item x="716"/>
        <item x="450"/>
        <item x="1087"/>
        <item x="924"/>
        <item x="484"/>
        <item x="416"/>
        <item x="711"/>
        <item x="494"/>
        <item x="258"/>
        <item x="598"/>
        <item x="966"/>
        <item x="944"/>
        <item x="386"/>
        <item x="502"/>
        <item x="1143"/>
        <item x="629"/>
        <item x="175"/>
        <item x="252"/>
        <item x="322"/>
        <item x="464"/>
        <item x="900"/>
        <item x="766"/>
        <item x="1144"/>
        <item x="721"/>
        <item x="1178"/>
        <item x="772"/>
        <item x="905"/>
        <item x="122"/>
        <item x="201"/>
        <item x="148"/>
        <item x="107"/>
        <item x="453"/>
        <item x="271"/>
        <item x="1118"/>
        <item x="200"/>
        <item x="667"/>
        <item x="787"/>
        <item x="1133"/>
        <item x="444"/>
        <item x="436"/>
        <item x="864"/>
        <item x="908"/>
        <item x="1002"/>
        <item x="701"/>
        <item x="352"/>
        <item x="420"/>
        <item x="1074"/>
        <item x="526"/>
        <item x="1130"/>
        <item x="967"/>
        <item x="934"/>
        <item x="680"/>
        <item x="686"/>
        <item x="257"/>
        <item x="1006"/>
        <item x="477"/>
        <item x="380"/>
        <item x="372"/>
        <item x="560"/>
        <item x="101"/>
        <item x="638"/>
        <item x="8"/>
        <item x="1064"/>
        <item x="490"/>
        <item x="412"/>
        <item x="717"/>
        <item x="906"/>
        <item x="992"/>
        <item x="593"/>
        <item x="61"/>
        <item x="545"/>
        <item x="1116"/>
        <item x="965"/>
        <item x="458"/>
        <item x="406"/>
        <item x="1113"/>
        <item x="164"/>
        <item x="343"/>
        <item x="1161"/>
        <item x="193"/>
        <item x="310"/>
        <item x="232"/>
        <item x="863"/>
        <item x="1008"/>
        <item x="791"/>
        <item x="216"/>
        <item x="377"/>
        <item x="141"/>
        <item x="625"/>
        <item x="666"/>
        <item x="739"/>
        <item x="77"/>
        <item x="178"/>
        <item x="696"/>
        <item x="510"/>
        <item x="134"/>
        <item x="691"/>
        <item x="116"/>
        <item x="50"/>
        <item x="276"/>
        <item x="198"/>
        <item x="456"/>
        <item x="12"/>
        <item x="586"/>
        <item x="637"/>
        <item x="818"/>
        <item x="1124"/>
        <item x="622"/>
        <item x="563"/>
        <item x="793"/>
        <item x="1044"/>
        <item x="397"/>
        <item x="1139"/>
        <item x="827"/>
        <item x="719"/>
        <item x="760"/>
        <item x="765"/>
        <item x="587"/>
        <item x="52"/>
        <item x="822"/>
        <item x="336"/>
        <item x="1109"/>
        <item x="813"/>
        <item x="445"/>
        <item x="229"/>
        <item x="561"/>
        <item x="1001"/>
        <item x="1021"/>
        <item x="183"/>
        <item x="1036"/>
        <item x="487"/>
        <item x="982"/>
        <item x="985"/>
        <item x="751"/>
        <item x="851"/>
        <item x="224"/>
        <item x="884"/>
        <item x="1140"/>
        <item x="76"/>
        <item x="196"/>
        <item x="31"/>
        <item x="752"/>
        <item x="1020"/>
        <item x="473"/>
        <item x="499"/>
        <item x="345"/>
        <item x="886"/>
        <item x="948"/>
        <item x="33"/>
        <item x="220"/>
        <item x="1091"/>
        <item x="738"/>
        <item x="389"/>
        <item x="1171"/>
        <item x="528"/>
        <item x="37"/>
        <item x="162"/>
        <item x="747"/>
        <item x="718"/>
        <item x="1125"/>
        <item x="601"/>
        <item x="785"/>
        <item x="1094"/>
        <item x="1058"/>
        <item x="645"/>
        <item x="857"/>
        <item x="901"/>
        <item x="828"/>
        <item x="485"/>
        <item x="726"/>
        <item x="1028"/>
        <item x="438"/>
        <item x="819"/>
        <item x="628"/>
        <item x="113"/>
        <item x="633"/>
        <item x="1019"/>
        <item x="522"/>
        <item x="881"/>
        <item x="914"/>
        <item x="15"/>
        <item x="875"/>
        <item x="226"/>
        <item x="215"/>
        <item x="182"/>
        <item x="889"/>
        <item x="698"/>
        <item x="600"/>
        <item x="1155"/>
        <item x="159"/>
        <item x="850"/>
        <item x="277"/>
        <item x="90"/>
        <item x="762"/>
        <item x="512"/>
        <item x="663"/>
        <item x="6"/>
        <item x="712"/>
        <item x="1093"/>
        <item x="933"/>
        <item x="197"/>
        <item x="513"/>
        <item x="1099"/>
        <item x="925"/>
        <item x="1150"/>
        <item x="298"/>
        <item x="86"/>
        <item x="413"/>
        <item x="404"/>
        <item x="755"/>
        <item x="661"/>
        <item x="443"/>
        <item x="909"/>
        <item x="786"/>
        <item x="430"/>
        <item x="1052"/>
        <item x="868"/>
        <item x="984"/>
        <item x="677"/>
        <item x="73"/>
        <item x="1134"/>
        <item x="1106"/>
        <item x="14"/>
        <item x="379"/>
        <item x="433"/>
        <item x="979"/>
        <item x="262"/>
        <item x="168"/>
        <item x="517"/>
        <item x="142"/>
        <item x="295"/>
        <item x="75"/>
        <item x="720"/>
        <item x="1145"/>
        <item x="836"/>
        <item x="65"/>
        <item x="344"/>
        <item x="1083"/>
        <item x="1048"/>
        <item x="616"/>
        <item x="195"/>
        <item x="866"/>
        <item x="995"/>
        <item x="112"/>
        <item x="745"/>
        <item x="463"/>
        <item x="639"/>
        <item x="624"/>
        <item x="375"/>
        <item x="1061"/>
        <item x="987"/>
        <item x="915"/>
        <item x="401"/>
        <item x="233"/>
        <item x="394"/>
        <item x="954"/>
        <item x="1046"/>
        <item x="1081"/>
        <item x="648"/>
        <item x="689"/>
        <item x="1117"/>
        <item x="521"/>
        <item x="340"/>
        <item x="123"/>
        <item x="332"/>
        <item x="962"/>
        <item x="612"/>
        <item x="472"/>
        <item x="651"/>
        <item x="509"/>
        <item x="873"/>
        <item x="127"/>
        <item x="179"/>
        <item x="1121"/>
        <item x="40"/>
        <item x="1024"/>
        <item x="213"/>
        <item x="697"/>
        <item x="240"/>
        <item x="1166"/>
        <item x="599"/>
        <item x="279"/>
        <item x="839"/>
        <item x="898"/>
        <item x="735"/>
        <item x="121"/>
        <item x="235"/>
        <item x="923"/>
        <item x="669"/>
        <item x="191"/>
        <item x="489"/>
        <item x="1018"/>
        <item x="771"/>
        <item x="682"/>
        <item x="969"/>
        <item x="321"/>
        <item x="807"/>
        <item x="128"/>
        <item x="410"/>
        <item x="462"/>
        <item x="773"/>
        <item x="899"/>
        <item x="672"/>
        <item x="649"/>
        <item x="823"/>
        <item x="654"/>
        <item x="273"/>
        <item x="409"/>
        <item x="837"/>
        <item x="935"/>
        <item x="454"/>
        <item x="1056"/>
        <item x="913"/>
        <item x="1038"/>
        <item x="29"/>
        <item x="109"/>
        <item x="457"/>
        <item x="418"/>
        <item x="1047"/>
        <item x="339"/>
        <item x="709"/>
        <item x="662"/>
        <item x="468"/>
        <item x="874"/>
        <item x="681"/>
        <item x="320"/>
        <item x="384"/>
        <item x="370"/>
        <item x="221"/>
        <item x="872"/>
        <item x="971"/>
        <item x="504"/>
        <item x="994"/>
        <item x="59"/>
        <item x="1031"/>
        <item x="540"/>
        <item x="497"/>
        <item x="269"/>
        <item x="1055"/>
        <item x="366"/>
        <item x="270"/>
        <item x="95"/>
        <item x="1102"/>
        <item x="91"/>
        <item x="778"/>
        <item x="916"/>
        <item x="848"/>
        <item x="83"/>
        <item x="634"/>
        <item x="722"/>
        <item x="1137"/>
        <item x="1141"/>
        <item x="918"/>
        <item x="81"/>
        <item x="172"/>
        <item x="508"/>
        <item x="1068"/>
        <item x="1152"/>
        <item x="936"/>
        <item x="536"/>
        <item x="145"/>
        <item x="24"/>
        <item x="411"/>
        <item x="578"/>
        <item x="498"/>
        <item x="93"/>
        <item x="555"/>
        <item x="363"/>
        <item x="1053"/>
        <item x="449"/>
        <item x="1122"/>
        <item x="664"/>
        <item x="342"/>
        <item x="272"/>
        <item x="96"/>
        <item x="1170"/>
        <item x="480"/>
        <item x="396"/>
        <item x="1147"/>
        <item x="467"/>
        <item x="78"/>
        <item x="846"/>
        <item x="80"/>
        <item x="169"/>
        <item x="486"/>
        <item x="180"/>
        <item x="402"/>
        <item x="62"/>
        <item x="518"/>
        <item x="34"/>
        <item x="1131"/>
        <item x="945"/>
        <item x="802"/>
        <item x="190"/>
        <item x="105"/>
        <item x="553"/>
        <item x="266"/>
        <item x="85"/>
        <item x="812"/>
        <item x="655"/>
        <item x="692"/>
        <item x="1057"/>
        <item x="470"/>
        <item x="568"/>
        <item x="579"/>
        <item x="481"/>
        <item x="551"/>
        <item x="36"/>
        <item x="349"/>
        <item x="241"/>
        <item x="18"/>
        <item x="800"/>
        <item x="880"/>
        <item x="161"/>
        <item x="774"/>
        <item x="318"/>
        <item x="929"/>
        <item x="878"/>
        <item x="849"/>
        <item x="25"/>
        <item x="767"/>
        <item x="1156"/>
        <item x="1128"/>
        <item x="942"/>
        <item x="403"/>
        <item x="674"/>
        <item x="1115"/>
        <item x="1043"/>
        <item x="422"/>
        <item x="990"/>
        <item x="1067"/>
        <item x="371"/>
        <item x="315"/>
        <item x="983"/>
        <item x="210"/>
        <item x="447"/>
        <item x="544"/>
        <item x="282"/>
        <item x="491"/>
        <item x="768"/>
        <item x="281"/>
        <item x="284"/>
        <item x="399"/>
        <item x="647"/>
        <item x="177"/>
        <item x="448"/>
        <item x="234"/>
        <item x="5"/>
        <item x="591"/>
        <item x="21"/>
        <item x="511"/>
        <item x="362"/>
        <item x="1085"/>
        <item x="1009"/>
        <item x="385"/>
        <item x="108"/>
        <item x="879"/>
        <item x="550"/>
        <item x="250"/>
        <item x="571"/>
        <item x="1034"/>
        <item x="796"/>
        <item x="583"/>
        <item x="0"/>
        <item x="435"/>
        <item x="60"/>
        <item x="482"/>
        <item x="963"/>
        <item x="656"/>
        <item x="541"/>
        <item x="97"/>
        <item x="400"/>
        <item x="862"/>
        <item x="1084"/>
        <item x="977"/>
        <item x="926"/>
        <item x="17"/>
        <item x="1160"/>
        <item x="749"/>
        <item x="360"/>
        <item x="185"/>
        <item x="398"/>
        <item x="374"/>
        <item x="1011"/>
        <item x="300"/>
        <item x="829"/>
        <item x="928"/>
        <item x="1086"/>
        <item x="693"/>
        <item x="103"/>
        <item x="543"/>
        <item x="883"/>
        <item x="478"/>
        <item x="283"/>
        <item x="838"/>
        <item x="972"/>
        <item x="369"/>
        <item x="1127"/>
        <item x="114"/>
        <item x="1162"/>
        <item x="461"/>
        <item x="1039"/>
        <item x="893"/>
        <item x="323"/>
        <item x="302"/>
        <item x="82"/>
        <item x="687"/>
        <item x="1111"/>
        <item x="670"/>
        <item x="658"/>
        <item x="608"/>
        <item x="98"/>
        <item x="1175"/>
        <item x="610"/>
        <item x="94"/>
        <item x="1132"/>
        <item x="63"/>
        <item x="665"/>
        <item x="695"/>
        <item x="390"/>
        <item x="460"/>
        <item x="425"/>
        <item x="476"/>
        <item x="324"/>
        <item x="876"/>
        <item x="2"/>
        <item x="299"/>
        <item x="927"/>
        <item x="118"/>
        <item x="69"/>
        <item x="854"/>
        <item x="30"/>
        <item x="237"/>
        <item x="296"/>
        <item x="520"/>
        <item x="860"/>
        <item x="525"/>
        <item x="22"/>
        <item x="41"/>
        <item x="831"/>
        <item x="209"/>
        <item x="378"/>
        <item x="816"/>
        <item x="265"/>
        <item x="125"/>
        <item x="170"/>
        <item x="1153"/>
        <item x="1136"/>
        <item x="855"/>
        <item x="292"/>
        <item x="859"/>
        <item x="1149"/>
        <item x="1163"/>
        <item x="189"/>
        <item x="23"/>
        <item x="757"/>
        <item x="287"/>
        <item x="603"/>
        <item x="439"/>
        <item x="440"/>
        <item x="214"/>
        <item x="1003"/>
        <item x="173"/>
        <item x="833"/>
        <item x="840"/>
        <item x="488"/>
        <item x="573"/>
        <item x="741"/>
        <item x="989"/>
        <item x="319"/>
        <item x="585"/>
        <item x="946"/>
        <item x="758"/>
        <item x="590"/>
        <item x="820"/>
        <item x="452"/>
        <item x="356"/>
        <item x="588"/>
        <item x="359"/>
        <item x="297"/>
        <item x="505"/>
        <item x="824"/>
        <item x="74"/>
        <item x="566"/>
        <item x="1062"/>
        <item x="500"/>
        <item x="304"/>
        <item x="1029"/>
        <item x="952"/>
        <item x="219"/>
        <item x="556"/>
        <item x="676"/>
        <item x="843"/>
        <item x="844"/>
        <item x="293"/>
        <item x="236"/>
        <item x="1129"/>
        <item x="805"/>
        <item x="1096"/>
        <item x="28"/>
        <item x="368"/>
        <item x="999"/>
        <item x="1176"/>
        <item x="673"/>
        <item x="777"/>
        <item x="685"/>
        <item x="714"/>
        <item x="3"/>
        <item x="986"/>
        <item x="280"/>
        <item x="305"/>
        <item x="218"/>
        <item x="877"/>
        <item x="391"/>
        <item x="523"/>
        <item x="87"/>
        <item x="314"/>
        <item x="174"/>
        <item x="1177"/>
        <item x="659"/>
        <item x="68"/>
        <item x="446"/>
        <item x="67"/>
        <item x="727"/>
        <item x="1101"/>
        <item x="117"/>
        <item x="794"/>
        <item x="959"/>
        <item x="158"/>
        <item x="795"/>
        <item x="495"/>
        <item x="744"/>
        <item x="254"/>
        <item x="960"/>
        <item x="1005"/>
        <item x="572"/>
        <item x="1054"/>
        <item x="1066"/>
        <item x="631"/>
        <item x="790"/>
        <item x="383"/>
        <item x="968"/>
        <item x="736"/>
        <item x="1157"/>
        <item x="466"/>
        <item x="642"/>
        <item x="532"/>
        <item x="308"/>
        <item x="524"/>
        <item x="764"/>
        <item x="1082"/>
        <item x="149"/>
        <item x="527"/>
        <item x="821"/>
        <item x="891"/>
        <item x="1078"/>
        <item x="465"/>
        <item x="684"/>
        <item x="806"/>
        <item x="1041"/>
        <item x="538"/>
        <item x="387"/>
        <item x="1089"/>
        <item x="309"/>
        <item x="1079"/>
        <item x="199"/>
        <item x="407"/>
        <item x="1080"/>
        <item x="55"/>
        <item x="577"/>
        <item x="483"/>
        <item x="155"/>
        <item x="434"/>
        <item x="408"/>
        <item x="641"/>
        <item x="53"/>
        <item x="847"/>
        <item x="865"/>
        <item x="442"/>
        <item x="239"/>
        <item x="688"/>
        <item x="428"/>
        <item x="694"/>
        <item x="728"/>
        <item x="700"/>
        <item x="949"/>
        <item x="804"/>
        <item x="20"/>
        <item x="32"/>
        <item x="699"/>
        <item x="1104"/>
        <item x="597"/>
        <item x="529"/>
        <item x="437"/>
        <item x="92"/>
        <item x="1013"/>
        <item x="139"/>
        <item x="888"/>
        <item x="567"/>
        <item x="137"/>
        <item x="45"/>
        <item x="725"/>
        <item x="594"/>
        <item x="825"/>
        <item x="938"/>
        <item x="814"/>
        <item x="245"/>
        <item x="11"/>
        <item x="1016"/>
        <item x="357"/>
        <item x="46"/>
        <item x="1174"/>
        <item x="1012"/>
        <item x="1119"/>
        <item x="976"/>
        <item x="124"/>
        <item x="788"/>
        <item x="737"/>
        <item x="943"/>
        <item x="426"/>
        <item x="783"/>
        <item x="334"/>
        <item x="140"/>
        <item x="47"/>
        <item x="35"/>
        <item x="111"/>
        <item x="1007"/>
        <item x="475"/>
        <item x="975"/>
        <item x="620"/>
        <item x="704"/>
        <item x="858"/>
        <item x="347"/>
        <item x="1010"/>
        <item x="313"/>
        <item x="702"/>
        <item x="104"/>
        <item x="756"/>
        <item x="431"/>
        <item x="832"/>
        <item x="519"/>
        <item x="627"/>
        <item x="1032"/>
        <item x="432"/>
        <item x="136"/>
        <item x="469"/>
        <item x="1030"/>
        <item x="907"/>
        <item x="247"/>
        <item x="167"/>
        <item x="953"/>
        <item x="803"/>
        <item x="51"/>
        <item x="355"/>
        <item x="479"/>
        <item x="44"/>
        <item x="611"/>
        <item x="1172"/>
        <item x="799"/>
        <item x="131"/>
        <item x="897"/>
        <item x="871"/>
        <item x="1159"/>
        <item x="1142"/>
        <item x="228"/>
        <item x="617"/>
        <item x="640"/>
        <item x="569"/>
        <item x="414"/>
        <item x="135"/>
        <item x="146"/>
        <item x="455"/>
        <item x="424"/>
        <item x="565"/>
        <item x="205"/>
        <item x="950"/>
        <item x="978"/>
        <item x="882"/>
        <item x="1148"/>
        <item x="930"/>
        <item x="602"/>
        <item x="852"/>
        <item x="798"/>
        <item x="129"/>
        <item x="312"/>
        <item x="9"/>
        <item x="861"/>
        <item x="1165"/>
        <item x="733"/>
        <item x="1138"/>
        <item x="341"/>
        <item x="887"/>
        <item x="885"/>
        <item x="130"/>
        <item x="895"/>
        <item x="710"/>
        <item x="910"/>
        <item x="630"/>
        <item x="419"/>
        <item x="507"/>
        <item x="278"/>
        <item x="632"/>
        <item x="595"/>
        <item x="354"/>
        <item x="621"/>
        <item x="894"/>
        <item x="79"/>
        <item x="732"/>
        <item x="100"/>
        <item x="584"/>
        <item x="940"/>
        <item x="1073"/>
        <item x="731"/>
        <item x="1077"/>
        <item x="1146"/>
        <item x="493"/>
        <item x="557"/>
        <item x="1049"/>
        <item x="259"/>
        <item x="376"/>
        <item x="255"/>
        <item x="921"/>
        <item x="492"/>
        <item x="713"/>
        <item x="156"/>
        <item x="346"/>
        <item x="939"/>
        <item x="441"/>
        <item x="151"/>
        <item x="835"/>
        <item x="675"/>
        <item x="981"/>
        <item x="143"/>
        <item x="671"/>
        <item x="56"/>
        <item x="1100"/>
        <item x="867"/>
        <item x="607"/>
        <item x="596"/>
        <item x="211"/>
        <item x="958"/>
        <item x="937"/>
        <item x="330"/>
        <item x="643"/>
        <item x="70"/>
        <item x="160"/>
        <item x="650"/>
        <item x="166"/>
        <item x="1017"/>
        <item x="303"/>
        <item x="931"/>
        <item x="1088"/>
        <item x="997"/>
        <item x="244"/>
        <item x="548"/>
        <item x="285"/>
        <item x="246"/>
        <item x="589"/>
        <item x="1169"/>
        <item x="947"/>
        <item x="516"/>
        <item x="991"/>
        <item x="71"/>
        <item x="1060"/>
        <item x="301"/>
        <item x="636"/>
        <item x="941"/>
        <item x="606"/>
        <item x="49"/>
        <item x="592"/>
        <item x="743"/>
        <item x="683"/>
        <item x="1050"/>
        <item x="902"/>
        <item x="703"/>
        <item x="138"/>
        <item x="892"/>
        <item x="42"/>
        <item x="186"/>
        <item x="1095"/>
        <item x="58"/>
        <item x="845"/>
        <item x="1103"/>
        <item x="429"/>
        <item x="392"/>
        <item x="144"/>
        <item x="955"/>
        <item x="427"/>
        <item x="72"/>
        <item x="1022"/>
        <item x="328"/>
        <item x="294"/>
        <item x="66"/>
        <item x="779"/>
        <item x="605"/>
        <item x="896"/>
        <item x="1075"/>
        <item x="451"/>
        <item x="956"/>
        <item x="264"/>
        <item x="1033"/>
        <item x="382"/>
        <item x="534"/>
        <item x="256"/>
        <item x="471"/>
        <item x="964"/>
        <item x="730"/>
        <item x="1110"/>
        <item x="501"/>
        <item x="780"/>
        <item x="1051"/>
        <item x="286"/>
        <item x="581"/>
        <item x="564"/>
        <item x="19"/>
        <item x="530"/>
        <item x="842"/>
        <item x="110"/>
        <item x="841"/>
        <item x="668"/>
        <item x="194"/>
        <item x="268"/>
        <item x="537"/>
        <item x="88"/>
        <item x="919"/>
        <item x="267"/>
        <item x="618"/>
        <item x="1065"/>
        <item x="660"/>
        <item x="856"/>
        <item x="1069"/>
        <item x="922"/>
        <item x="153"/>
        <item x="547"/>
        <item x="750"/>
        <item x="1114"/>
        <item x="503"/>
        <item x="275"/>
        <item x="1120"/>
        <item x="815"/>
        <item x="415"/>
        <item x="574"/>
        <item x="1014"/>
        <item x="1154"/>
        <item x="184"/>
        <item x="274"/>
        <item x="957"/>
        <item x="552"/>
        <item x="911"/>
        <item x="351"/>
        <item x="810"/>
        <item x="106"/>
        <item x="961"/>
        <item x="830"/>
        <item x="1037"/>
        <item x="307"/>
        <item x="1035"/>
        <item x="789"/>
        <item x="761"/>
        <item x="678"/>
        <item x="217"/>
        <item x="171"/>
        <item x="1076"/>
        <item x="808"/>
        <item x="531"/>
        <item x="1071"/>
        <item x="932"/>
        <item x="951"/>
        <item x="335"/>
        <item x="13"/>
        <item x="38"/>
        <item x="533"/>
        <item x="754"/>
        <item x="1027"/>
        <item x="242"/>
        <item x="181"/>
        <item x="615"/>
        <item x="120"/>
        <item x="204"/>
        <item x="1173"/>
        <item x="57"/>
        <item x="176"/>
        <item x="535"/>
        <item x="792"/>
        <item x="474"/>
        <item x="559"/>
        <item x="227"/>
        <item x="707"/>
        <item x="1063"/>
        <item x="1025"/>
        <item x="826"/>
        <item x="238"/>
        <item x="54"/>
        <item x="1105"/>
        <item x="763"/>
        <item x="147"/>
        <item x="207"/>
        <item x="249"/>
        <item x="604"/>
        <item x="1004"/>
        <item x="506"/>
        <item x="316"/>
        <item x="1072"/>
        <item x="1092"/>
        <item x="212"/>
        <item x="311"/>
        <item x="7"/>
        <item x="133"/>
        <item x="715"/>
        <item x="1151"/>
        <item x="903"/>
        <item x="203"/>
        <item x="1070"/>
        <item x="187"/>
        <item x="89"/>
        <item x="64"/>
        <item x="784"/>
        <item x="337"/>
        <item x="740"/>
        <item x="776"/>
        <item x="1135"/>
        <item x="43"/>
        <item x="834"/>
        <item x="306"/>
        <item x="331"/>
        <item x="580"/>
        <item x="157"/>
        <item x="99"/>
        <item x="4"/>
        <item x="706"/>
        <item x="48"/>
        <item x="912"/>
        <item x="753"/>
        <item x="417"/>
        <item x="576"/>
        <item x="10"/>
        <item x="1168"/>
        <item x="1000"/>
        <item x="1026"/>
        <item x="724"/>
        <item x="558"/>
        <item x="723"/>
        <item x="361"/>
        <item x="988"/>
        <item x="367"/>
        <item x="263"/>
        <item x="729"/>
        <item x="582"/>
        <item x="365"/>
        <item x="734"/>
        <item x="208"/>
        <item x="539"/>
        <item x="920"/>
        <item x="562"/>
        <item x="549"/>
        <item x="16"/>
        <item x="993"/>
        <item x="223"/>
        <item x="811"/>
        <item x="290"/>
        <item x="970"/>
        <item x="84"/>
        <item x="653"/>
        <item x="119"/>
        <item x="570"/>
        <item x="554"/>
        <item x="770"/>
        <item x="690"/>
        <item x="26"/>
        <item x="575"/>
        <item x="546"/>
        <item x="781"/>
        <item x="1023"/>
        <item x="126"/>
        <item x="1097"/>
        <item x="222"/>
        <item x="1015"/>
        <item x="225"/>
        <item x="769"/>
        <item x="870"/>
        <item x="904"/>
        <item x="260"/>
        <item x="890"/>
        <item x="1040"/>
        <item x="742"/>
        <item x="325"/>
        <item x="132"/>
        <item x="333"/>
        <item x="1126"/>
        <item x="188"/>
        <item x="421"/>
        <item x="998"/>
        <item x="317"/>
        <item x="708"/>
        <item x="251"/>
        <item x="1098"/>
        <item x="782"/>
        <item x="206"/>
        <item x="261"/>
        <item x="27"/>
        <item x="423"/>
        <item x="623"/>
        <item x="801"/>
        <item x="759"/>
        <item x="1045"/>
        <item x="381"/>
        <item x="626"/>
        <item x="1059"/>
        <item x="192"/>
        <item x="614"/>
        <item x="154"/>
        <item x="1158"/>
        <item x="327"/>
        <item x="748"/>
        <item x="817"/>
        <item x="746"/>
        <item x="163"/>
        <item x="202"/>
        <item x="644"/>
        <item x="1108"/>
        <item x="373"/>
        <item x="405"/>
        <item x="253"/>
        <item x="353"/>
        <item x="231"/>
        <item x="291"/>
        <item x="496"/>
        <item x="165"/>
        <item x="514"/>
        <item x="459"/>
        <item x="974"/>
        <item x="326"/>
        <item x="1164"/>
        <item x="646"/>
        <item x="348"/>
        <item x="288"/>
        <item x="869"/>
        <item x="1167"/>
        <item x="230"/>
        <item x="1112"/>
        <item x="150"/>
        <item x="1107"/>
        <item x="705"/>
        <item t="default"/>
      </items>
    </pivotField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3"/>
        <item x="4"/>
        <item x="1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>
      <items count="12">
        <item x="8"/>
        <item x="3"/>
        <item x="5"/>
        <item x="0"/>
        <item x="10"/>
        <item x="6"/>
        <item x="2"/>
        <item x="1"/>
        <item x="7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">
        <item x="1"/>
        <item x="4"/>
        <item x="7"/>
        <item x="0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Reopen Rate" fld="32" subtotal="average" baseField="0" baseItem="0" numFmtId="9"/>
  </dataFields>
  <formats count="2">
    <format dxfId="45">
      <pivotArea dataOnly="0" labelOnly="1" outline="0" axis="axisValues" fieldPosition="0"/>
    </format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74242-628D-4AF5-BD4C-07CDC58E9042}" name="Tabela dinâmica2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4">
  <location ref="C20:D27" firstHeaderRow="1" firstDataRow="1" firstDataCol="1"/>
  <pivotFields count="38">
    <pivotField showAll="0"/>
    <pivotField showAll="0"/>
    <pivotField numFmtId="22" showAll="0">
      <items count="1180">
        <item x="388"/>
        <item x="289"/>
        <item x="619"/>
        <item x="329"/>
        <item x="115"/>
        <item x="350"/>
        <item x="338"/>
        <item x="809"/>
        <item x="657"/>
        <item x="1090"/>
        <item x="609"/>
        <item x="1"/>
        <item x="613"/>
        <item x="39"/>
        <item x="243"/>
        <item x="980"/>
        <item x="853"/>
        <item x="248"/>
        <item x="152"/>
        <item x="515"/>
        <item x="775"/>
        <item x="973"/>
        <item x="364"/>
        <item x="102"/>
        <item x="1042"/>
        <item x="652"/>
        <item x="635"/>
        <item x="797"/>
        <item x="395"/>
        <item x="393"/>
        <item x="1123"/>
        <item x="679"/>
        <item x="917"/>
        <item x="996"/>
        <item x="358"/>
        <item x="542"/>
        <item x="716"/>
        <item x="450"/>
        <item x="1087"/>
        <item x="924"/>
        <item x="484"/>
        <item x="416"/>
        <item x="711"/>
        <item x="494"/>
        <item x="258"/>
        <item x="598"/>
        <item x="966"/>
        <item x="944"/>
        <item x="386"/>
        <item x="502"/>
        <item x="1143"/>
        <item x="629"/>
        <item x="175"/>
        <item x="252"/>
        <item x="322"/>
        <item x="464"/>
        <item x="900"/>
        <item x="766"/>
        <item x="1144"/>
        <item x="721"/>
        <item x="1178"/>
        <item x="772"/>
        <item x="905"/>
        <item x="122"/>
        <item x="201"/>
        <item x="148"/>
        <item x="107"/>
        <item x="453"/>
        <item x="271"/>
        <item x="1118"/>
        <item x="200"/>
        <item x="667"/>
        <item x="787"/>
        <item x="1133"/>
        <item x="444"/>
        <item x="436"/>
        <item x="864"/>
        <item x="908"/>
        <item x="1002"/>
        <item x="701"/>
        <item x="352"/>
        <item x="420"/>
        <item x="1074"/>
        <item x="526"/>
        <item x="1130"/>
        <item x="967"/>
        <item x="934"/>
        <item x="680"/>
        <item x="686"/>
        <item x="257"/>
        <item x="1006"/>
        <item x="477"/>
        <item x="380"/>
        <item x="372"/>
        <item x="560"/>
        <item x="101"/>
        <item x="638"/>
        <item x="8"/>
        <item x="1064"/>
        <item x="490"/>
        <item x="412"/>
        <item x="717"/>
        <item x="906"/>
        <item x="992"/>
        <item x="593"/>
        <item x="61"/>
        <item x="545"/>
        <item x="1116"/>
        <item x="965"/>
        <item x="458"/>
        <item x="406"/>
        <item x="1113"/>
        <item x="164"/>
        <item x="343"/>
        <item x="1161"/>
        <item x="193"/>
        <item x="310"/>
        <item x="232"/>
        <item x="863"/>
        <item x="1008"/>
        <item x="791"/>
        <item x="216"/>
        <item x="377"/>
        <item x="141"/>
        <item x="625"/>
        <item x="666"/>
        <item x="739"/>
        <item x="77"/>
        <item x="178"/>
        <item x="696"/>
        <item x="510"/>
        <item x="134"/>
        <item x="691"/>
        <item x="116"/>
        <item x="50"/>
        <item x="276"/>
        <item x="198"/>
        <item x="456"/>
        <item x="12"/>
        <item x="586"/>
        <item x="637"/>
        <item x="818"/>
        <item x="1124"/>
        <item x="622"/>
        <item x="563"/>
        <item x="793"/>
        <item x="1044"/>
        <item x="397"/>
        <item x="1139"/>
        <item x="827"/>
        <item x="719"/>
        <item x="760"/>
        <item x="765"/>
        <item x="587"/>
        <item x="52"/>
        <item x="822"/>
        <item x="336"/>
        <item x="1109"/>
        <item x="813"/>
        <item x="445"/>
        <item x="229"/>
        <item x="561"/>
        <item x="1001"/>
        <item x="1021"/>
        <item x="183"/>
        <item x="1036"/>
        <item x="487"/>
        <item x="982"/>
        <item x="985"/>
        <item x="751"/>
        <item x="851"/>
        <item x="224"/>
        <item x="884"/>
        <item x="1140"/>
        <item x="76"/>
        <item x="196"/>
        <item x="31"/>
        <item x="752"/>
        <item x="1020"/>
        <item x="473"/>
        <item x="499"/>
        <item x="345"/>
        <item x="886"/>
        <item x="948"/>
        <item x="33"/>
        <item x="220"/>
        <item x="1091"/>
        <item x="738"/>
        <item x="389"/>
        <item x="1171"/>
        <item x="528"/>
        <item x="37"/>
        <item x="162"/>
        <item x="747"/>
        <item x="718"/>
        <item x="1125"/>
        <item x="601"/>
        <item x="785"/>
        <item x="1094"/>
        <item x="1058"/>
        <item x="645"/>
        <item x="857"/>
        <item x="901"/>
        <item x="828"/>
        <item x="485"/>
        <item x="726"/>
        <item x="1028"/>
        <item x="438"/>
        <item x="819"/>
        <item x="628"/>
        <item x="113"/>
        <item x="633"/>
        <item x="1019"/>
        <item x="522"/>
        <item x="881"/>
        <item x="914"/>
        <item x="15"/>
        <item x="875"/>
        <item x="226"/>
        <item x="215"/>
        <item x="182"/>
        <item x="889"/>
        <item x="698"/>
        <item x="600"/>
        <item x="1155"/>
        <item x="159"/>
        <item x="850"/>
        <item x="277"/>
        <item x="90"/>
        <item x="762"/>
        <item x="512"/>
        <item x="663"/>
        <item x="6"/>
        <item x="712"/>
        <item x="1093"/>
        <item x="933"/>
        <item x="197"/>
        <item x="513"/>
        <item x="1099"/>
        <item x="925"/>
        <item x="1150"/>
        <item x="298"/>
        <item x="86"/>
        <item x="413"/>
        <item x="404"/>
        <item x="755"/>
        <item x="661"/>
        <item x="443"/>
        <item x="909"/>
        <item x="786"/>
        <item x="430"/>
        <item x="1052"/>
        <item x="868"/>
        <item x="984"/>
        <item x="677"/>
        <item x="73"/>
        <item x="1134"/>
        <item x="1106"/>
        <item x="14"/>
        <item x="379"/>
        <item x="433"/>
        <item x="979"/>
        <item x="262"/>
        <item x="168"/>
        <item x="517"/>
        <item x="142"/>
        <item x="295"/>
        <item x="75"/>
        <item x="720"/>
        <item x="1145"/>
        <item x="836"/>
        <item x="65"/>
        <item x="344"/>
        <item x="1083"/>
        <item x="1048"/>
        <item x="616"/>
        <item x="195"/>
        <item x="866"/>
        <item x="995"/>
        <item x="112"/>
        <item x="745"/>
        <item x="463"/>
        <item x="639"/>
        <item x="624"/>
        <item x="375"/>
        <item x="1061"/>
        <item x="987"/>
        <item x="915"/>
        <item x="401"/>
        <item x="233"/>
        <item x="394"/>
        <item x="954"/>
        <item x="1046"/>
        <item x="1081"/>
        <item x="648"/>
        <item x="689"/>
        <item x="1117"/>
        <item x="521"/>
        <item x="340"/>
        <item x="123"/>
        <item x="332"/>
        <item x="962"/>
        <item x="612"/>
        <item x="472"/>
        <item x="651"/>
        <item x="509"/>
        <item x="873"/>
        <item x="127"/>
        <item x="179"/>
        <item x="1121"/>
        <item x="40"/>
        <item x="1024"/>
        <item x="213"/>
        <item x="697"/>
        <item x="240"/>
        <item x="1166"/>
        <item x="599"/>
        <item x="279"/>
        <item x="839"/>
        <item x="898"/>
        <item x="735"/>
        <item x="121"/>
        <item x="235"/>
        <item x="923"/>
        <item x="669"/>
        <item x="191"/>
        <item x="489"/>
        <item x="1018"/>
        <item x="771"/>
        <item x="682"/>
        <item x="969"/>
        <item x="321"/>
        <item x="807"/>
        <item x="128"/>
        <item x="410"/>
        <item x="462"/>
        <item x="773"/>
        <item x="899"/>
        <item x="672"/>
        <item x="649"/>
        <item x="823"/>
        <item x="654"/>
        <item x="273"/>
        <item x="409"/>
        <item x="837"/>
        <item x="935"/>
        <item x="454"/>
        <item x="1056"/>
        <item x="913"/>
        <item x="1038"/>
        <item x="29"/>
        <item x="109"/>
        <item x="457"/>
        <item x="418"/>
        <item x="1047"/>
        <item x="339"/>
        <item x="709"/>
        <item x="662"/>
        <item x="468"/>
        <item x="874"/>
        <item x="681"/>
        <item x="320"/>
        <item x="384"/>
        <item x="370"/>
        <item x="221"/>
        <item x="872"/>
        <item x="971"/>
        <item x="504"/>
        <item x="994"/>
        <item x="59"/>
        <item x="1031"/>
        <item x="540"/>
        <item x="497"/>
        <item x="269"/>
        <item x="1055"/>
        <item x="366"/>
        <item x="270"/>
        <item x="95"/>
        <item x="1102"/>
        <item x="91"/>
        <item x="778"/>
        <item x="916"/>
        <item x="848"/>
        <item x="83"/>
        <item x="634"/>
        <item x="722"/>
        <item x="1137"/>
        <item x="1141"/>
        <item x="918"/>
        <item x="81"/>
        <item x="172"/>
        <item x="508"/>
        <item x="1068"/>
        <item x="1152"/>
        <item x="936"/>
        <item x="536"/>
        <item x="145"/>
        <item x="24"/>
        <item x="411"/>
        <item x="578"/>
        <item x="498"/>
        <item x="93"/>
        <item x="555"/>
        <item x="363"/>
        <item x="1053"/>
        <item x="449"/>
        <item x="1122"/>
        <item x="664"/>
        <item x="342"/>
        <item x="272"/>
        <item x="96"/>
        <item x="1170"/>
        <item x="480"/>
        <item x="396"/>
        <item x="1147"/>
        <item x="467"/>
        <item x="78"/>
        <item x="846"/>
        <item x="80"/>
        <item x="169"/>
        <item x="486"/>
        <item x="180"/>
        <item x="402"/>
        <item x="62"/>
        <item x="518"/>
        <item x="34"/>
        <item x="1131"/>
        <item x="945"/>
        <item x="802"/>
        <item x="190"/>
        <item x="105"/>
        <item x="553"/>
        <item x="266"/>
        <item x="85"/>
        <item x="812"/>
        <item x="655"/>
        <item x="692"/>
        <item x="1057"/>
        <item x="470"/>
        <item x="568"/>
        <item x="579"/>
        <item x="481"/>
        <item x="551"/>
        <item x="36"/>
        <item x="349"/>
        <item x="241"/>
        <item x="18"/>
        <item x="800"/>
        <item x="880"/>
        <item x="161"/>
        <item x="774"/>
        <item x="318"/>
        <item x="929"/>
        <item x="878"/>
        <item x="849"/>
        <item x="25"/>
        <item x="767"/>
        <item x="1156"/>
        <item x="1128"/>
        <item x="942"/>
        <item x="403"/>
        <item x="674"/>
        <item x="1115"/>
        <item x="1043"/>
        <item x="422"/>
        <item x="990"/>
        <item x="1067"/>
        <item x="371"/>
        <item x="315"/>
        <item x="983"/>
        <item x="210"/>
        <item x="447"/>
        <item x="544"/>
        <item x="282"/>
        <item x="491"/>
        <item x="768"/>
        <item x="281"/>
        <item x="284"/>
        <item x="399"/>
        <item x="647"/>
        <item x="177"/>
        <item x="448"/>
        <item x="234"/>
        <item x="5"/>
        <item x="591"/>
        <item x="21"/>
        <item x="511"/>
        <item x="362"/>
        <item x="1085"/>
        <item x="1009"/>
        <item x="385"/>
        <item x="108"/>
        <item x="879"/>
        <item x="550"/>
        <item x="250"/>
        <item x="571"/>
        <item x="1034"/>
        <item x="796"/>
        <item x="583"/>
        <item x="0"/>
        <item x="435"/>
        <item x="60"/>
        <item x="482"/>
        <item x="963"/>
        <item x="656"/>
        <item x="541"/>
        <item x="97"/>
        <item x="400"/>
        <item x="862"/>
        <item x="1084"/>
        <item x="977"/>
        <item x="926"/>
        <item x="17"/>
        <item x="1160"/>
        <item x="749"/>
        <item x="360"/>
        <item x="185"/>
        <item x="398"/>
        <item x="374"/>
        <item x="1011"/>
        <item x="300"/>
        <item x="829"/>
        <item x="928"/>
        <item x="1086"/>
        <item x="693"/>
        <item x="103"/>
        <item x="543"/>
        <item x="883"/>
        <item x="478"/>
        <item x="283"/>
        <item x="838"/>
        <item x="972"/>
        <item x="369"/>
        <item x="1127"/>
        <item x="114"/>
        <item x="1162"/>
        <item x="461"/>
        <item x="1039"/>
        <item x="893"/>
        <item x="323"/>
        <item x="302"/>
        <item x="82"/>
        <item x="687"/>
        <item x="1111"/>
        <item x="670"/>
        <item x="658"/>
        <item x="608"/>
        <item x="98"/>
        <item x="1175"/>
        <item x="610"/>
        <item x="94"/>
        <item x="1132"/>
        <item x="63"/>
        <item x="665"/>
        <item x="695"/>
        <item x="390"/>
        <item x="460"/>
        <item x="425"/>
        <item x="476"/>
        <item x="324"/>
        <item x="876"/>
        <item x="2"/>
        <item x="299"/>
        <item x="927"/>
        <item x="118"/>
        <item x="69"/>
        <item x="854"/>
        <item x="30"/>
        <item x="237"/>
        <item x="296"/>
        <item x="520"/>
        <item x="860"/>
        <item x="525"/>
        <item x="22"/>
        <item x="41"/>
        <item x="831"/>
        <item x="209"/>
        <item x="378"/>
        <item x="816"/>
        <item x="265"/>
        <item x="125"/>
        <item x="170"/>
        <item x="1153"/>
        <item x="1136"/>
        <item x="855"/>
        <item x="292"/>
        <item x="859"/>
        <item x="1149"/>
        <item x="1163"/>
        <item x="189"/>
        <item x="23"/>
        <item x="757"/>
        <item x="287"/>
        <item x="603"/>
        <item x="439"/>
        <item x="440"/>
        <item x="214"/>
        <item x="1003"/>
        <item x="173"/>
        <item x="833"/>
        <item x="840"/>
        <item x="488"/>
        <item x="573"/>
        <item x="741"/>
        <item x="989"/>
        <item x="319"/>
        <item x="585"/>
        <item x="946"/>
        <item x="758"/>
        <item x="590"/>
        <item x="820"/>
        <item x="452"/>
        <item x="356"/>
        <item x="588"/>
        <item x="359"/>
        <item x="297"/>
        <item x="505"/>
        <item x="824"/>
        <item x="74"/>
        <item x="566"/>
        <item x="1062"/>
        <item x="500"/>
        <item x="304"/>
        <item x="1029"/>
        <item x="952"/>
        <item x="219"/>
        <item x="556"/>
        <item x="676"/>
        <item x="843"/>
        <item x="844"/>
        <item x="293"/>
        <item x="236"/>
        <item x="1129"/>
        <item x="805"/>
        <item x="1096"/>
        <item x="28"/>
        <item x="368"/>
        <item x="999"/>
        <item x="1176"/>
        <item x="673"/>
        <item x="777"/>
        <item x="685"/>
        <item x="714"/>
        <item x="3"/>
        <item x="986"/>
        <item x="280"/>
        <item x="305"/>
        <item x="218"/>
        <item x="877"/>
        <item x="391"/>
        <item x="523"/>
        <item x="87"/>
        <item x="314"/>
        <item x="174"/>
        <item x="1177"/>
        <item x="659"/>
        <item x="68"/>
        <item x="446"/>
        <item x="67"/>
        <item x="727"/>
        <item x="1101"/>
        <item x="117"/>
        <item x="794"/>
        <item x="959"/>
        <item x="158"/>
        <item x="795"/>
        <item x="495"/>
        <item x="744"/>
        <item x="254"/>
        <item x="960"/>
        <item x="1005"/>
        <item x="572"/>
        <item x="1054"/>
        <item x="1066"/>
        <item x="631"/>
        <item x="790"/>
        <item x="383"/>
        <item x="968"/>
        <item x="736"/>
        <item x="1157"/>
        <item x="466"/>
        <item x="642"/>
        <item x="532"/>
        <item x="308"/>
        <item x="524"/>
        <item x="764"/>
        <item x="1082"/>
        <item x="149"/>
        <item x="527"/>
        <item x="821"/>
        <item x="891"/>
        <item x="1078"/>
        <item x="465"/>
        <item x="684"/>
        <item x="806"/>
        <item x="1041"/>
        <item x="538"/>
        <item x="387"/>
        <item x="1089"/>
        <item x="309"/>
        <item x="1079"/>
        <item x="199"/>
        <item x="407"/>
        <item x="1080"/>
        <item x="55"/>
        <item x="577"/>
        <item x="483"/>
        <item x="155"/>
        <item x="434"/>
        <item x="408"/>
        <item x="641"/>
        <item x="53"/>
        <item x="847"/>
        <item x="865"/>
        <item x="442"/>
        <item x="239"/>
        <item x="688"/>
        <item x="428"/>
        <item x="694"/>
        <item x="728"/>
        <item x="700"/>
        <item x="949"/>
        <item x="804"/>
        <item x="20"/>
        <item x="32"/>
        <item x="699"/>
        <item x="1104"/>
        <item x="597"/>
        <item x="529"/>
        <item x="437"/>
        <item x="92"/>
        <item x="1013"/>
        <item x="139"/>
        <item x="888"/>
        <item x="567"/>
        <item x="137"/>
        <item x="45"/>
        <item x="725"/>
        <item x="594"/>
        <item x="825"/>
        <item x="938"/>
        <item x="814"/>
        <item x="245"/>
        <item x="11"/>
        <item x="1016"/>
        <item x="357"/>
        <item x="46"/>
        <item x="1174"/>
        <item x="1012"/>
        <item x="1119"/>
        <item x="976"/>
        <item x="124"/>
        <item x="788"/>
        <item x="737"/>
        <item x="943"/>
        <item x="426"/>
        <item x="783"/>
        <item x="334"/>
        <item x="140"/>
        <item x="47"/>
        <item x="35"/>
        <item x="111"/>
        <item x="1007"/>
        <item x="475"/>
        <item x="975"/>
        <item x="620"/>
        <item x="704"/>
        <item x="858"/>
        <item x="347"/>
        <item x="1010"/>
        <item x="313"/>
        <item x="702"/>
        <item x="104"/>
        <item x="756"/>
        <item x="431"/>
        <item x="832"/>
        <item x="519"/>
        <item x="627"/>
        <item x="1032"/>
        <item x="432"/>
        <item x="136"/>
        <item x="469"/>
        <item x="1030"/>
        <item x="907"/>
        <item x="247"/>
        <item x="167"/>
        <item x="953"/>
        <item x="803"/>
        <item x="51"/>
        <item x="355"/>
        <item x="479"/>
        <item x="44"/>
        <item x="611"/>
        <item x="1172"/>
        <item x="799"/>
        <item x="131"/>
        <item x="897"/>
        <item x="871"/>
        <item x="1159"/>
        <item x="1142"/>
        <item x="228"/>
        <item x="617"/>
        <item x="640"/>
        <item x="569"/>
        <item x="414"/>
        <item x="135"/>
        <item x="146"/>
        <item x="455"/>
        <item x="424"/>
        <item x="565"/>
        <item x="205"/>
        <item x="950"/>
        <item x="978"/>
        <item x="882"/>
        <item x="1148"/>
        <item x="930"/>
        <item x="602"/>
        <item x="852"/>
        <item x="798"/>
        <item x="129"/>
        <item x="312"/>
        <item x="9"/>
        <item x="861"/>
        <item x="1165"/>
        <item x="733"/>
        <item x="1138"/>
        <item x="341"/>
        <item x="887"/>
        <item x="885"/>
        <item x="130"/>
        <item x="895"/>
        <item x="710"/>
        <item x="910"/>
        <item x="630"/>
        <item x="419"/>
        <item x="507"/>
        <item x="278"/>
        <item x="632"/>
        <item x="595"/>
        <item x="354"/>
        <item x="621"/>
        <item x="894"/>
        <item x="79"/>
        <item x="732"/>
        <item x="100"/>
        <item x="584"/>
        <item x="940"/>
        <item x="1073"/>
        <item x="731"/>
        <item x="1077"/>
        <item x="1146"/>
        <item x="493"/>
        <item x="557"/>
        <item x="1049"/>
        <item x="259"/>
        <item x="376"/>
        <item x="255"/>
        <item x="921"/>
        <item x="492"/>
        <item x="713"/>
        <item x="156"/>
        <item x="346"/>
        <item x="939"/>
        <item x="441"/>
        <item x="151"/>
        <item x="835"/>
        <item x="675"/>
        <item x="981"/>
        <item x="143"/>
        <item x="671"/>
        <item x="56"/>
        <item x="1100"/>
        <item x="867"/>
        <item x="607"/>
        <item x="596"/>
        <item x="211"/>
        <item x="958"/>
        <item x="937"/>
        <item x="330"/>
        <item x="643"/>
        <item x="70"/>
        <item x="160"/>
        <item x="650"/>
        <item x="166"/>
        <item x="1017"/>
        <item x="303"/>
        <item x="931"/>
        <item x="1088"/>
        <item x="997"/>
        <item x="244"/>
        <item x="548"/>
        <item x="285"/>
        <item x="246"/>
        <item x="589"/>
        <item x="1169"/>
        <item x="947"/>
        <item x="516"/>
        <item x="991"/>
        <item x="71"/>
        <item x="1060"/>
        <item x="301"/>
        <item x="636"/>
        <item x="941"/>
        <item x="606"/>
        <item x="49"/>
        <item x="592"/>
        <item x="743"/>
        <item x="683"/>
        <item x="1050"/>
        <item x="902"/>
        <item x="703"/>
        <item x="138"/>
        <item x="892"/>
        <item x="42"/>
        <item x="186"/>
        <item x="1095"/>
        <item x="58"/>
        <item x="845"/>
        <item x="1103"/>
        <item x="429"/>
        <item x="392"/>
        <item x="144"/>
        <item x="955"/>
        <item x="427"/>
        <item x="72"/>
        <item x="1022"/>
        <item x="328"/>
        <item x="294"/>
        <item x="66"/>
        <item x="779"/>
        <item x="605"/>
        <item x="896"/>
        <item x="1075"/>
        <item x="451"/>
        <item x="956"/>
        <item x="264"/>
        <item x="1033"/>
        <item x="382"/>
        <item x="534"/>
        <item x="256"/>
        <item x="471"/>
        <item x="964"/>
        <item x="730"/>
        <item x="1110"/>
        <item x="501"/>
        <item x="780"/>
        <item x="1051"/>
        <item x="286"/>
        <item x="581"/>
        <item x="564"/>
        <item x="19"/>
        <item x="530"/>
        <item x="842"/>
        <item x="110"/>
        <item x="841"/>
        <item x="668"/>
        <item x="194"/>
        <item x="268"/>
        <item x="537"/>
        <item x="88"/>
        <item x="919"/>
        <item x="267"/>
        <item x="618"/>
        <item x="1065"/>
        <item x="660"/>
        <item x="856"/>
        <item x="1069"/>
        <item x="922"/>
        <item x="153"/>
        <item x="547"/>
        <item x="750"/>
        <item x="1114"/>
        <item x="503"/>
        <item x="275"/>
        <item x="1120"/>
        <item x="815"/>
        <item x="415"/>
        <item x="574"/>
        <item x="1014"/>
        <item x="1154"/>
        <item x="184"/>
        <item x="274"/>
        <item x="957"/>
        <item x="552"/>
        <item x="911"/>
        <item x="351"/>
        <item x="810"/>
        <item x="106"/>
        <item x="961"/>
        <item x="830"/>
        <item x="1037"/>
        <item x="307"/>
        <item x="1035"/>
        <item x="789"/>
        <item x="761"/>
        <item x="678"/>
        <item x="217"/>
        <item x="171"/>
        <item x="1076"/>
        <item x="808"/>
        <item x="531"/>
        <item x="1071"/>
        <item x="932"/>
        <item x="951"/>
        <item x="335"/>
        <item x="13"/>
        <item x="38"/>
        <item x="533"/>
        <item x="754"/>
        <item x="1027"/>
        <item x="242"/>
        <item x="181"/>
        <item x="615"/>
        <item x="120"/>
        <item x="204"/>
        <item x="1173"/>
        <item x="57"/>
        <item x="176"/>
        <item x="535"/>
        <item x="792"/>
        <item x="474"/>
        <item x="559"/>
        <item x="227"/>
        <item x="707"/>
        <item x="1063"/>
        <item x="1025"/>
        <item x="826"/>
        <item x="238"/>
        <item x="54"/>
        <item x="1105"/>
        <item x="763"/>
        <item x="147"/>
        <item x="207"/>
        <item x="249"/>
        <item x="604"/>
        <item x="1004"/>
        <item x="506"/>
        <item x="316"/>
        <item x="1072"/>
        <item x="1092"/>
        <item x="212"/>
        <item x="311"/>
        <item x="7"/>
        <item x="133"/>
        <item x="715"/>
        <item x="1151"/>
        <item x="903"/>
        <item x="203"/>
        <item x="1070"/>
        <item x="187"/>
        <item x="89"/>
        <item x="64"/>
        <item x="784"/>
        <item x="337"/>
        <item x="740"/>
        <item x="776"/>
        <item x="1135"/>
        <item x="43"/>
        <item x="834"/>
        <item x="306"/>
        <item x="331"/>
        <item x="580"/>
        <item x="157"/>
        <item x="99"/>
        <item x="4"/>
        <item x="706"/>
        <item x="48"/>
        <item x="912"/>
        <item x="753"/>
        <item x="417"/>
        <item x="576"/>
        <item x="10"/>
        <item x="1168"/>
        <item x="1000"/>
        <item x="1026"/>
        <item x="724"/>
        <item x="558"/>
        <item x="723"/>
        <item x="361"/>
        <item x="988"/>
        <item x="367"/>
        <item x="263"/>
        <item x="729"/>
        <item x="582"/>
        <item x="365"/>
        <item x="734"/>
        <item x="208"/>
        <item x="539"/>
        <item x="920"/>
        <item x="562"/>
        <item x="549"/>
        <item x="16"/>
        <item x="993"/>
        <item x="223"/>
        <item x="811"/>
        <item x="290"/>
        <item x="970"/>
        <item x="84"/>
        <item x="653"/>
        <item x="119"/>
        <item x="570"/>
        <item x="554"/>
        <item x="770"/>
        <item x="690"/>
        <item x="26"/>
        <item x="575"/>
        <item x="546"/>
        <item x="781"/>
        <item x="1023"/>
        <item x="126"/>
        <item x="1097"/>
        <item x="222"/>
        <item x="1015"/>
        <item x="225"/>
        <item x="769"/>
        <item x="870"/>
        <item x="904"/>
        <item x="260"/>
        <item x="890"/>
        <item x="1040"/>
        <item x="742"/>
        <item x="325"/>
        <item x="132"/>
        <item x="333"/>
        <item x="1126"/>
        <item x="188"/>
        <item x="421"/>
        <item x="998"/>
        <item x="317"/>
        <item x="708"/>
        <item x="251"/>
        <item x="1098"/>
        <item x="782"/>
        <item x="206"/>
        <item x="261"/>
        <item x="27"/>
        <item x="423"/>
        <item x="623"/>
        <item x="801"/>
        <item x="759"/>
        <item x="1045"/>
        <item x="381"/>
        <item x="626"/>
        <item x="1059"/>
        <item x="192"/>
        <item x="614"/>
        <item x="154"/>
        <item x="1158"/>
        <item x="327"/>
        <item x="748"/>
        <item x="817"/>
        <item x="746"/>
        <item x="163"/>
        <item x="202"/>
        <item x="644"/>
        <item x="1108"/>
        <item x="373"/>
        <item x="405"/>
        <item x="253"/>
        <item x="353"/>
        <item x="231"/>
        <item x="291"/>
        <item x="496"/>
        <item x="165"/>
        <item x="514"/>
        <item x="459"/>
        <item x="974"/>
        <item x="326"/>
        <item x="1164"/>
        <item x="646"/>
        <item x="348"/>
        <item x="288"/>
        <item x="869"/>
        <item x="1167"/>
        <item x="230"/>
        <item x="1112"/>
        <item x="150"/>
        <item x="1107"/>
        <item x="705"/>
        <item t="default"/>
      </items>
    </pivotField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3"/>
        <item x="4"/>
        <item x="1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axis="axisRow" showAll="0">
      <items count="7">
        <item x="0"/>
        <item x="2"/>
        <item x="5"/>
        <item x="4"/>
        <item x="3"/>
        <item x="1"/>
        <item t="default"/>
      </items>
    </pivotField>
    <pivotField showAll="0">
      <items count="12">
        <item x="8"/>
        <item x="3"/>
        <item x="5"/>
        <item x="0"/>
        <item x="10"/>
        <item x="6"/>
        <item x="2"/>
        <item x="1"/>
        <item x="7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">
        <item x="1"/>
        <item x="4"/>
        <item x="7"/>
        <item x="0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Ticket Flag" fld="29" baseField="0" baseItem="0"/>
  </dataFields>
  <formats count="3">
    <format dxfId="48">
      <pivotArea type="all" dataOnly="0" outline="0" fieldPosition="0"/>
    </format>
    <format dxfId="47">
      <pivotArea dataOnly="0" labelOnly="1" outline="0" axis="axisValues" fieldPosition="0"/>
    </format>
    <format dxfId="46">
      <pivotArea outline="0" collapsedLevelsAreSubtotals="1" fieldPosition="0"/>
    </format>
  </format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refreshOnLoad="1" connectionId="1" xr16:uid="{2CC0E131-DDA2-4EC7-95CA-76BF2F70C1F9}" autoFormatId="16" applyNumberFormats="0" applyBorderFormats="0" applyFontFormats="0" applyPatternFormats="0" applyAlignmentFormats="0" applyWidthHeightFormats="0">
  <queryTableRefresh nextId="39">
    <queryTableFields count="36">
      <queryTableField id="1" name="Ticket ID" tableColumnId="1"/>
      <queryTableField id="2" name="Resolution Hours" tableColumnId="2"/>
      <queryTableField id="3" name="Opened At" tableColumnId="3"/>
      <queryTableField id="4" name="Closed At" tableColumnId="4"/>
      <queryTableField id="5" name="Status" tableColumnId="5"/>
      <queryTableField id="6" name="Priority" tableColumnId="6"/>
      <queryTableField id="7" name="Channel" tableColumnId="7"/>
      <queryTableField id="8" name="Region" tableColumnId="8"/>
      <queryTableField id="9" name="Customer Segment" tableColumnId="9"/>
      <queryTableField id="10" name="Product" tableColumnId="10"/>
      <queryTableField id="11" name="Category" tableColumnId="11"/>
      <queryTableField id="12" name="Agent" tableColumnId="12"/>
      <queryTableField id="13" name="First Response Min" tableColumnId="13"/>
      <queryTableField id="14" name="CSAT (1-5)" tableColumnId="14"/>
      <queryTableField id="15" name="Reopen Count" tableColumnId="15"/>
      <queryTableField id="16" name="Message Count" tableColumnId="16"/>
      <queryTableField id="17" name="Escalated" tableColumnId="17"/>
      <queryTableField id="18" name="First Response SLA (min)" tableColumnId="18"/>
      <queryTableField id="19" name="Resolution SLA (hours)" tableColumnId="19"/>
      <queryTableField id="20" name="First Response SLA Met" tableColumnId="20"/>
      <queryTableField id="21" name="Resolution SLA Met" tableColumnId="21"/>
      <queryTableField id="22" name="Year" tableColumnId="22"/>
      <queryTableField id="23" name="Month Of Number" tableColumnId="23"/>
      <queryTableField id="24" name="Month" tableColumnId="24"/>
      <queryTableField id="25" name="Year-Month" tableColumnId="25"/>
      <queryTableField id="26" name="CSAT Group" tableColumnId="26"/>
      <queryTableField id="30" name="Reopened" tableColumnId="27"/>
      <queryTableField id="28" name="CSAT Valid" tableColumnId="28"/>
      <queryTableField id="29" name="Ticket Outcome" tableColumnId="29"/>
      <queryTableField id="31" name="Ticket Flag" tableColumnId="30"/>
      <queryTableField id="32" name="Backlog" tableColumnId="31"/>
      <queryTableField id="33" name="Resolved Flag" tableColumnId="32"/>
      <queryTableField id="34" name="Reopened Flag" tableColumnId="33"/>
      <queryTableField id="35" name="Escalated Flag" tableColumnId="34"/>
      <queryTableField id="36" name="First Response SLA Flag" tableColumnId="35"/>
      <queryTableField id="37" name="Resolution SLA Flag" tableColumnId="3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398FE66-EB09-4223-AAE1-12B87438EB4F}" autoFormatId="16" applyNumberFormats="0" applyBorderFormats="0" applyFontFormats="0" applyPatternFormats="0" applyAlignmentFormats="0" applyWidthHeightFormats="0">
  <queryTableRefresh nextId="4">
    <queryTableFields count="3">
      <queryTableField id="1" name="Priority" tableColumnId="1"/>
      <queryTableField id="2" name="First Response SLA (min)" tableColumnId="2"/>
      <queryTableField id="3" name="Resolution SLA (hours)" tableColumnId="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iority" xr10:uid="{82AF53C4-A678-4F2C-B916-F94135EBF592}" sourceName="Priority">
  <pivotTables>
    <pivotTable tabId="12" name="Tabela dinâmica1"/>
    <pivotTable tabId="12" name="Tabela dinâmica2"/>
    <pivotTable tabId="12" name="Tabela dinâmica12"/>
    <pivotTable tabId="12" name="Tabela dinâmica13"/>
    <pivotTable tabId="12" name="Tabela dinâmica14"/>
    <pivotTable tabId="12" name="Tabela dinâmica15"/>
    <pivotTable tabId="12" name="Tabela dinâmica10"/>
    <pivotTable tabId="12" name="Tabela dinâmica11"/>
    <pivotTable tabId="12" name="Tabela dinâmica3"/>
    <pivotTable tabId="12" name="Tabela dinâmica4"/>
    <pivotTable tabId="12" name="Tabela dinâmica5"/>
    <pivotTable tabId="12" name="Tabela dinâmica6"/>
    <pivotTable tabId="12" name="Tabela dinâmica7"/>
    <pivotTable tabId="12" name="Tabela dinâmica8"/>
    <pivotTable tabId="12" name="Tabela dinâmica9"/>
  </pivotTables>
  <data>
    <tabular pivotCacheId="1093426614">
      <items count="5">
        <i x="0" s="1"/>
        <i x="2" s="1"/>
        <i x="1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" xr10:uid="{90ABE007-A0A8-4B73-8F09-BEF627AD85F8}" sourceName="Region">
  <pivotTables>
    <pivotTable tabId="12" name="Tabela dinâmica1"/>
    <pivotTable tabId="12" name="Tabela dinâmica2"/>
    <pivotTable tabId="12" name="Tabela dinâmica12"/>
    <pivotTable tabId="12" name="Tabela dinâmica13"/>
    <pivotTable tabId="12" name="Tabela dinâmica14"/>
    <pivotTable tabId="12" name="Tabela dinâmica15"/>
    <pivotTable tabId="12" name="Tabela dinâmica10"/>
    <pivotTable tabId="12" name="Tabela dinâmica11"/>
    <pivotTable tabId="12" name="Tabela dinâmica3"/>
    <pivotTable tabId="12" name="Tabela dinâmica4"/>
    <pivotTable tabId="12" name="Tabela dinâmica5"/>
    <pivotTable tabId="12" name="Tabela dinâmica6"/>
    <pivotTable tabId="12" name="Tabela dinâmica7"/>
    <pivotTable tabId="12" name="Tabela dinâmica8"/>
    <pivotTable tabId="12" name="Tabela dinâmica9"/>
  </pivotTables>
  <data>
    <tabular pivotCacheId="1093426614">
      <items count="5">
        <i x="3" s="1"/>
        <i x="4" s="1"/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ustomer_Segment" xr10:uid="{F569B98B-9BE1-44C8-93C9-5F67EC6A7847}" sourceName="Customer Segment">
  <pivotTables>
    <pivotTable tabId="12" name="Tabela dinâmica1"/>
    <pivotTable tabId="12" name="Tabela dinâmica10"/>
    <pivotTable tabId="12" name="Tabela dinâmica11"/>
    <pivotTable tabId="12" name="Tabela dinâmica12"/>
    <pivotTable tabId="12" name="Tabela dinâmica13"/>
    <pivotTable tabId="12" name="Tabela dinâmica14"/>
    <pivotTable tabId="12" name="Tabela dinâmica15"/>
    <pivotTable tabId="12" name="Tabela dinâmica2"/>
    <pivotTable tabId="12" name="Tabela dinâmica3"/>
    <pivotTable tabId="12" name="Tabela dinâmica4"/>
    <pivotTable tabId="12" name="Tabela dinâmica5"/>
    <pivotTable tabId="12" name="Tabela dinâmica6"/>
    <pivotTable tabId="12" name="Tabela dinâmica7"/>
    <pivotTable tabId="12" name="Tabela dinâmica8"/>
    <pivotTable tabId="12" name="Tabela dinâmica9"/>
  </pivotTables>
  <data>
    <tabular pivotCacheId="1093426614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ct" xr10:uid="{A03ACBA5-10F8-42B5-8130-511B36731442}" sourceName="Product">
  <pivotTables>
    <pivotTable tabId="12" name="Tabela dinâmica1"/>
    <pivotTable tabId="12" name="Tabela dinâmica10"/>
    <pivotTable tabId="12" name="Tabela dinâmica11"/>
    <pivotTable tabId="12" name="Tabela dinâmica12"/>
    <pivotTable tabId="12" name="Tabela dinâmica13"/>
    <pivotTable tabId="12" name="Tabela dinâmica14"/>
    <pivotTable tabId="12" name="Tabela dinâmica15"/>
    <pivotTable tabId="12" name="Tabela dinâmica2"/>
    <pivotTable tabId="12" name="Tabela dinâmica3"/>
    <pivotTable tabId="12" name="Tabela dinâmica4"/>
    <pivotTable tabId="12" name="Tabela dinâmica5"/>
    <pivotTable tabId="12" name="Tabela dinâmica6"/>
    <pivotTable tabId="12" name="Tabela dinâmica7"/>
    <pivotTable tabId="12" name="Tabela dinâmica8"/>
    <pivotTable tabId="12" name="Tabela dinâmica9"/>
  </pivotTables>
  <data>
    <tabular pivotCacheId="1093426614">
      <items count="4">
        <i x="0" s="1"/>
        <i x="1" s="1"/>
        <i x="3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gent" xr10:uid="{2B8E30CD-9F1B-4B10-9397-AB89FB8CFEB4}" sourceName="Agent">
  <pivotTables>
    <pivotTable tabId="12" name="Tabela dinâmica1"/>
    <pivotTable tabId="12" name="Tabela dinâmica10"/>
    <pivotTable tabId="12" name="Tabela dinâmica11"/>
    <pivotTable tabId="12" name="Tabela dinâmica12"/>
    <pivotTable tabId="12" name="Tabela dinâmica13"/>
    <pivotTable tabId="12" name="Tabela dinâmica14"/>
    <pivotTable tabId="12" name="Tabela dinâmica15"/>
    <pivotTable tabId="12" name="Tabela dinâmica2"/>
    <pivotTable tabId="12" name="Tabela dinâmica3"/>
    <pivotTable tabId="12" name="Tabela dinâmica4"/>
    <pivotTable tabId="12" name="Tabela dinâmica5"/>
    <pivotTable tabId="12" name="Tabela dinâmica6"/>
    <pivotTable tabId="12" name="Tabela dinâmica7"/>
    <pivotTable tabId="12" name="Tabela dinâmica8"/>
    <pivotTable tabId="12" name="Tabela dinâmica9"/>
  </pivotTables>
  <data>
    <tabular pivotCacheId="1093426614">
      <items count="11">
        <i x="8" s="1"/>
        <i x="3" s="1"/>
        <i x="5" s="1"/>
        <i x="0" s="1"/>
        <i x="10" s="1"/>
        <i x="6" s="1"/>
        <i x="2" s="1"/>
        <i x="1" s="1"/>
        <i x="7" s="1"/>
        <i x="9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iority" xr10:uid="{BBB19B49-0F0A-4338-AB26-2668FB964290}" cache="SegmentaçãodeDados_Priority" caption="Priority" style="SlicerStyleDark1" rowHeight="241300"/>
  <slicer name="Region" xr10:uid="{F8EFDE21-4CF8-40DE-B4DF-424C71971CA4}" cache="SegmentaçãodeDados_Region" caption="Region" style="SlicerStyleDark3" rowHeight="241200"/>
  <slicer name="Customer Segment" xr10:uid="{55089716-97F7-41E0-B21F-0C94A27B6904}" cache="SegmentaçãodeDados_Customer_Segment" caption="Customer Segment" style="SlicerStyleDark5" rowHeight="241300"/>
  <slicer name="Product" xr10:uid="{7F784A20-F9C9-4D31-A49C-3A8190C42A48}" cache="SegmentaçãodeDados_Product" caption="Product" style="SlicerStyleDark6" rowHeight="241300"/>
  <slicer name="Agent" xr10:uid="{69985A9C-3D6A-47F9-A7A7-6874BC97635C}" cache="SegmentaçãodeDados_Agent" caption="Agent" startItem="5" style="SlicerStyleDark2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35E640-E06F-4765-923E-3DAD8B62CF5A}" name="Clean_Tickets" displayName="Clean_Tickets" ref="A1:AJ1181" tableType="queryTable" totalsRowShown="0">
  <autoFilter ref="A1:AJ1181" xr:uid="{C235E640-E06F-4765-923E-3DAD8B62CF5A}"/>
  <tableColumns count="36">
    <tableColumn id="1" xr3:uid="{B3E858F5-F62F-452F-A078-D5C0534AB6F8}" uniqueName="1" name="Ticket ID" queryTableFieldId="1" dataDxfId="18"/>
    <tableColumn id="2" xr3:uid="{2AACD786-CABB-46FA-A1EF-9F3F470A3A38}" uniqueName="2" name="Resolution Hours" queryTableFieldId="2"/>
    <tableColumn id="3" xr3:uid="{CCE22B11-3044-4DDB-9DBC-2EDB5DF1F43D}" uniqueName="3" name="Opened At" queryTableFieldId="3" dataDxfId="17"/>
    <tableColumn id="4" xr3:uid="{25BA20A8-E02B-4AE8-BA28-E973CEBAB0C9}" uniqueName="4" name="Closed At" queryTableFieldId="4" dataDxfId="16"/>
    <tableColumn id="5" xr3:uid="{60266E80-09A9-4F37-8950-1F5AD81329E4}" uniqueName="5" name="Status" queryTableFieldId="5" dataDxfId="15"/>
    <tableColumn id="6" xr3:uid="{4EEDF7D2-776D-41A6-8FE4-E08AAA72EFDB}" uniqueName="6" name="Priority" queryTableFieldId="6" dataDxfId="14"/>
    <tableColumn id="7" xr3:uid="{B87DA323-76C0-4632-823E-71703258CB62}" uniqueName="7" name="Channel" queryTableFieldId="7" dataDxfId="13"/>
    <tableColumn id="8" xr3:uid="{12C0F7C3-6D37-480C-9D5E-759C8B933DB1}" uniqueName="8" name="Region" queryTableFieldId="8" dataDxfId="12"/>
    <tableColumn id="9" xr3:uid="{3F7D91DF-F278-4E53-BEA4-94A39DA9E7CA}" uniqueName="9" name="Customer Segment" queryTableFieldId="9" dataDxfId="11"/>
    <tableColumn id="10" xr3:uid="{635ACBF9-9B71-4A9B-A846-88347CDE463B}" uniqueName="10" name="Product" queryTableFieldId="10" dataDxfId="10"/>
    <tableColumn id="11" xr3:uid="{D34F6DA9-3845-4EC8-B07B-3F74DFE59DCE}" uniqueName="11" name="Category" queryTableFieldId="11" dataDxfId="9"/>
    <tableColumn id="12" xr3:uid="{B1D56BDC-65D9-4728-8963-1762186E10FB}" uniqueName="12" name="Agent" queryTableFieldId="12" dataDxfId="8"/>
    <tableColumn id="13" xr3:uid="{249F2B1F-8E38-4882-9CD6-C280DA3119E7}" uniqueName="13" name="First Response Min" queryTableFieldId="13"/>
    <tableColumn id="14" xr3:uid="{822D33BF-776A-4BAB-BEE9-094C8A9A2D55}" uniqueName="14" name="CSAT (1-5)" queryTableFieldId="14"/>
    <tableColumn id="15" xr3:uid="{5BD6517C-E971-4DA0-A548-F434E48732A2}" uniqueName="15" name="Reopen Count" queryTableFieldId="15"/>
    <tableColumn id="16" xr3:uid="{ED2B7590-3CF8-4ECF-B090-F69BFC88BD65}" uniqueName="16" name="Message Count" queryTableFieldId="16"/>
    <tableColumn id="17" xr3:uid="{EC3EE988-824C-45DF-B4A0-E23E6BDA8BBD}" uniqueName="17" name="Escalated" queryTableFieldId="17" dataDxfId="7"/>
    <tableColumn id="18" xr3:uid="{21389B03-A62C-4AF2-A994-E199549453E6}" uniqueName="18" name="First Response SLA (min)" queryTableFieldId="18"/>
    <tableColumn id="19" xr3:uid="{530B84DF-0353-4AB7-AB12-0693CF41F911}" uniqueName="19" name="Resolution SLA (hours)" queryTableFieldId="19"/>
    <tableColumn id="20" xr3:uid="{FBB2E176-3B43-44A0-973E-940D34EA5995}" uniqueName="20" name="First Response SLA Met" queryTableFieldId="20"/>
    <tableColumn id="21" xr3:uid="{78A087C4-1474-4F87-A9EB-8C23BE385D64}" uniqueName="21" name="Resolution SLA Met" queryTableFieldId="21" dataDxfId="6"/>
    <tableColumn id="22" xr3:uid="{2D176788-5782-4406-8EDE-85534F4B9A49}" uniqueName="22" name="Year" queryTableFieldId="22"/>
    <tableColumn id="23" xr3:uid="{7CF532EB-1E85-4754-A39F-290FF745FFA0}" uniqueName="23" name="Month Of Number" queryTableFieldId="23"/>
    <tableColumn id="24" xr3:uid="{2AB5CE26-1B76-4EC2-B88A-1100730A01FC}" uniqueName="24" name="Month" queryTableFieldId="24" dataDxfId="5"/>
    <tableColumn id="25" xr3:uid="{D01A7C15-279B-416D-B29C-52C0631BCBAA}" uniqueName="25" name="Year-Month" queryTableFieldId="25" dataDxfId="4"/>
    <tableColumn id="26" xr3:uid="{41DCC61B-F6C9-4D99-B7EC-E42FC597F602}" uniqueName="26" name="CSAT Group" queryTableFieldId="26"/>
    <tableColumn id="27" xr3:uid="{A1173EB3-452D-4A34-8881-263D424D6D17}" uniqueName="27" name="Reopened" queryTableFieldId="30" dataDxfId="3"/>
    <tableColumn id="28" xr3:uid="{6F6CB6EA-D871-4BAA-BE1C-104D4B538665}" uniqueName="28" name="CSAT Valid" queryTableFieldId="28"/>
    <tableColumn id="29" xr3:uid="{285BD84B-9393-4F4A-8571-42FB53EDE923}" uniqueName="29" name="Ticket Outcome" queryTableFieldId="29"/>
    <tableColumn id="30" xr3:uid="{EF8577AC-267C-4C5A-880C-D90BE4443FA1}" uniqueName="30" name="Ticket Flag" queryTableFieldId="31"/>
    <tableColumn id="31" xr3:uid="{B48EABAB-D095-4A2A-94B8-5BE8E243E99D}" uniqueName="31" name="Backlog" queryTableFieldId="32"/>
    <tableColumn id="32" xr3:uid="{E6C8EBBC-08F2-4A6A-B2E1-D0EA1C3B3D63}" uniqueName="32" name="Resolved Flag" queryTableFieldId="33"/>
    <tableColumn id="33" xr3:uid="{60484FEB-270F-41A4-97F1-B3F790A7168C}" uniqueName="33" name="Reopened Flag" queryTableFieldId="34"/>
    <tableColumn id="34" xr3:uid="{47207D7B-24D1-4DE9-BCBA-6A0B81D02B77}" uniqueName="34" name="Escalated Flag" queryTableFieldId="35"/>
    <tableColumn id="35" xr3:uid="{25E8D8BE-FFB2-4D51-A20E-91624A621FCF}" uniqueName="35" name="First Response SLA Flag" queryTableFieldId="36"/>
    <tableColumn id="36" xr3:uid="{C96467C0-63F4-47BB-B269-2E2F3088B5F1}" uniqueName="36" name="Resolution SLA Flag" queryTableField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TicketsTable" displayName="RawTicketsTable" ref="A1:P1195" totalsRowShown="0">
  <tableColumns count="16">
    <tableColumn id="1" xr3:uid="{00000000-0010-0000-0000-000001000000}" name="Ticket ID"/>
    <tableColumn id="2" xr3:uid="{00000000-0010-0000-0000-000002000000}" name="Opened At" dataDxfId="2"/>
    <tableColumn id="3" xr3:uid="{00000000-0010-0000-0000-000003000000}" name="Closed At"/>
    <tableColumn id="4" xr3:uid="{00000000-0010-0000-0000-000004000000}" name="Status"/>
    <tableColumn id="5" xr3:uid="{00000000-0010-0000-0000-000005000000}" name="Priority"/>
    <tableColumn id="6" xr3:uid="{00000000-0010-0000-0000-000006000000}" name="Channel"/>
    <tableColumn id="7" xr3:uid="{00000000-0010-0000-0000-000007000000}" name="Region"/>
    <tableColumn id="8" xr3:uid="{00000000-0010-0000-0000-000008000000}" name="Customer Segment"/>
    <tableColumn id="9" xr3:uid="{00000000-0010-0000-0000-000009000000}" name="Product"/>
    <tableColumn id="10" xr3:uid="{00000000-0010-0000-0000-00000A000000}" name="Category"/>
    <tableColumn id="11" xr3:uid="{00000000-0010-0000-0000-00000B000000}" name="Agent"/>
    <tableColumn id="12" xr3:uid="{00000000-0010-0000-0000-00000C000000}" name="First Response Min"/>
    <tableColumn id="13" xr3:uid="{00000000-0010-0000-0000-00000D000000}" name="CSAT (1-5)"/>
    <tableColumn id="14" xr3:uid="{00000000-0010-0000-0000-00000E000000}" name="Reopen Count"/>
    <tableColumn id="15" xr3:uid="{00000000-0010-0000-0000-00000F000000}" name="Message Count"/>
    <tableColumn id="16" xr3:uid="{00000000-0010-0000-0000-000010000000}" name="Escala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503BE0-D65D-46CD-A401-A152E979AA07}" name="SLA_Reference" displayName="SLA_Reference" ref="A1:C5" tableType="queryTable" totalsRowShown="0">
  <autoFilter ref="A1:C5" xr:uid="{81503BE0-D65D-46CD-A401-A152E979AA07}"/>
  <tableColumns count="3">
    <tableColumn id="1" xr3:uid="{A086BED7-3FD9-4F3B-A709-C46003AC6148}" uniqueName="1" name="Priority" queryTableFieldId="1" dataDxfId="1"/>
    <tableColumn id="2" xr3:uid="{299E0B41-F68D-4251-A67A-3DECFEE983C2}" uniqueName="2" name="First Response SLA (min)" queryTableFieldId="2"/>
    <tableColumn id="3" xr3:uid="{8ECC8F20-C944-42FE-8A63-699D108D8340}" uniqueName="3" name="Resolution SLA (hours)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A771C4-B799-472B-928D-528A60C4A4A1}" name="Tabela4" displayName="Tabela4" ref="A1:C5" totalsRowShown="0" headerRowDxfId="0">
  <autoFilter ref="A1:C5" xr:uid="{35A771C4-B799-472B-928D-528A60C4A4A1}"/>
  <tableColumns count="3">
    <tableColumn id="1" xr3:uid="{53D637F1-E2E8-424A-88CB-935D968DB05C}" name="Priority"/>
    <tableColumn id="2" xr3:uid="{1FB3A50B-DFE4-42C7-AE96-E229BB0CF20F}" name="First Response SLA (min)"/>
    <tableColumn id="3" xr3:uid="{2AE0C48A-8BCD-43A2-B2FA-A5A3BB8607B5}" name="Resolution SLA (hour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pened_At" xr10:uid="{857DC92C-8C8A-4231-B5EE-FDB59F720C81}" sourceName="Opened At">
  <pivotTables>
    <pivotTable tabId="12" name="Tabela dinâmica8"/>
    <pivotTable tabId="12" name="Tabela dinâmica1"/>
    <pivotTable tabId="12" name="Tabela dinâmica10"/>
    <pivotTable tabId="12" name="Tabela dinâmica11"/>
    <pivotTable tabId="12" name="Tabela dinâmica12"/>
    <pivotTable tabId="12" name="Tabela dinâmica13"/>
    <pivotTable tabId="12" name="Tabela dinâmica14"/>
    <pivotTable tabId="12" name="Tabela dinâmica15"/>
    <pivotTable tabId="12" name="Tabela dinâmica2"/>
    <pivotTable tabId="12" name="Tabela dinâmica3"/>
    <pivotTable tabId="12" name="Tabela dinâmica4"/>
    <pivotTable tabId="12" name="Tabela dinâmica5"/>
    <pivotTable tabId="12" name="Tabela dinâmica6"/>
    <pivotTable tabId="12" name="Tabela dinâmica7"/>
    <pivotTable tabId="12" name="Tabela dinâmica9"/>
  </pivotTables>
  <state minimalRefreshVersion="6" lastRefreshVersion="6" pivotCacheId="1093426614" filterType="unknown">
    <bounds startDate="2026-01-01T13:02:00" endDate="2027-01-01T15:51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pened At" xr10:uid="{01D97EAB-2011-4D58-9F87-F3660105BBC2}" cache="NativeTimeline_Opened_At" caption="Opened At" level="2" selectionLevel="2" scrollPosition="2026-01-01T00:00:00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D689-C031-4220-9D5A-7A783A05CCD3}">
  <dimension ref="A1:L35"/>
  <sheetViews>
    <sheetView zoomScale="85" zoomScaleNormal="85" workbookViewId="0">
      <selection activeCell="D1" sqref="D1"/>
    </sheetView>
  </sheetViews>
  <sheetFormatPr defaultRowHeight="14.25"/>
  <cols>
    <col min="1" max="1" width="12.375" bestFit="1" customWidth="1"/>
    <col min="2" max="2" width="14" bestFit="1" customWidth="1"/>
    <col min="3" max="3" width="13.5" bestFit="1" customWidth="1"/>
    <col min="4" max="4" width="14.625" bestFit="1" customWidth="1"/>
    <col min="5" max="5" width="13.875" bestFit="1" customWidth="1"/>
    <col min="6" max="6" width="23.625" bestFit="1" customWidth="1"/>
    <col min="7" max="7" width="8.25" bestFit="1" customWidth="1"/>
    <col min="8" max="8" width="4.5" bestFit="1" customWidth="1"/>
    <col min="9" max="9" width="6.875" bestFit="1" customWidth="1"/>
    <col min="10" max="10" width="22.625" bestFit="1" customWidth="1"/>
    <col min="11" max="11" width="18" bestFit="1" customWidth="1"/>
    <col min="12" max="12" width="19" bestFit="1" customWidth="1"/>
    <col min="13" max="14" width="22.625" bestFit="1" customWidth="1"/>
    <col min="15" max="16" width="12.5" bestFit="1" customWidth="1"/>
  </cols>
  <sheetData>
    <row r="1" spans="1:10">
      <c r="A1" t="s">
        <v>0</v>
      </c>
      <c r="B1" t="s">
        <v>1443</v>
      </c>
      <c r="C1" t="s">
        <v>1</v>
      </c>
      <c r="D1" t="s">
        <v>1433</v>
      </c>
      <c r="E1" s="8" t="s">
        <v>3</v>
      </c>
      <c r="F1" t="s">
        <v>2</v>
      </c>
      <c r="G1" s="11" t="s">
        <v>4</v>
      </c>
      <c r="I1" s="8" t="s">
        <v>5</v>
      </c>
      <c r="J1" t="s">
        <v>1432</v>
      </c>
    </row>
    <row r="2" spans="1:10">
      <c r="A2">
        <v>1180</v>
      </c>
      <c r="B2" s="11">
        <v>0.55317324185248717</v>
      </c>
      <c r="C2">
        <v>26</v>
      </c>
      <c r="D2" s="11">
        <v>0.50175438596491229</v>
      </c>
      <c r="E2" s="8">
        <v>3.7944006999125111</v>
      </c>
      <c r="F2" s="9">
        <v>29.099523396880389</v>
      </c>
      <c r="G2" s="11">
        <v>0.17542372881355933</v>
      </c>
      <c r="I2" s="11">
        <v>7.3728813559322037E-2</v>
      </c>
      <c r="J2" s="8">
        <v>134.7584745762712</v>
      </c>
    </row>
    <row r="20" spans="1:12">
      <c r="A20" s="12" t="s">
        <v>1434</v>
      </c>
      <c r="B20" s="8" t="s">
        <v>1436</v>
      </c>
      <c r="C20" s="12" t="s">
        <v>1434</v>
      </c>
      <c r="D20" s="8" t="s">
        <v>1436</v>
      </c>
      <c r="E20" s="12" t="s">
        <v>1438</v>
      </c>
      <c r="F20" s="12" t="s">
        <v>1437</v>
      </c>
      <c r="G20" s="8"/>
      <c r="H20" s="8"/>
      <c r="I20" s="8"/>
      <c r="J20" s="8"/>
      <c r="K20" s="12" t="s">
        <v>1434</v>
      </c>
      <c r="L20" s="8" t="s">
        <v>1436</v>
      </c>
    </row>
    <row r="21" spans="1:12">
      <c r="A21" s="13" t="s">
        <v>1448</v>
      </c>
      <c r="B21" s="8">
        <v>162</v>
      </c>
      <c r="C21" s="13" t="s">
        <v>29</v>
      </c>
      <c r="D21" s="8">
        <v>165</v>
      </c>
      <c r="E21" s="12" t="s">
        <v>1434</v>
      </c>
      <c r="F21" s="8" t="s">
        <v>31</v>
      </c>
      <c r="G21" s="8" t="s">
        <v>74</v>
      </c>
      <c r="H21" s="8" t="s">
        <v>63</v>
      </c>
      <c r="I21" s="8" t="s">
        <v>1439</v>
      </c>
      <c r="J21" s="8" t="s">
        <v>1435</v>
      </c>
      <c r="K21" s="13" t="s">
        <v>85</v>
      </c>
      <c r="L21" s="8">
        <v>103</v>
      </c>
    </row>
    <row r="22" spans="1:12">
      <c r="A22" s="13" t="s">
        <v>1449</v>
      </c>
      <c r="B22" s="8">
        <v>138</v>
      </c>
      <c r="C22" s="13" t="s">
        <v>52</v>
      </c>
      <c r="D22" s="8">
        <v>231</v>
      </c>
      <c r="E22" s="13" t="s">
        <v>24</v>
      </c>
      <c r="F22" s="8">
        <v>0.65217391304347827</v>
      </c>
      <c r="G22" s="8">
        <v>0</v>
      </c>
      <c r="H22" s="8">
        <v>0.34782608695652173</v>
      </c>
      <c r="I22" s="8">
        <v>0</v>
      </c>
      <c r="J22" s="8">
        <v>1</v>
      </c>
      <c r="K22" s="13" t="s">
        <v>55</v>
      </c>
      <c r="L22" s="8">
        <v>124</v>
      </c>
    </row>
    <row r="23" spans="1:12">
      <c r="A23" s="13" t="s">
        <v>1444</v>
      </c>
      <c r="B23" s="8">
        <v>141</v>
      </c>
      <c r="C23" s="13" t="s">
        <v>76</v>
      </c>
      <c r="D23" s="8">
        <v>143</v>
      </c>
      <c r="E23" s="13" t="s">
        <v>40</v>
      </c>
      <c r="F23" s="8">
        <v>0.65919282511210764</v>
      </c>
      <c r="G23" s="8">
        <v>3.1390134529147982E-2</v>
      </c>
      <c r="H23" s="8">
        <v>0.3094170403587444</v>
      </c>
      <c r="I23" s="8">
        <v>0</v>
      </c>
      <c r="J23" s="8">
        <v>1</v>
      </c>
      <c r="K23" s="13" t="s">
        <v>62</v>
      </c>
      <c r="L23" s="8">
        <v>109</v>
      </c>
    </row>
    <row r="24" spans="1:12">
      <c r="A24" s="13" t="s">
        <v>1450</v>
      </c>
      <c r="B24" s="8">
        <v>170</v>
      </c>
      <c r="C24" s="13" t="s">
        <v>67</v>
      </c>
      <c r="D24" s="8">
        <v>122</v>
      </c>
      <c r="E24" s="13" t="s">
        <v>33</v>
      </c>
      <c r="F24" s="8">
        <v>0.3397790055248619</v>
      </c>
      <c r="G24" s="8">
        <v>2.4861878453038673E-2</v>
      </c>
      <c r="H24" s="8">
        <v>0.63535911602209949</v>
      </c>
      <c r="I24" s="8">
        <v>0</v>
      </c>
      <c r="J24" s="8">
        <v>1</v>
      </c>
      <c r="K24" s="13" t="s">
        <v>30</v>
      </c>
      <c r="L24" s="8">
        <v>123</v>
      </c>
    </row>
    <row r="25" spans="1:12">
      <c r="A25" s="13" t="s">
        <v>1451</v>
      </c>
      <c r="B25" s="8">
        <v>146</v>
      </c>
      <c r="C25" s="13" t="s">
        <v>58</v>
      </c>
      <c r="D25" s="8">
        <v>168</v>
      </c>
      <c r="E25" s="13" t="s">
        <v>50</v>
      </c>
      <c r="F25" s="8">
        <v>0.494140625</v>
      </c>
      <c r="G25" s="8">
        <v>1.953125E-2</v>
      </c>
      <c r="H25" s="8">
        <v>0.486328125</v>
      </c>
      <c r="I25" s="8">
        <v>0</v>
      </c>
      <c r="J25" s="8">
        <v>1</v>
      </c>
      <c r="K25" s="13" t="s">
        <v>101</v>
      </c>
      <c r="L25" s="8">
        <v>106</v>
      </c>
    </row>
    <row r="26" spans="1:12">
      <c r="A26" s="13" t="s">
        <v>1445</v>
      </c>
      <c r="B26" s="8">
        <v>135</v>
      </c>
      <c r="C26" s="13" t="s">
        <v>37</v>
      </c>
      <c r="D26" s="8">
        <v>351</v>
      </c>
      <c r="E26" s="13" t="s">
        <v>1402</v>
      </c>
      <c r="F26" s="8">
        <v>0</v>
      </c>
      <c r="G26" s="8">
        <v>0</v>
      </c>
      <c r="H26" s="8">
        <v>0</v>
      </c>
      <c r="I26" s="8">
        <v>1</v>
      </c>
      <c r="J26" s="8">
        <v>1</v>
      </c>
      <c r="K26" s="13" t="s">
        <v>68</v>
      </c>
      <c r="L26" s="8">
        <v>111</v>
      </c>
    </row>
    <row r="27" spans="1:12">
      <c r="A27" s="13" t="s">
        <v>1446</v>
      </c>
      <c r="B27" s="8">
        <v>148</v>
      </c>
      <c r="C27" s="13" t="s">
        <v>1435</v>
      </c>
      <c r="D27" s="8">
        <v>1180</v>
      </c>
      <c r="E27" s="13" t="s">
        <v>1435</v>
      </c>
      <c r="F27" s="8">
        <v>0.48135593220338985</v>
      </c>
      <c r="G27" s="8">
        <v>2.2033898305084745E-2</v>
      </c>
      <c r="H27" s="8">
        <v>0.48474576271186443</v>
      </c>
      <c r="I27" s="8">
        <v>1.1864406779661017E-2</v>
      </c>
      <c r="J27" s="8">
        <v>1</v>
      </c>
      <c r="K27" s="13" t="s">
        <v>44</v>
      </c>
      <c r="L27" s="8">
        <v>123</v>
      </c>
    </row>
    <row r="28" spans="1:12">
      <c r="A28" s="13" t="s">
        <v>1447</v>
      </c>
      <c r="B28" s="8">
        <v>140</v>
      </c>
      <c r="K28" s="13" t="s">
        <v>38</v>
      </c>
      <c r="L28" s="8">
        <v>112</v>
      </c>
    </row>
    <row r="29" spans="1:12">
      <c r="A29" s="13" t="s">
        <v>1435</v>
      </c>
      <c r="B29" s="8">
        <v>1180</v>
      </c>
      <c r="K29" s="13" t="s">
        <v>71</v>
      </c>
      <c r="L29" s="8">
        <v>118</v>
      </c>
    </row>
    <row r="30" spans="1:12">
      <c r="K30" s="13" t="s">
        <v>93</v>
      </c>
      <c r="L30" s="8">
        <v>129</v>
      </c>
    </row>
    <row r="31" spans="1:12">
      <c r="A31" s="12" t="s">
        <v>1434</v>
      </c>
      <c r="B31" s="8" t="s">
        <v>1440</v>
      </c>
      <c r="C31" s="12" t="s">
        <v>1434</v>
      </c>
      <c r="D31" s="8" t="s">
        <v>1436</v>
      </c>
      <c r="K31" s="13" t="s">
        <v>1401</v>
      </c>
      <c r="L31" s="8">
        <v>22</v>
      </c>
    </row>
    <row r="32" spans="1:12">
      <c r="A32" s="13" t="s">
        <v>27</v>
      </c>
      <c r="B32" s="8">
        <v>3.81447963800905</v>
      </c>
      <c r="C32" s="13" t="s">
        <v>57</v>
      </c>
      <c r="D32" s="8">
        <v>13</v>
      </c>
      <c r="K32" s="13" t="s">
        <v>1435</v>
      </c>
      <c r="L32" s="8">
        <v>1180</v>
      </c>
    </row>
    <row r="33" spans="1:4">
      <c r="A33" s="13" t="s">
        <v>42</v>
      </c>
      <c r="B33" s="8">
        <v>3.7601010101010099</v>
      </c>
      <c r="C33" s="13" t="s">
        <v>74</v>
      </c>
      <c r="D33" s="8">
        <v>13</v>
      </c>
    </row>
    <row r="34" spans="1:4">
      <c r="A34" s="13" t="s">
        <v>35</v>
      </c>
      <c r="B34" s="8">
        <v>3.8117870722433458</v>
      </c>
      <c r="C34" s="13" t="s">
        <v>23</v>
      </c>
      <c r="D34" s="8">
        <v>1154</v>
      </c>
    </row>
    <row r="35" spans="1:4">
      <c r="A35" s="13" t="s">
        <v>1435</v>
      </c>
      <c r="B35" s="8">
        <v>3.7944006999125111</v>
      </c>
      <c r="C35" s="13" t="s">
        <v>1435</v>
      </c>
      <c r="D35" s="8">
        <v>1180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C0690-E034-424F-8D0D-36B1DC6D5B71}">
  <dimension ref="A1:AJ1181"/>
  <sheetViews>
    <sheetView workbookViewId="0">
      <selection sqref="A1:AJ1181"/>
    </sheetView>
  </sheetViews>
  <sheetFormatPr defaultRowHeight="14.25"/>
  <cols>
    <col min="1" max="1" width="10.75" bestFit="1" customWidth="1"/>
    <col min="2" max="2" width="18.5" bestFit="1" customWidth="1"/>
    <col min="3" max="4" width="15" bestFit="1" customWidth="1"/>
    <col min="5" max="5" width="8.5" bestFit="1" customWidth="1"/>
    <col min="6" max="6" width="9.25" bestFit="1" customWidth="1"/>
    <col min="7" max="7" width="10.25" bestFit="1" customWidth="1"/>
    <col min="8" max="8" width="9.25" bestFit="1" customWidth="1"/>
    <col min="9" max="9" width="20.125" bestFit="1" customWidth="1"/>
    <col min="10" max="10" width="9.875" bestFit="1" customWidth="1"/>
    <col min="11" max="11" width="14.625" bestFit="1" customWidth="1"/>
    <col min="12" max="12" width="12.375" bestFit="1" customWidth="1"/>
    <col min="13" max="13" width="20.375" bestFit="1" customWidth="1"/>
    <col min="14" max="14" width="12.25" bestFit="1" customWidth="1"/>
    <col min="15" max="15" width="15.875" bestFit="1" customWidth="1"/>
    <col min="16" max="16" width="16.875" bestFit="1" customWidth="1"/>
    <col min="17" max="17" width="11.5" bestFit="1" customWidth="1"/>
    <col min="18" max="18" width="25.625" bestFit="1" customWidth="1"/>
    <col min="19" max="19" width="23.75" bestFit="1" customWidth="1"/>
    <col min="20" max="20" width="24.625" bestFit="1" customWidth="1"/>
    <col min="21" max="21" width="20.625" bestFit="1" customWidth="1"/>
    <col min="22" max="22" width="7" bestFit="1" customWidth="1"/>
    <col min="23" max="23" width="18.75" bestFit="1" customWidth="1"/>
    <col min="24" max="24" width="8.5" bestFit="1" customWidth="1"/>
    <col min="25" max="25" width="13.25" bestFit="1" customWidth="1"/>
    <col min="26" max="26" width="14" bestFit="1" customWidth="1"/>
    <col min="27" max="27" width="12.125" bestFit="1" customWidth="1"/>
    <col min="28" max="28" width="12.625" bestFit="1" customWidth="1"/>
    <col min="29" max="29" width="17" bestFit="1" customWidth="1"/>
    <col min="30" max="30" width="12.625" customWidth="1"/>
    <col min="31" max="31" width="10" bestFit="1" customWidth="1"/>
    <col min="32" max="32" width="15.75" bestFit="1" customWidth="1"/>
    <col min="33" max="33" width="16.5" bestFit="1" customWidth="1"/>
    <col min="34" max="34" width="15.875" bestFit="1" customWidth="1"/>
    <col min="35" max="35" width="25" bestFit="1" customWidth="1"/>
    <col min="36" max="36" width="21" bestFit="1" customWidth="1"/>
    <col min="37" max="37" width="17" bestFit="1" customWidth="1"/>
  </cols>
  <sheetData>
    <row r="1" spans="1:36">
      <c r="A1" t="s">
        <v>6</v>
      </c>
      <c r="B1" t="s">
        <v>1400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1392</v>
      </c>
      <c r="S1" t="s">
        <v>1393</v>
      </c>
      <c r="T1" t="s">
        <v>1403</v>
      </c>
      <c r="U1" t="s">
        <v>1404</v>
      </c>
      <c r="V1" t="s">
        <v>1405</v>
      </c>
      <c r="W1" t="s">
        <v>1406</v>
      </c>
      <c r="X1" t="s">
        <v>1407</v>
      </c>
      <c r="Y1" t="s">
        <v>1408</v>
      </c>
      <c r="Z1" t="s">
        <v>1409</v>
      </c>
      <c r="AA1" t="s">
        <v>1424</v>
      </c>
      <c r="AB1" t="s">
        <v>1410</v>
      </c>
      <c r="AC1" t="s">
        <v>1411</v>
      </c>
      <c r="AD1" t="s">
        <v>1425</v>
      </c>
      <c r="AE1" t="s">
        <v>1426</v>
      </c>
      <c r="AF1" t="s">
        <v>1427</v>
      </c>
      <c r="AG1" t="s">
        <v>1428</v>
      </c>
      <c r="AH1" t="s">
        <v>1429</v>
      </c>
      <c r="AI1" t="s">
        <v>1430</v>
      </c>
      <c r="AJ1" t="s">
        <v>1431</v>
      </c>
    </row>
    <row r="2" spans="1:36">
      <c r="A2" t="s">
        <v>22</v>
      </c>
      <c r="B2">
        <v>2.1800000000000002</v>
      </c>
      <c r="C2" s="7">
        <v>46124.691666666666</v>
      </c>
      <c r="D2" s="7">
        <v>46124.782308703703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>
        <v>18</v>
      </c>
      <c r="N2">
        <v>4</v>
      </c>
      <c r="O2">
        <v>0</v>
      </c>
      <c r="P2">
        <v>2</v>
      </c>
      <c r="Q2" t="s">
        <v>31</v>
      </c>
      <c r="R2">
        <v>15</v>
      </c>
      <c r="S2">
        <v>4</v>
      </c>
      <c r="T2" t="s">
        <v>31</v>
      </c>
      <c r="U2" t="s">
        <v>63</v>
      </c>
      <c r="V2">
        <v>2026</v>
      </c>
      <c r="W2">
        <v>4</v>
      </c>
      <c r="X2" t="s">
        <v>1412</v>
      </c>
      <c r="Y2" s="6">
        <v>46113</v>
      </c>
      <c r="Z2" t="s">
        <v>1413</v>
      </c>
      <c r="AA2" t="s">
        <v>31</v>
      </c>
      <c r="AB2" t="s">
        <v>63</v>
      </c>
      <c r="AC2" t="s">
        <v>23</v>
      </c>
      <c r="AD2">
        <v>1</v>
      </c>
      <c r="AE2">
        <v>0</v>
      </c>
      <c r="AF2">
        <v>1</v>
      </c>
      <c r="AG2">
        <v>0</v>
      </c>
      <c r="AH2">
        <v>0</v>
      </c>
      <c r="AI2">
        <v>0</v>
      </c>
      <c r="AJ2">
        <v>1</v>
      </c>
    </row>
    <row r="3" spans="1:36">
      <c r="A3" t="s">
        <v>32</v>
      </c>
      <c r="B3">
        <v>15.7</v>
      </c>
      <c r="C3" s="7">
        <v>46025.552777777775</v>
      </c>
      <c r="D3" s="7">
        <v>46026.207081504632</v>
      </c>
      <c r="E3" t="s">
        <v>23</v>
      </c>
      <c r="F3" t="s">
        <v>33</v>
      </c>
      <c r="G3" t="s">
        <v>25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>
        <v>384</v>
      </c>
      <c r="N3">
        <v>2</v>
      </c>
      <c r="O3">
        <v>2</v>
      </c>
      <c r="P3">
        <v>7</v>
      </c>
      <c r="Q3" t="s">
        <v>31</v>
      </c>
      <c r="R3">
        <v>240</v>
      </c>
      <c r="S3">
        <v>48</v>
      </c>
      <c r="T3" t="s">
        <v>31</v>
      </c>
      <c r="U3" t="s">
        <v>63</v>
      </c>
      <c r="V3">
        <v>2026</v>
      </c>
      <c r="W3">
        <v>1</v>
      </c>
      <c r="X3" t="s">
        <v>1414</v>
      </c>
      <c r="Y3" s="6">
        <v>46023</v>
      </c>
      <c r="Z3" t="s">
        <v>1415</v>
      </c>
      <c r="AA3" t="s">
        <v>63</v>
      </c>
      <c r="AB3" t="s">
        <v>63</v>
      </c>
      <c r="AC3" t="s">
        <v>23</v>
      </c>
      <c r="AD3">
        <v>1</v>
      </c>
      <c r="AE3">
        <v>0</v>
      </c>
      <c r="AF3">
        <v>1</v>
      </c>
      <c r="AG3">
        <v>1</v>
      </c>
      <c r="AH3">
        <v>0</v>
      </c>
      <c r="AI3">
        <v>0</v>
      </c>
      <c r="AJ3">
        <v>1</v>
      </c>
    </row>
    <row r="4" spans="1:36">
      <c r="A4" t="s">
        <v>45</v>
      </c>
      <c r="B4">
        <v>42.95</v>
      </c>
      <c r="C4" s="7">
        <v>46136.677777777775</v>
      </c>
      <c r="D4" s="7">
        <v>46138.46718738426</v>
      </c>
      <c r="E4" t="s">
        <v>23</v>
      </c>
      <c r="F4" t="s">
        <v>33</v>
      </c>
      <c r="G4" t="s">
        <v>51</v>
      </c>
      <c r="H4" t="s">
        <v>26</v>
      </c>
      <c r="I4" t="s">
        <v>42</v>
      </c>
      <c r="J4" t="s">
        <v>48</v>
      </c>
      <c r="K4" t="s">
        <v>37</v>
      </c>
      <c r="L4" t="s">
        <v>44</v>
      </c>
      <c r="M4">
        <v>93</v>
      </c>
      <c r="N4">
        <v>4</v>
      </c>
      <c r="O4">
        <v>0</v>
      </c>
      <c r="P4">
        <v>4</v>
      </c>
      <c r="Q4" t="s">
        <v>31</v>
      </c>
      <c r="R4">
        <v>240</v>
      </c>
      <c r="S4">
        <v>48</v>
      </c>
      <c r="T4" t="s">
        <v>63</v>
      </c>
      <c r="U4" t="s">
        <v>63</v>
      </c>
      <c r="V4">
        <v>2026</v>
      </c>
      <c r="W4">
        <v>4</v>
      </c>
      <c r="X4" t="s">
        <v>1412</v>
      </c>
      <c r="Y4" s="6">
        <v>46113</v>
      </c>
      <c r="Z4" t="s">
        <v>1413</v>
      </c>
      <c r="AA4" t="s">
        <v>31</v>
      </c>
      <c r="AB4" t="s">
        <v>63</v>
      </c>
      <c r="AC4" t="s">
        <v>23</v>
      </c>
      <c r="AD4">
        <v>1</v>
      </c>
      <c r="AE4">
        <v>0</v>
      </c>
      <c r="AF4">
        <v>1</v>
      </c>
      <c r="AG4">
        <v>0</v>
      </c>
      <c r="AH4">
        <v>0</v>
      </c>
      <c r="AI4">
        <v>1</v>
      </c>
      <c r="AJ4">
        <v>1</v>
      </c>
    </row>
    <row r="5" spans="1:36">
      <c r="A5" t="s">
        <v>39</v>
      </c>
      <c r="B5">
        <v>6.78</v>
      </c>
      <c r="C5" s="7">
        <v>46150.624305555553</v>
      </c>
      <c r="D5" s="7">
        <v>46150.906676354163</v>
      </c>
      <c r="E5" t="s">
        <v>23</v>
      </c>
      <c r="F5" t="s">
        <v>40</v>
      </c>
      <c r="G5" t="s">
        <v>41</v>
      </c>
      <c r="H5" t="s">
        <v>26</v>
      </c>
      <c r="I5" t="s">
        <v>42</v>
      </c>
      <c r="J5" t="s">
        <v>43</v>
      </c>
      <c r="K5" t="s">
        <v>37</v>
      </c>
      <c r="L5" t="s">
        <v>44</v>
      </c>
      <c r="M5">
        <v>42</v>
      </c>
      <c r="N5">
        <v>4</v>
      </c>
      <c r="O5">
        <v>0</v>
      </c>
      <c r="P5">
        <v>5</v>
      </c>
      <c r="Q5" t="s">
        <v>31</v>
      </c>
      <c r="R5">
        <v>30</v>
      </c>
      <c r="S5">
        <v>8</v>
      </c>
      <c r="T5" t="s">
        <v>31</v>
      </c>
      <c r="U5" t="s">
        <v>63</v>
      </c>
      <c r="V5">
        <v>2026</v>
      </c>
      <c r="W5">
        <v>5</v>
      </c>
      <c r="X5" t="s">
        <v>1416</v>
      </c>
      <c r="Y5" s="6">
        <v>46143</v>
      </c>
      <c r="Z5" t="s">
        <v>1413</v>
      </c>
      <c r="AA5" t="s">
        <v>31</v>
      </c>
      <c r="AB5" t="s">
        <v>63</v>
      </c>
      <c r="AC5" t="s">
        <v>23</v>
      </c>
      <c r="AD5">
        <v>1</v>
      </c>
      <c r="AE5">
        <v>0</v>
      </c>
      <c r="AF5">
        <v>1</v>
      </c>
      <c r="AG5">
        <v>0</v>
      </c>
      <c r="AH5">
        <v>0</v>
      </c>
      <c r="AI5">
        <v>0</v>
      </c>
      <c r="AJ5">
        <v>1</v>
      </c>
    </row>
    <row r="6" spans="1:36">
      <c r="A6" t="s">
        <v>49</v>
      </c>
      <c r="B6">
        <v>10.31</v>
      </c>
      <c r="C6" s="7">
        <v>46241.120833333334</v>
      </c>
      <c r="D6" s="7">
        <v>46241.550353148152</v>
      </c>
      <c r="E6" t="s">
        <v>23</v>
      </c>
      <c r="F6" t="s">
        <v>50</v>
      </c>
      <c r="G6" t="s">
        <v>51</v>
      </c>
      <c r="H6" t="s">
        <v>34</v>
      </c>
      <c r="I6" t="s">
        <v>42</v>
      </c>
      <c r="J6" t="s">
        <v>28</v>
      </c>
      <c r="K6" t="s">
        <v>52</v>
      </c>
      <c r="L6" t="s">
        <v>38</v>
      </c>
      <c r="M6">
        <v>100</v>
      </c>
      <c r="N6">
        <v>5</v>
      </c>
      <c r="O6">
        <v>0</v>
      </c>
      <c r="P6">
        <v>4</v>
      </c>
      <c r="Q6" t="s">
        <v>31</v>
      </c>
      <c r="R6">
        <v>120</v>
      </c>
      <c r="S6">
        <v>24</v>
      </c>
      <c r="T6" t="s">
        <v>63</v>
      </c>
      <c r="U6" t="s">
        <v>63</v>
      </c>
      <c r="V6">
        <v>2026</v>
      </c>
      <c r="W6">
        <v>8</v>
      </c>
      <c r="X6" t="s">
        <v>1417</v>
      </c>
      <c r="Y6" s="6">
        <v>46235</v>
      </c>
      <c r="Z6" t="s">
        <v>1413</v>
      </c>
      <c r="AA6" t="s">
        <v>31</v>
      </c>
      <c r="AB6" t="s">
        <v>63</v>
      </c>
      <c r="AC6" t="s">
        <v>23</v>
      </c>
      <c r="AD6">
        <v>1</v>
      </c>
      <c r="AE6">
        <v>0</v>
      </c>
      <c r="AF6">
        <v>1</v>
      </c>
      <c r="AG6">
        <v>0</v>
      </c>
      <c r="AH6">
        <v>0</v>
      </c>
      <c r="AI6">
        <v>1</v>
      </c>
      <c r="AJ6">
        <v>1</v>
      </c>
    </row>
    <row r="7" spans="1:36">
      <c r="A7" t="s">
        <v>53</v>
      </c>
      <c r="B7">
        <v>103.53</v>
      </c>
      <c r="C7" s="7">
        <v>46121.888888888891</v>
      </c>
      <c r="D7" s="7">
        <v>46126.202553483796</v>
      </c>
      <c r="E7" t="s">
        <v>23</v>
      </c>
      <c r="F7" t="s">
        <v>33</v>
      </c>
      <c r="G7" t="s">
        <v>51</v>
      </c>
      <c r="H7" t="s">
        <v>54</v>
      </c>
      <c r="I7" t="s">
        <v>42</v>
      </c>
      <c r="J7" t="s">
        <v>43</v>
      </c>
      <c r="K7" t="s">
        <v>37</v>
      </c>
      <c r="L7" t="s">
        <v>55</v>
      </c>
      <c r="M7">
        <v>517</v>
      </c>
      <c r="N7">
        <v>3</v>
      </c>
      <c r="O7">
        <v>0</v>
      </c>
      <c r="P7">
        <v>6</v>
      </c>
      <c r="Q7" t="s">
        <v>31</v>
      </c>
      <c r="R7">
        <v>240</v>
      </c>
      <c r="S7">
        <v>48</v>
      </c>
      <c r="T7" t="s">
        <v>31</v>
      </c>
      <c r="U7" t="s">
        <v>31</v>
      </c>
      <c r="V7">
        <v>2026</v>
      </c>
      <c r="W7">
        <v>4</v>
      </c>
      <c r="X7" t="s">
        <v>1412</v>
      </c>
      <c r="Y7" s="6">
        <v>46113</v>
      </c>
      <c r="Z7" t="s">
        <v>1418</v>
      </c>
      <c r="AA7" t="s">
        <v>31</v>
      </c>
      <c r="AB7" t="s">
        <v>63</v>
      </c>
      <c r="AC7" t="s">
        <v>23</v>
      </c>
      <c r="AD7">
        <v>1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</row>
    <row r="8" spans="1:36">
      <c r="A8" t="s">
        <v>56</v>
      </c>
      <c r="C8" s="7">
        <v>46067.138194444444</v>
      </c>
      <c r="D8" s="7"/>
      <c r="E8" t="s">
        <v>57</v>
      </c>
      <c r="F8" t="s">
        <v>33</v>
      </c>
      <c r="G8" t="s">
        <v>41</v>
      </c>
      <c r="H8" t="s">
        <v>26</v>
      </c>
      <c r="I8" t="s">
        <v>35</v>
      </c>
      <c r="J8" t="s">
        <v>36</v>
      </c>
      <c r="K8" t="s">
        <v>58</v>
      </c>
      <c r="L8" t="s">
        <v>44</v>
      </c>
      <c r="M8">
        <v>202</v>
      </c>
      <c r="O8">
        <v>0</v>
      </c>
      <c r="P8">
        <v>5</v>
      </c>
      <c r="Q8" t="s">
        <v>31</v>
      </c>
      <c r="R8">
        <v>240</v>
      </c>
      <c r="S8">
        <v>48</v>
      </c>
      <c r="T8" t="s">
        <v>63</v>
      </c>
      <c r="U8" t="s">
        <v>74</v>
      </c>
      <c r="V8">
        <v>2026</v>
      </c>
      <c r="W8">
        <v>2</v>
      </c>
      <c r="X8" t="s">
        <v>1419</v>
      </c>
      <c r="Y8" s="6">
        <v>46054</v>
      </c>
      <c r="Z8" t="s">
        <v>1420</v>
      </c>
      <c r="AA8" t="s">
        <v>31</v>
      </c>
      <c r="AB8" t="s">
        <v>31</v>
      </c>
      <c r="AC8" t="s">
        <v>57</v>
      </c>
      <c r="AD8">
        <v>1</v>
      </c>
      <c r="AE8">
        <v>1</v>
      </c>
      <c r="AF8">
        <v>0</v>
      </c>
      <c r="AG8">
        <v>0</v>
      </c>
      <c r="AH8">
        <v>0</v>
      </c>
      <c r="AI8">
        <v>1</v>
      </c>
    </row>
    <row r="9" spans="1:36">
      <c r="A9" t="s">
        <v>59</v>
      </c>
      <c r="B9">
        <v>31.24</v>
      </c>
      <c r="C9" s="7">
        <v>46236.86041666667</v>
      </c>
      <c r="D9" s="7">
        <v>46238.161875740741</v>
      </c>
      <c r="E9" t="s">
        <v>23</v>
      </c>
      <c r="F9" t="s">
        <v>50</v>
      </c>
      <c r="G9" t="s">
        <v>41</v>
      </c>
      <c r="H9" t="s">
        <v>54</v>
      </c>
      <c r="I9" t="s">
        <v>35</v>
      </c>
      <c r="J9" t="s">
        <v>48</v>
      </c>
      <c r="K9" t="s">
        <v>58</v>
      </c>
      <c r="L9" t="s">
        <v>55</v>
      </c>
      <c r="M9">
        <v>167</v>
      </c>
      <c r="N9">
        <v>3</v>
      </c>
      <c r="O9">
        <v>0</v>
      </c>
      <c r="P9">
        <v>2</v>
      </c>
      <c r="Q9" t="s">
        <v>31</v>
      </c>
      <c r="R9">
        <v>120</v>
      </c>
      <c r="S9">
        <v>24</v>
      </c>
      <c r="T9" t="s">
        <v>31</v>
      </c>
      <c r="U9" t="s">
        <v>31</v>
      </c>
      <c r="V9">
        <v>2026</v>
      </c>
      <c r="W9">
        <v>8</v>
      </c>
      <c r="X9" t="s">
        <v>1417</v>
      </c>
      <c r="Y9" s="6">
        <v>46235</v>
      </c>
      <c r="Z9" t="s">
        <v>1418</v>
      </c>
      <c r="AA9" t="s">
        <v>31</v>
      </c>
      <c r="AB9" t="s">
        <v>63</v>
      </c>
      <c r="AC9" t="s">
        <v>23</v>
      </c>
      <c r="AD9">
        <v>1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</row>
    <row r="10" spans="1:36">
      <c r="A10" t="s">
        <v>60</v>
      </c>
      <c r="B10">
        <v>22.05</v>
      </c>
      <c r="C10" s="7">
        <v>46044.51458333333</v>
      </c>
      <c r="D10" s="7">
        <v>46045.433302268517</v>
      </c>
      <c r="E10" t="s">
        <v>23</v>
      </c>
      <c r="F10" t="s">
        <v>33</v>
      </c>
      <c r="G10" t="s">
        <v>25</v>
      </c>
      <c r="H10" t="s">
        <v>26</v>
      </c>
      <c r="I10" t="s">
        <v>27</v>
      </c>
      <c r="J10" t="s">
        <v>28</v>
      </c>
      <c r="K10" t="s">
        <v>52</v>
      </c>
      <c r="L10" t="s">
        <v>1401</v>
      </c>
      <c r="M10">
        <v>99</v>
      </c>
      <c r="N10">
        <v>3</v>
      </c>
      <c r="O10">
        <v>2</v>
      </c>
      <c r="P10">
        <v>12</v>
      </c>
      <c r="Q10" t="s">
        <v>31</v>
      </c>
      <c r="R10">
        <v>240</v>
      </c>
      <c r="S10">
        <v>48</v>
      </c>
      <c r="T10" t="s">
        <v>63</v>
      </c>
      <c r="U10" t="s">
        <v>63</v>
      </c>
      <c r="V10">
        <v>2026</v>
      </c>
      <c r="W10">
        <v>1</v>
      </c>
      <c r="X10" t="s">
        <v>1414</v>
      </c>
      <c r="Y10" s="6">
        <v>46023</v>
      </c>
      <c r="Z10" t="s">
        <v>1418</v>
      </c>
      <c r="AA10" t="s">
        <v>63</v>
      </c>
      <c r="AB10" t="s">
        <v>63</v>
      </c>
      <c r="AC10" t="s">
        <v>23</v>
      </c>
      <c r="AD10">
        <v>1</v>
      </c>
      <c r="AE10">
        <v>0</v>
      </c>
      <c r="AF10">
        <v>1</v>
      </c>
      <c r="AG10">
        <v>1</v>
      </c>
      <c r="AH10">
        <v>0</v>
      </c>
      <c r="AI10">
        <v>1</v>
      </c>
      <c r="AJ10">
        <v>1</v>
      </c>
    </row>
    <row r="11" spans="1:36">
      <c r="A11" t="s">
        <v>61</v>
      </c>
      <c r="B11">
        <v>39.11</v>
      </c>
      <c r="C11" s="7">
        <v>46187.537499999999</v>
      </c>
      <c r="D11" s="7">
        <v>46189.167144050924</v>
      </c>
      <c r="E11" t="s">
        <v>23</v>
      </c>
      <c r="F11" t="s">
        <v>50</v>
      </c>
      <c r="G11" t="s">
        <v>25</v>
      </c>
      <c r="H11" t="s">
        <v>26</v>
      </c>
      <c r="I11" t="s">
        <v>27</v>
      </c>
      <c r="J11" t="s">
        <v>28</v>
      </c>
      <c r="K11" t="s">
        <v>37</v>
      </c>
      <c r="L11" t="s">
        <v>62</v>
      </c>
      <c r="M11">
        <v>259</v>
      </c>
      <c r="N11">
        <v>3</v>
      </c>
      <c r="O11">
        <v>0</v>
      </c>
      <c r="P11">
        <v>8</v>
      </c>
      <c r="Q11" t="s">
        <v>63</v>
      </c>
      <c r="R11">
        <v>120</v>
      </c>
      <c r="S11">
        <v>24</v>
      </c>
      <c r="T11" t="s">
        <v>31</v>
      </c>
      <c r="U11" t="s">
        <v>31</v>
      </c>
      <c r="V11">
        <v>2026</v>
      </c>
      <c r="W11">
        <v>6</v>
      </c>
      <c r="X11" t="s">
        <v>1421</v>
      </c>
      <c r="Y11" s="6">
        <v>46174</v>
      </c>
      <c r="Z11" t="s">
        <v>1418</v>
      </c>
      <c r="AA11" t="s">
        <v>31</v>
      </c>
      <c r="AB11" t="s">
        <v>63</v>
      </c>
      <c r="AC11" t="s">
        <v>23</v>
      </c>
      <c r="AD11">
        <v>1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0</v>
      </c>
    </row>
    <row r="12" spans="1:36">
      <c r="A12" t="s">
        <v>64</v>
      </c>
      <c r="B12">
        <v>93.18</v>
      </c>
      <c r="C12" s="7">
        <v>46242.475694444445</v>
      </c>
      <c r="D12" s="7">
        <v>46246.358097557873</v>
      </c>
      <c r="E12" t="s">
        <v>23</v>
      </c>
      <c r="F12" t="s">
        <v>33</v>
      </c>
      <c r="G12" t="s">
        <v>65</v>
      </c>
      <c r="H12" t="s">
        <v>66</v>
      </c>
      <c r="I12" t="s">
        <v>27</v>
      </c>
      <c r="J12" t="s">
        <v>36</v>
      </c>
      <c r="K12" t="s">
        <v>67</v>
      </c>
      <c r="L12" t="s">
        <v>68</v>
      </c>
      <c r="M12">
        <v>56</v>
      </c>
      <c r="N12">
        <v>4</v>
      </c>
      <c r="O12">
        <v>0</v>
      </c>
      <c r="P12">
        <v>6</v>
      </c>
      <c r="Q12" t="s">
        <v>31</v>
      </c>
      <c r="R12">
        <v>240</v>
      </c>
      <c r="S12">
        <v>48</v>
      </c>
      <c r="T12" t="s">
        <v>63</v>
      </c>
      <c r="U12" t="s">
        <v>31</v>
      </c>
      <c r="V12">
        <v>2026</v>
      </c>
      <c r="W12">
        <v>8</v>
      </c>
      <c r="X12" t="s">
        <v>1417</v>
      </c>
      <c r="Y12" s="6">
        <v>46235</v>
      </c>
      <c r="Z12" t="s">
        <v>1413</v>
      </c>
      <c r="AA12" t="s">
        <v>31</v>
      </c>
      <c r="AB12" t="s">
        <v>63</v>
      </c>
      <c r="AC12" t="s">
        <v>23</v>
      </c>
      <c r="AD12">
        <v>1</v>
      </c>
      <c r="AE12">
        <v>0</v>
      </c>
      <c r="AF12">
        <v>1</v>
      </c>
      <c r="AG12">
        <v>0</v>
      </c>
      <c r="AH12">
        <v>0</v>
      </c>
      <c r="AI12">
        <v>1</v>
      </c>
      <c r="AJ12">
        <v>0</v>
      </c>
    </row>
    <row r="13" spans="1:36">
      <c r="A13" t="s">
        <v>69</v>
      </c>
      <c r="B13">
        <v>4.54</v>
      </c>
      <c r="C13" s="7">
        <v>46171.958333333336</v>
      </c>
      <c r="D13" s="7">
        <v>46172.147292974536</v>
      </c>
      <c r="E13" t="s">
        <v>23</v>
      </c>
      <c r="F13" t="s">
        <v>24</v>
      </c>
      <c r="G13" t="s">
        <v>51</v>
      </c>
      <c r="H13" t="s">
        <v>26</v>
      </c>
      <c r="I13" t="s">
        <v>42</v>
      </c>
      <c r="J13" t="s">
        <v>43</v>
      </c>
      <c r="K13" t="s">
        <v>52</v>
      </c>
      <c r="L13" t="s">
        <v>44</v>
      </c>
      <c r="M13">
        <v>38</v>
      </c>
      <c r="N13">
        <v>4</v>
      </c>
      <c r="O13">
        <v>0</v>
      </c>
      <c r="P13">
        <v>3</v>
      </c>
      <c r="Q13" t="s">
        <v>31</v>
      </c>
      <c r="R13">
        <v>15</v>
      </c>
      <c r="S13">
        <v>4</v>
      </c>
      <c r="T13" t="s">
        <v>31</v>
      </c>
      <c r="U13" t="s">
        <v>31</v>
      </c>
      <c r="V13">
        <v>2026</v>
      </c>
      <c r="W13">
        <v>5</v>
      </c>
      <c r="X13" t="s">
        <v>1416</v>
      </c>
      <c r="Y13" s="6">
        <v>46143</v>
      </c>
      <c r="Z13" t="s">
        <v>1413</v>
      </c>
      <c r="AA13" t="s">
        <v>31</v>
      </c>
      <c r="AB13" t="s">
        <v>63</v>
      </c>
      <c r="AC13" t="s">
        <v>23</v>
      </c>
      <c r="AD13">
        <v>1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70</v>
      </c>
      <c r="B14">
        <v>4.21</v>
      </c>
      <c r="C14" s="7">
        <v>46051.268055555556</v>
      </c>
      <c r="D14" s="7">
        <v>46051.443403333331</v>
      </c>
      <c r="E14" t="s">
        <v>23</v>
      </c>
      <c r="F14" t="s">
        <v>24</v>
      </c>
      <c r="G14" t="s">
        <v>51</v>
      </c>
      <c r="H14" t="s">
        <v>26</v>
      </c>
      <c r="I14" t="s">
        <v>35</v>
      </c>
      <c r="J14" t="s">
        <v>36</v>
      </c>
      <c r="K14" t="s">
        <v>37</v>
      </c>
      <c r="L14" t="s">
        <v>71</v>
      </c>
      <c r="M14">
        <v>15</v>
      </c>
      <c r="N14">
        <v>5</v>
      </c>
      <c r="O14">
        <v>0</v>
      </c>
      <c r="P14">
        <v>6</v>
      </c>
      <c r="Q14" t="s">
        <v>31</v>
      </c>
      <c r="R14">
        <v>15</v>
      </c>
      <c r="S14">
        <v>4</v>
      </c>
      <c r="T14" t="s">
        <v>63</v>
      </c>
      <c r="U14" t="s">
        <v>31</v>
      </c>
      <c r="V14">
        <v>2026</v>
      </c>
      <c r="W14">
        <v>1</v>
      </c>
      <c r="X14" t="s">
        <v>1414</v>
      </c>
      <c r="Y14" s="6">
        <v>46023</v>
      </c>
      <c r="Z14" t="s">
        <v>1413</v>
      </c>
      <c r="AA14" t="s">
        <v>31</v>
      </c>
      <c r="AB14" t="s">
        <v>63</v>
      </c>
      <c r="AC14" t="s">
        <v>23</v>
      </c>
      <c r="AD14">
        <v>1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</row>
    <row r="15" spans="1:36">
      <c r="A15" t="s">
        <v>72</v>
      </c>
      <c r="B15">
        <v>37.840000000000003</v>
      </c>
      <c r="C15" s="7">
        <v>46226.823611111111</v>
      </c>
      <c r="D15" s="7">
        <v>46228.400158611112</v>
      </c>
      <c r="E15" t="s">
        <v>23</v>
      </c>
      <c r="F15" t="s">
        <v>50</v>
      </c>
      <c r="G15" t="s">
        <v>41</v>
      </c>
      <c r="H15" t="s">
        <v>26</v>
      </c>
      <c r="I15" t="s">
        <v>35</v>
      </c>
      <c r="J15" t="s">
        <v>36</v>
      </c>
      <c r="K15" t="s">
        <v>37</v>
      </c>
      <c r="L15" t="s">
        <v>62</v>
      </c>
      <c r="M15">
        <v>136</v>
      </c>
      <c r="N15">
        <v>4</v>
      </c>
      <c r="O15">
        <v>0</v>
      </c>
      <c r="P15">
        <v>7</v>
      </c>
      <c r="Q15" t="s">
        <v>31</v>
      </c>
      <c r="R15">
        <v>120</v>
      </c>
      <c r="S15">
        <v>24</v>
      </c>
      <c r="T15" t="s">
        <v>31</v>
      </c>
      <c r="U15" t="s">
        <v>31</v>
      </c>
      <c r="V15">
        <v>2026</v>
      </c>
      <c r="W15">
        <v>7</v>
      </c>
      <c r="X15" t="s">
        <v>1422</v>
      </c>
      <c r="Y15" s="6">
        <v>46204</v>
      </c>
      <c r="Z15" t="s">
        <v>1413</v>
      </c>
      <c r="AA15" t="s">
        <v>31</v>
      </c>
      <c r="AB15" t="s">
        <v>63</v>
      </c>
      <c r="AC15" t="s">
        <v>23</v>
      </c>
      <c r="AD15">
        <v>1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73</v>
      </c>
      <c r="C16" s="7">
        <v>46073.447222222225</v>
      </c>
      <c r="D16" s="7"/>
      <c r="E16" t="s">
        <v>74</v>
      </c>
      <c r="F16" t="s">
        <v>40</v>
      </c>
      <c r="G16" t="s">
        <v>51</v>
      </c>
      <c r="H16" t="s">
        <v>75</v>
      </c>
      <c r="I16" t="s">
        <v>35</v>
      </c>
      <c r="J16" t="s">
        <v>48</v>
      </c>
      <c r="K16" t="s">
        <v>76</v>
      </c>
      <c r="L16" t="s">
        <v>62</v>
      </c>
      <c r="M16">
        <v>24</v>
      </c>
      <c r="O16">
        <v>0</v>
      </c>
      <c r="P16">
        <v>2</v>
      </c>
      <c r="Q16" t="s">
        <v>31</v>
      </c>
      <c r="R16">
        <v>30</v>
      </c>
      <c r="S16">
        <v>8</v>
      </c>
      <c r="T16" t="s">
        <v>63</v>
      </c>
      <c r="U16" t="s">
        <v>74</v>
      </c>
      <c r="V16">
        <v>2026</v>
      </c>
      <c r="W16">
        <v>2</v>
      </c>
      <c r="X16" t="s">
        <v>1419</v>
      </c>
      <c r="Y16" s="6">
        <v>46054</v>
      </c>
      <c r="Z16" t="s">
        <v>1420</v>
      </c>
      <c r="AA16" t="s">
        <v>31</v>
      </c>
      <c r="AB16" t="s">
        <v>31</v>
      </c>
      <c r="AC16" t="s">
        <v>74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1</v>
      </c>
    </row>
    <row r="17" spans="1:36">
      <c r="A17" t="s">
        <v>77</v>
      </c>
      <c r="B17">
        <v>43.28</v>
      </c>
      <c r="C17" s="7">
        <v>46064.238194444442</v>
      </c>
      <c r="D17" s="7">
        <v>46066.041381481482</v>
      </c>
      <c r="E17" t="s">
        <v>23</v>
      </c>
      <c r="F17" t="s">
        <v>33</v>
      </c>
      <c r="G17" t="s">
        <v>51</v>
      </c>
      <c r="H17" t="s">
        <v>26</v>
      </c>
      <c r="I17" t="s">
        <v>35</v>
      </c>
      <c r="J17" t="s">
        <v>28</v>
      </c>
      <c r="K17" t="s">
        <v>37</v>
      </c>
      <c r="L17" t="s">
        <v>30</v>
      </c>
      <c r="M17">
        <v>107</v>
      </c>
      <c r="N17">
        <v>4</v>
      </c>
      <c r="O17">
        <v>0</v>
      </c>
      <c r="P17">
        <v>2</v>
      </c>
      <c r="Q17" t="s">
        <v>31</v>
      </c>
      <c r="R17">
        <v>240</v>
      </c>
      <c r="S17">
        <v>48</v>
      </c>
      <c r="T17" t="s">
        <v>63</v>
      </c>
      <c r="U17" t="s">
        <v>63</v>
      </c>
      <c r="V17">
        <v>2026</v>
      </c>
      <c r="W17">
        <v>2</v>
      </c>
      <c r="X17" t="s">
        <v>1419</v>
      </c>
      <c r="Y17" s="6">
        <v>46054</v>
      </c>
      <c r="Z17" t="s">
        <v>1413</v>
      </c>
      <c r="AA17" t="s">
        <v>31</v>
      </c>
      <c r="AB17" t="s">
        <v>63</v>
      </c>
      <c r="AC17" t="s">
        <v>23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1</v>
      </c>
    </row>
    <row r="18" spans="1:36">
      <c r="A18" t="s">
        <v>78</v>
      </c>
      <c r="B18">
        <v>13.67</v>
      </c>
      <c r="C18" s="7">
        <v>46246.817361111112</v>
      </c>
      <c r="D18" s="7">
        <v>46247.386763564813</v>
      </c>
      <c r="E18" t="s">
        <v>23</v>
      </c>
      <c r="F18" t="s">
        <v>50</v>
      </c>
      <c r="G18" t="s">
        <v>41</v>
      </c>
      <c r="H18" t="s">
        <v>54</v>
      </c>
      <c r="I18" t="s">
        <v>35</v>
      </c>
      <c r="J18" t="s">
        <v>28</v>
      </c>
      <c r="K18" t="s">
        <v>52</v>
      </c>
      <c r="L18" t="s">
        <v>71</v>
      </c>
      <c r="M18">
        <v>45</v>
      </c>
      <c r="N18">
        <v>4</v>
      </c>
      <c r="O18">
        <v>0</v>
      </c>
      <c r="P18">
        <v>4</v>
      </c>
      <c r="Q18" t="s">
        <v>31</v>
      </c>
      <c r="R18">
        <v>120</v>
      </c>
      <c r="S18">
        <v>24</v>
      </c>
      <c r="T18" t="s">
        <v>63</v>
      </c>
      <c r="U18" t="s">
        <v>63</v>
      </c>
      <c r="V18">
        <v>2026</v>
      </c>
      <c r="W18">
        <v>8</v>
      </c>
      <c r="X18" t="s">
        <v>1417</v>
      </c>
      <c r="Y18" s="6">
        <v>46235</v>
      </c>
      <c r="Z18" t="s">
        <v>1413</v>
      </c>
      <c r="AA18" t="s">
        <v>31</v>
      </c>
      <c r="AB18" t="s">
        <v>63</v>
      </c>
      <c r="AC18" t="s">
        <v>23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1</v>
      </c>
      <c r="AJ18">
        <v>1</v>
      </c>
    </row>
    <row r="19" spans="1:36">
      <c r="A19" t="s">
        <v>81</v>
      </c>
      <c r="B19">
        <v>43.93</v>
      </c>
      <c r="C19" s="7">
        <v>46126.859722222223</v>
      </c>
      <c r="D19" s="7">
        <v>46128.69027777778</v>
      </c>
      <c r="E19" t="s">
        <v>23</v>
      </c>
      <c r="F19" t="s">
        <v>50</v>
      </c>
      <c r="G19" t="s">
        <v>25</v>
      </c>
      <c r="H19" t="s">
        <v>26</v>
      </c>
      <c r="I19" t="s">
        <v>42</v>
      </c>
      <c r="J19" t="s">
        <v>48</v>
      </c>
      <c r="K19" t="s">
        <v>37</v>
      </c>
      <c r="L19" t="s">
        <v>68</v>
      </c>
      <c r="M19">
        <v>69</v>
      </c>
      <c r="N19">
        <v>4</v>
      </c>
      <c r="O19">
        <v>0</v>
      </c>
      <c r="P19">
        <v>4</v>
      </c>
      <c r="Q19" t="s">
        <v>31</v>
      </c>
      <c r="R19">
        <v>120</v>
      </c>
      <c r="S19">
        <v>24</v>
      </c>
      <c r="T19" t="s">
        <v>63</v>
      </c>
      <c r="U19" t="s">
        <v>31</v>
      </c>
      <c r="V19">
        <v>2026</v>
      </c>
      <c r="W19">
        <v>4</v>
      </c>
      <c r="X19" t="s">
        <v>1412</v>
      </c>
      <c r="Y19" s="6">
        <v>46113</v>
      </c>
      <c r="Z19" t="s">
        <v>1413</v>
      </c>
      <c r="AA19" t="s">
        <v>31</v>
      </c>
      <c r="AB19" t="s">
        <v>63</v>
      </c>
      <c r="AC19" t="s">
        <v>23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1</v>
      </c>
      <c r="AJ19">
        <v>0</v>
      </c>
    </row>
    <row r="20" spans="1:36">
      <c r="A20" t="s">
        <v>83</v>
      </c>
      <c r="B20">
        <v>14.24</v>
      </c>
      <c r="C20" s="7">
        <v>46114.09375</v>
      </c>
      <c r="D20" s="7">
        <v>46114.687063333331</v>
      </c>
      <c r="E20" t="s">
        <v>23</v>
      </c>
      <c r="F20" t="s">
        <v>50</v>
      </c>
      <c r="G20" t="s">
        <v>51</v>
      </c>
      <c r="H20" t="s">
        <v>26</v>
      </c>
      <c r="I20" t="s">
        <v>35</v>
      </c>
      <c r="J20" t="s">
        <v>28</v>
      </c>
      <c r="K20" t="s">
        <v>58</v>
      </c>
      <c r="L20" t="s">
        <v>71</v>
      </c>
      <c r="M20">
        <v>161</v>
      </c>
      <c r="N20">
        <v>4</v>
      </c>
      <c r="O20">
        <v>0</v>
      </c>
      <c r="P20">
        <v>6</v>
      </c>
      <c r="Q20" t="s">
        <v>31</v>
      </c>
      <c r="R20">
        <v>120</v>
      </c>
      <c r="S20">
        <v>24</v>
      </c>
      <c r="T20" t="s">
        <v>31</v>
      </c>
      <c r="U20" t="s">
        <v>63</v>
      </c>
      <c r="V20">
        <v>2026</v>
      </c>
      <c r="W20">
        <v>4</v>
      </c>
      <c r="X20" t="s">
        <v>1412</v>
      </c>
      <c r="Y20" s="6">
        <v>46113</v>
      </c>
      <c r="Z20" t="s">
        <v>1413</v>
      </c>
      <c r="AA20" t="s">
        <v>31</v>
      </c>
      <c r="AB20" t="s">
        <v>63</v>
      </c>
      <c r="AC20" t="s">
        <v>23</v>
      </c>
      <c r="AD20">
        <v>1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1</v>
      </c>
    </row>
    <row r="21" spans="1:36">
      <c r="A21" t="s">
        <v>84</v>
      </c>
      <c r="B21">
        <v>38.53</v>
      </c>
      <c r="C21" s="7">
        <v>46216.218055555553</v>
      </c>
      <c r="D21" s="7">
        <v>46217.823485821762</v>
      </c>
      <c r="E21" t="s">
        <v>23</v>
      </c>
      <c r="F21" t="s">
        <v>33</v>
      </c>
      <c r="G21" t="s">
        <v>25</v>
      </c>
      <c r="H21" t="s">
        <v>34</v>
      </c>
      <c r="I21" t="s">
        <v>35</v>
      </c>
      <c r="J21" t="s">
        <v>28</v>
      </c>
      <c r="K21" t="s">
        <v>37</v>
      </c>
      <c r="L21" t="s">
        <v>85</v>
      </c>
      <c r="M21">
        <v>126</v>
      </c>
      <c r="N21">
        <v>4</v>
      </c>
      <c r="O21">
        <v>0</v>
      </c>
      <c r="P21">
        <v>6</v>
      </c>
      <c r="Q21" t="s">
        <v>31</v>
      </c>
      <c r="R21">
        <v>240</v>
      </c>
      <c r="S21">
        <v>48</v>
      </c>
      <c r="T21" t="s">
        <v>63</v>
      </c>
      <c r="U21" t="s">
        <v>63</v>
      </c>
      <c r="V21">
        <v>2026</v>
      </c>
      <c r="W21">
        <v>7</v>
      </c>
      <c r="X21" t="s">
        <v>1422</v>
      </c>
      <c r="Y21" s="6">
        <v>46204</v>
      </c>
      <c r="Z21" t="s">
        <v>1413</v>
      </c>
      <c r="AA21" t="s">
        <v>31</v>
      </c>
      <c r="AB21" t="s">
        <v>63</v>
      </c>
      <c r="AC21" t="s">
        <v>23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1</v>
      </c>
      <c r="AJ21">
        <v>1</v>
      </c>
    </row>
    <row r="22" spans="1:36">
      <c r="A22" t="s">
        <v>86</v>
      </c>
      <c r="B22">
        <v>3.97</v>
      </c>
      <c r="C22" s="7">
        <v>46167.154166666667</v>
      </c>
      <c r="D22" s="7">
        <v>46167.319737303238</v>
      </c>
      <c r="E22" t="s">
        <v>23</v>
      </c>
      <c r="F22" t="s">
        <v>24</v>
      </c>
      <c r="G22" t="s">
        <v>25</v>
      </c>
      <c r="H22" t="s">
        <v>26</v>
      </c>
      <c r="I22" t="s">
        <v>35</v>
      </c>
      <c r="J22" t="s">
        <v>28</v>
      </c>
      <c r="K22" t="s">
        <v>76</v>
      </c>
      <c r="L22" t="s">
        <v>85</v>
      </c>
      <c r="M22">
        <v>42</v>
      </c>
      <c r="N22">
        <v>5</v>
      </c>
      <c r="O22">
        <v>0</v>
      </c>
      <c r="P22">
        <v>3</v>
      </c>
      <c r="Q22" t="s">
        <v>31</v>
      </c>
      <c r="R22">
        <v>15</v>
      </c>
      <c r="S22">
        <v>4</v>
      </c>
      <c r="T22" t="s">
        <v>31</v>
      </c>
      <c r="U22" t="s">
        <v>63</v>
      </c>
      <c r="V22">
        <v>2026</v>
      </c>
      <c r="W22">
        <v>5</v>
      </c>
      <c r="X22" t="s">
        <v>1416</v>
      </c>
      <c r="Y22" s="6">
        <v>46143</v>
      </c>
      <c r="Z22" t="s">
        <v>1413</v>
      </c>
      <c r="AA22" t="s">
        <v>31</v>
      </c>
      <c r="AB22" t="s">
        <v>63</v>
      </c>
      <c r="AC22" t="s">
        <v>23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1</v>
      </c>
    </row>
    <row r="23" spans="1:36">
      <c r="A23" t="s">
        <v>88</v>
      </c>
      <c r="B23">
        <v>68.790000000000006</v>
      </c>
      <c r="C23" s="7">
        <v>46122.011111111111</v>
      </c>
      <c r="D23" s="7">
        <v>46124.877228240737</v>
      </c>
      <c r="E23" t="s">
        <v>23</v>
      </c>
      <c r="F23" t="s">
        <v>33</v>
      </c>
      <c r="G23" t="s">
        <v>25</v>
      </c>
      <c r="H23" t="s">
        <v>54</v>
      </c>
      <c r="I23" t="s">
        <v>42</v>
      </c>
      <c r="J23" t="s">
        <v>43</v>
      </c>
      <c r="K23" t="s">
        <v>58</v>
      </c>
      <c r="L23" t="s">
        <v>44</v>
      </c>
      <c r="M23">
        <v>118</v>
      </c>
      <c r="N23">
        <v>3</v>
      </c>
      <c r="O23">
        <v>0</v>
      </c>
      <c r="P23">
        <v>3</v>
      </c>
      <c r="Q23" t="s">
        <v>31</v>
      </c>
      <c r="R23">
        <v>240</v>
      </c>
      <c r="S23">
        <v>48</v>
      </c>
      <c r="T23" t="s">
        <v>63</v>
      </c>
      <c r="U23" t="s">
        <v>31</v>
      </c>
      <c r="V23">
        <v>2026</v>
      </c>
      <c r="W23">
        <v>4</v>
      </c>
      <c r="X23" t="s">
        <v>1412</v>
      </c>
      <c r="Y23" s="6">
        <v>46113</v>
      </c>
      <c r="Z23" t="s">
        <v>1418</v>
      </c>
      <c r="AA23" t="s">
        <v>31</v>
      </c>
      <c r="AB23" t="s">
        <v>63</v>
      </c>
      <c r="AC23" t="s">
        <v>23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1</v>
      </c>
      <c r="AJ23">
        <v>0</v>
      </c>
    </row>
    <row r="24" spans="1:36">
      <c r="A24" t="s">
        <v>89</v>
      </c>
      <c r="B24">
        <v>53.77</v>
      </c>
      <c r="C24" s="7">
        <v>46137.897916666669</v>
      </c>
      <c r="D24" s="7">
        <v>46140.138223148148</v>
      </c>
      <c r="E24" t="s">
        <v>23</v>
      </c>
      <c r="F24" t="s">
        <v>33</v>
      </c>
      <c r="G24" t="s">
        <v>25</v>
      </c>
      <c r="H24" t="s">
        <v>26</v>
      </c>
      <c r="I24" t="s">
        <v>35</v>
      </c>
      <c r="J24" t="s">
        <v>28</v>
      </c>
      <c r="K24" t="s">
        <v>37</v>
      </c>
      <c r="L24" t="s">
        <v>68</v>
      </c>
      <c r="M24">
        <v>92</v>
      </c>
      <c r="N24">
        <v>3</v>
      </c>
      <c r="O24">
        <v>0</v>
      </c>
      <c r="P24">
        <v>4</v>
      </c>
      <c r="Q24" t="s">
        <v>31</v>
      </c>
      <c r="R24">
        <v>240</v>
      </c>
      <c r="S24">
        <v>48</v>
      </c>
      <c r="T24" t="s">
        <v>63</v>
      </c>
      <c r="U24" t="s">
        <v>31</v>
      </c>
      <c r="V24">
        <v>2026</v>
      </c>
      <c r="W24">
        <v>4</v>
      </c>
      <c r="X24" t="s">
        <v>1412</v>
      </c>
      <c r="Y24" s="6">
        <v>46113</v>
      </c>
      <c r="Z24" t="s">
        <v>1418</v>
      </c>
      <c r="AA24" t="s">
        <v>31</v>
      </c>
      <c r="AB24" t="s">
        <v>63</v>
      </c>
      <c r="AC24" t="s">
        <v>23</v>
      </c>
      <c r="AD24">
        <v>1</v>
      </c>
      <c r="AE24">
        <v>0</v>
      </c>
      <c r="AF24">
        <v>1</v>
      </c>
      <c r="AG24">
        <v>0</v>
      </c>
      <c r="AH24">
        <v>0</v>
      </c>
      <c r="AI24">
        <v>1</v>
      </c>
      <c r="AJ24">
        <v>0</v>
      </c>
    </row>
    <row r="25" spans="1:36">
      <c r="A25" t="s">
        <v>90</v>
      </c>
      <c r="B25">
        <v>6.1</v>
      </c>
      <c r="C25" s="7">
        <v>46140.044444444444</v>
      </c>
      <c r="D25" s="7">
        <v>46140.298807615742</v>
      </c>
      <c r="E25" t="s">
        <v>23</v>
      </c>
      <c r="F25" t="s">
        <v>40</v>
      </c>
      <c r="G25" t="s">
        <v>25</v>
      </c>
      <c r="H25" t="s">
        <v>26</v>
      </c>
      <c r="I25" t="s">
        <v>42</v>
      </c>
      <c r="J25" t="s">
        <v>43</v>
      </c>
      <c r="K25" t="s">
        <v>76</v>
      </c>
      <c r="L25" t="s">
        <v>71</v>
      </c>
      <c r="M25">
        <v>38</v>
      </c>
      <c r="N25">
        <v>5</v>
      </c>
      <c r="O25">
        <v>0</v>
      </c>
      <c r="P25">
        <v>4</v>
      </c>
      <c r="Q25" t="s">
        <v>31</v>
      </c>
      <c r="R25">
        <v>30</v>
      </c>
      <c r="S25">
        <v>8</v>
      </c>
      <c r="T25" t="s">
        <v>31</v>
      </c>
      <c r="U25" t="s">
        <v>63</v>
      </c>
      <c r="V25">
        <v>2026</v>
      </c>
      <c r="W25">
        <v>4</v>
      </c>
      <c r="X25" t="s">
        <v>1412</v>
      </c>
      <c r="Y25" s="6">
        <v>46113</v>
      </c>
      <c r="Z25" t="s">
        <v>1413</v>
      </c>
      <c r="AA25" t="s">
        <v>31</v>
      </c>
      <c r="AB25" t="s">
        <v>63</v>
      </c>
      <c r="AC25" t="s">
        <v>23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1</v>
      </c>
    </row>
    <row r="26" spans="1:36">
      <c r="A26" t="s">
        <v>91</v>
      </c>
      <c r="B26">
        <v>33.61</v>
      </c>
      <c r="C26" s="7">
        <v>46103.574305555558</v>
      </c>
      <c r="D26" s="7">
        <v>46104.974730347225</v>
      </c>
      <c r="E26" t="s">
        <v>23</v>
      </c>
      <c r="F26" t="s">
        <v>50</v>
      </c>
      <c r="G26" t="s">
        <v>51</v>
      </c>
      <c r="H26" t="s">
        <v>66</v>
      </c>
      <c r="I26" t="s">
        <v>35</v>
      </c>
      <c r="J26" t="s">
        <v>36</v>
      </c>
      <c r="K26" t="s">
        <v>58</v>
      </c>
      <c r="L26" t="s">
        <v>30</v>
      </c>
      <c r="M26">
        <v>53</v>
      </c>
      <c r="N26">
        <v>4</v>
      </c>
      <c r="O26">
        <v>0</v>
      </c>
      <c r="P26">
        <v>2</v>
      </c>
      <c r="Q26" t="s">
        <v>31</v>
      </c>
      <c r="R26">
        <v>120</v>
      </c>
      <c r="S26">
        <v>24</v>
      </c>
      <c r="T26" t="s">
        <v>63</v>
      </c>
      <c r="U26" t="s">
        <v>31</v>
      </c>
      <c r="V26">
        <v>2026</v>
      </c>
      <c r="W26">
        <v>3</v>
      </c>
      <c r="X26" t="s">
        <v>1423</v>
      </c>
      <c r="Y26" s="6">
        <v>46082</v>
      </c>
      <c r="Z26" t="s">
        <v>1413</v>
      </c>
      <c r="AA26" t="s">
        <v>31</v>
      </c>
      <c r="AB26" t="s">
        <v>63</v>
      </c>
      <c r="AC26" t="s">
        <v>23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0</v>
      </c>
    </row>
    <row r="27" spans="1:36">
      <c r="A27" t="s">
        <v>92</v>
      </c>
      <c r="B27">
        <v>45.03</v>
      </c>
      <c r="C27" s="7">
        <v>46115.871527777781</v>
      </c>
      <c r="D27" s="7">
        <v>46117.747935474537</v>
      </c>
      <c r="E27" t="s">
        <v>23</v>
      </c>
      <c r="F27" t="s">
        <v>50</v>
      </c>
      <c r="G27" t="s">
        <v>41</v>
      </c>
      <c r="H27" t="s">
        <v>54</v>
      </c>
      <c r="I27" t="s">
        <v>35</v>
      </c>
      <c r="J27" t="s">
        <v>28</v>
      </c>
      <c r="K27" t="s">
        <v>37</v>
      </c>
      <c r="L27" t="s">
        <v>93</v>
      </c>
      <c r="M27">
        <v>92</v>
      </c>
      <c r="N27">
        <v>4</v>
      </c>
      <c r="O27">
        <v>0</v>
      </c>
      <c r="P27">
        <v>6</v>
      </c>
      <c r="Q27" t="s">
        <v>31</v>
      </c>
      <c r="R27">
        <v>120</v>
      </c>
      <c r="S27">
        <v>24</v>
      </c>
      <c r="T27" t="s">
        <v>63</v>
      </c>
      <c r="U27" t="s">
        <v>31</v>
      </c>
      <c r="V27">
        <v>2026</v>
      </c>
      <c r="W27">
        <v>4</v>
      </c>
      <c r="X27" t="s">
        <v>1412</v>
      </c>
      <c r="Y27" s="6">
        <v>46113</v>
      </c>
      <c r="Z27" t="s">
        <v>1413</v>
      </c>
      <c r="AA27" t="s">
        <v>31</v>
      </c>
      <c r="AB27" t="s">
        <v>63</v>
      </c>
      <c r="AC27" t="s">
        <v>23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0</v>
      </c>
    </row>
    <row r="28" spans="1:36">
      <c r="A28" t="s">
        <v>94</v>
      </c>
      <c r="B28">
        <v>28.27</v>
      </c>
      <c r="C28" s="7">
        <v>46250.505555555559</v>
      </c>
      <c r="D28" s="7">
        <v>46251.683662905096</v>
      </c>
      <c r="E28" t="s">
        <v>23</v>
      </c>
      <c r="F28" t="s">
        <v>50</v>
      </c>
      <c r="G28" t="s">
        <v>25</v>
      </c>
      <c r="H28" t="s">
        <v>26</v>
      </c>
      <c r="I28" t="s">
        <v>27</v>
      </c>
      <c r="J28" t="s">
        <v>36</v>
      </c>
      <c r="K28" t="s">
        <v>37</v>
      </c>
      <c r="L28" t="s">
        <v>68</v>
      </c>
      <c r="M28">
        <v>139</v>
      </c>
      <c r="N28">
        <v>4</v>
      </c>
      <c r="O28">
        <v>0</v>
      </c>
      <c r="P28">
        <v>4</v>
      </c>
      <c r="Q28" t="s">
        <v>31</v>
      </c>
      <c r="R28">
        <v>120</v>
      </c>
      <c r="S28">
        <v>24</v>
      </c>
      <c r="T28" t="s">
        <v>31</v>
      </c>
      <c r="U28" t="s">
        <v>31</v>
      </c>
      <c r="V28">
        <v>2026</v>
      </c>
      <c r="W28">
        <v>8</v>
      </c>
      <c r="X28" t="s">
        <v>1417</v>
      </c>
      <c r="Y28" s="6">
        <v>46235</v>
      </c>
      <c r="Z28" t="s">
        <v>1413</v>
      </c>
      <c r="AA28" t="s">
        <v>31</v>
      </c>
      <c r="AB28" t="s">
        <v>63</v>
      </c>
      <c r="AC28" t="s">
        <v>23</v>
      </c>
      <c r="AD28">
        <v>1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95</v>
      </c>
      <c r="B29">
        <v>3.38</v>
      </c>
      <c r="C29" s="7">
        <v>46256.94027777778</v>
      </c>
      <c r="D29" s="7">
        <v>46257.081050775465</v>
      </c>
      <c r="E29" t="s">
        <v>23</v>
      </c>
      <c r="F29" t="s">
        <v>24</v>
      </c>
      <c r="G29" t="s">
        <v>65</v>
      </c>
      <c r="H29" t="s">
        <v>66</v>
      </c>
      <c r="I29" t="s">
        <v>35</v>
      </c>
      <c r="J29" t="s">
        <v>36</v>
      </c>
      <c r="K29" t="s">
        <v>29</v>
      </c>
      <c r="L29" t="s">
        <v>68</v>
      </c>
      <c r="M29">
        <v>16</v>
      </c>
      <c r="N29">
        <v>4</v>
      </c>
      <c r="O29">
        <v>1</v>
      </c>
      <c r="P29">
        <v>10</v>
      </c>
      <c r="Q29" t="s">
        <v>31</v>
      </c>
      <c r="R29">
        <v>15</v>
      </c>
      <c r="S29">
        <v>4</v>
      </c>
      <c r="T29" t="s">
        <v>31</v>
      </c>
      <c r="U29" t="s">
        <v>63</v>
      </c>
      <c r="V29">
        <v>2026</v>
      </c>
      <c r="W29">
        <v>8</v>
      </c>
      <c r="X29" t="s">
        <v>1417</v>
      </c>
      <c r="Y29" s="6">
        <v>46235</v>
      </c>
      <c r="Z29" t="s">
        <v>1413</v>
      </c>
      <c r="AA29" t="s">
        <v>63</v>
      </c>
      <c r="AB29" t="s">
        <v>63</v>
      </c>
      <c r="AC29" t="s">
        <v>23</v>
      </c>
      <c r="AD29">
        <v>1</v>
      </c>
      <c r="AE29">
        <v>0</v>
      </c>
      <c r="AF29">
        <v>1</v>
      </c>
      <c r="AG29">
        <v>1</v>
      </c>
      <c r="AH29">
        <v>0</v>
      </c>
      <c r="AI29">
        <v>0</v>
      </c>
      <c r="AJ29">
        <v>1</v>
      </c>
    </row>
    <row r="30" spans="1:36">
      <c r="A30" t="s">
        <v>96</v>
      </c>
      <c r="B30">
        <v>23.37</v>
      </c>
      <c r="C30" s="7">
        <v>46148.033333333333</v>
      </c>
      <c r="D30" s="7">
        <v>46149.00704679398</v>
      </c>
      <c r="E30" t="s">
        <v>23</v>
      </c>
      <c r="F30" t="s">
        <v>50</v>
      </c>
      <c r="G30" t="s">
        <v>51</v>
      </c>
      <c r="H30" t="s">
        <v>26</v>
      </c>
      <c r="I30" t="s">
        <v>35</v>
      </c>
      <c r="J30" t="s">
        <v>28</v>
      </c>
      <c r="K30" t="s">
        <v>67</v>
      </c>
      <c r="L30" t="s">
        <v>38</v>
      </c>
      <c r="M30">
        <v>182</v>
      </c>
      <c r="N30">
        <v>3</v>
      </c>
      <c r="O30">
        <v>0</v>
      </c>
      <c r="P30">
        <v>6</v>
      </c>
      <c r="Q30" t="s">
        <v>31</v>
      </c>
      <c r="R30">
        <v>120</v>
      </c>
      <c r="S30">
        <v>24</v>
      </c>
      <c r="T30" t="s">
        <v>31</v>
      </c>
      <c r="U30" t="s">
        <v>63</v>
      </c>
      <c r="V30">
        <v>2026</v>
      </c>
      <c r="W30">
        <v>5</v>
      </c>
      <c r="X30" t="s">
        <v>1416</v>
      </c>
      <c r="Y30" s="6">
        <v>46143</v>
      </c>
      <c r="Z30" t="s">
        <v>1418</v>
      </c>
      <c r="AA30" t="s">
        <v>31</v>
      </c>
      <c r="AB30" t="s">
        <v>63</v>
      </c>
      <c r="AC30" t="s">
        <v>23</v>
      </c>
      <c r="AD30">
        <v>1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1</v>
      </c>
    </row>
    <row r="31" spans="1:36">
      <c r="A31" t="s">
        <v>97</v>
      </c>
      <c r="B31">
        <v>62.68</v>
      </c>
      <c r="C31" s="7">
        <v>46093.719444444447</v>
      </c>
      <c r="D31" s="7">
        <v>46096.331203333335</v>
      </c>
      <c r="E31" t="s">
        <v>23</v>
      </c>
      <c r="F31" t="s">
        <v>33</v>
      </c>
      <c r="G31" t="s">
        <v>51</v>
      </c>
      <c r="H31" t="s">
        <v>54</v>
      </c>
      <c r="I31" t="s">
        <v>27</v>
      </c>
      <c r="J31" t="s">
        <v>36</v>
      </c>
      <c r="K31" t="s">
        <v>37</v>
      </c>
      <c r="L31" t="s">
        <v>93</v>
      </c>
      <c r="M31">
        <v>96</v>
      </c>
      <c r="N31">
        <v>4</v>
      </c>
      <c r="O31">
        <v>0</v>
      </c>
      <c r="P31">
        <v>6</v>
      </c>
      <c r="Q31" t="s">
        <v>31</v>
      </c>
      <c r="R31">
        <v>240</v>
      </c>
      <c r="S31">
        <v>48</v>
      </c>
      <c r="T31" t="s">
        <v>63</v>
      </c>
      <c r="U31" t="s">
        <v>31</v>
      </c>
      <c r="V31">
        <v>2026</v>
      </c>
      <c r="W31">
        <v>3</v>
      </c>
      <c r="X31" t="s">
        <v>1423</v>
      </c>
      <c r="Y31" s="6">
        <v>46082</v>
      </c>
      <c r="Z31" t="s">
        <v>1413</v>
      </c>
      <c r="AA31" t="s">
        <v>31</v>
      </c>
      <c r="AB31" t="s">
        <v>63</v>
      </c>
      <c r="AC31" t="s">
        <v>23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1</v>
      </c>
      <c r="AJ31">
        <v>0</v>
      </c>
    </row>
    <row r="32" spans="1:36">
      <c r="A32" t="s">
        <v>98</v>
      </c>
      <c r="B32">
        <v>4.3499999999999996</v>
      </c>
      <c r="C32" s="7">
        <v>46137.356249999997</v>
      </c>
      <c r="D32" s="7">
        <v>46137.53742990741</v>
      </c>
      <c r="E32" t="s">
        <v>23</v>
      </c>
      <c r="F32" t="s">
        <v>24</v>
      </c>
      <c r="G32" t="s">
        <v>51</v>
      </c>
      <c r="H32" t="s">
        <v>26</v>
      </c>
      <c r="I32" t="s">
        <v>35</v>
      </c>
      <c r="J32" t="s">
        <v>48</v>
      </c>
      <c r="K32" t="s">
        <v>58</v>
      </c>
      <c r="L32" t="s">
        <v>68</v>
      </c>
      <c r="M32">
        <v>25</v>
      </c>
      <c r="N32">
        <v>5</v>
      </c>
      <c r="O32">
        <v>0</v>
      </c>
      <c r="P32">
        <v>3</v>
      </c>
      <c r="Q32" t="s">
        <v>31</v>
      </c>
      <c r="R32">
        <v>15</v>
      </c>
      <c r="S32">
        <v>4</v>
      </c>
      <c r="T32" t="s">
        <v>31</v>
      </c>
      <c r="U32" t="s">
        <v>31</v>
      </c>
      <c r="V32">
        <v>2026</v>
      </c>
      <c r="W32">
        <v>4</v>
      </c>
      <c r="X32" t="s">
        <v>1412</v>
      </c>
      <c r="Y32" s="6">
        <v>46113</v>
      </c>
      <c r="Z32" t="s">
        <v>1413</v>
      </c>
      <c r="AA32" t="s">
        <v>31</v>
      </c>
      <c r="AB32" t="s">
        <v>63</v>
      </c>
      <c r="AC32" t="s">
        <v>23</v>
      </c>
      <c r="AD32">
        <v>1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99</v>
      </c>
      <c r="B33">
        <v>33.04</v>
      </c>
      <c r="C33" s="7">
        <v>46057.327777777777</v>
      </c>
      <c r="D33" s="7">
        <v>46058.704548946756</v>
      </c>
      <c r="E33" t="s">
        <v>23</v>
      </c>
      <c r="F33" t="s">
        <v>33</v>
      </c>
      <c r="G33" t="s">
        <v>25</v>
      </c>
      <c r="H33" t="s">
        <v>54</v>
      </c>
      <c r="I33" t="s">
        <v>35</v>
      </c>
      <c r="J33" t="s">
        <v>43</v>
      </c>
      <c r="K33" t="s">
        <v>58</v>
      </c>
      <c r="L33" t="s">
        <v>101</v>
      </c>
      <c r="M33">
        <v>415</v>
      </c>
      <c r="N33">
        <v>3</v>
      </c>
      <c r="O33">
        <v>0</v>
      </c>
      <c r="P33">
        <v>7</v>
      </c>
      <c r="Q33" t="s">
        <v>63</v>
      </c>
      <c r="R33">
        <v>240</v>
      </c>
      <c r="S33">
        <v>48</v>
      </c>
      <c r="T33" t="s">
        <v>31</v>
      </c>
      <c r="U33" t="s">
        <v>63</v>
      </c>
      <c r="V33">
        <v>2026</v>
      </c>
      <c r="W33">
        <v>2</v>
      </c>
      <c r="X33" t="s">
        <v>1419</v>
      </c>
      <c r="Y33" s="6">
        <v>46054</v>
      </c>
      <c r="Z33" t="s">
        <v>1418</v>
      </c>
      <c r="AA33" t="s">
        <v>31</v>
      </c>
      <c r="AB33" t="s">
        <v>63</v>
      </c>
      <c r="AC33" t="s">
        <v>23</v>
      </c>
      <c r="AD33">
        <v>1</v>
      </c>
      <c r="AE33">
        <v>0</v>
      </c>
      <c r="AF33">
        <v>1</v>
      </c>
      <c r="AG33">
        <v>0</v>
      </c>
      <c r="AH33">
        <v>1</v>
      </c>
      <c r="AI33">
        <v>0</v>
      </c>
      <c r="AJ33">
        <v>1</v>
      </c>
    </row>
    <row r="34" spans="1:36">
      <c r="A34" t="s">
        <v>102</v>
      </c>
      <c r="B34">
        <v>55.89</v>
      </c>
      <c r="C34" s="7">
        <v>46167.363888888889</v>
      </c>
      <c r="D34" s="7">
        <v>46169.692807604166</v>
      </c>
      <c r="E34" t="s">
        <v>23</v>
      </c>
      <c r="F34" t="s">
        <v>33</v>
      </c>
      <c r="G34" t="s">
        <v>25</v>
      </c>
      <c r="H34" t="s">
        <v>54</v>
      </c>
      <c r="I34" t="s">
        <v>27</v>
      </c>
      <c r="J34" t="s">
        <v>43</v>
      </c>
      <c r="K34" t="s">
        <v>37</v>
      </c>
      <c r="L34" t="s">
        <v>68</v>
      </c>
      <c r="M34">
        <v>262</v>
      </c>
      <c r="N34">
        <v>3</v>
      </c>
      <c r="O34">
        <v>0</v>
      </c>
      <c r="P34">
        <v>6</v>
      </c>
      <c r="Q34" t="s">
        <v>31</v>
      </c>
      <c r="R34">
        <v>240</v>
      </c>
      <c r="S34">
        <v>48</v>
      </c>
      <c r="T34" t="s">
        <v>31</v>
      </c>
      <c r="U34" t="s">
        <v>31</v>
      </c>
      <c r="V34">
        <v>2026</v>
      </c>
      <c r="W34">
        <v>5</v>
      </c>
      <c r="X34" t="s">
        <v>1416</v>
      </c>
      <c r="Y34" s="6">
        <v>46143</v>
      </c>
      <c r="Z34" t="s">
        <v>1418</v>
      </c>
      <c r="AA34" t="s">
        <v>31</v>
      </c>
      <c r="AB34" t="s">
        <v>63</v>
      </c>
      <c r="AC34" t="s">
        <v>23</v>
      </c>
      <c r="AD34">
        <v>1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103</v>
      </c>
      <c r="B35">
        <v>35.1</v>
      </c>
      <c r="C35" s="7">
        <v>46059.182638888888</v>
      </c>
      <c r="D35" s="7">
        <v>46060.645317905095</v>
      </c>
      <c r="E35" t="s">
        <v>23</v>
      </c>
      <c r="F35" t="s">
        <v>50</v>
      </c>
      <c r="G35" t="s">
        <v>51</v>
      </c>
      <c r="H35" t="s">
        <v>75</v>
      </c>
      <c r="I35" t="s">
        <v>27</v>
      </c>
      <c r="J35" t="s">
        <v>36</v>
      </c>
      <c r="K35" t="s">
        <v>67</v>
      </c>
      <c r="L35" t="s">
        <v>85</v>
      </c>
      <c r="M35">
        <v>61</v>
      </c>
      <c r="N35">
        <v>3</v>
      </c>
      <c r="O35">
        <v>1</v>
      </c>
      <c r="P35">
        <v>5</v>
      </c>
      <c r="Q35" t="s">
        <v>31</v>
      </c>
      <c r="R35">
        <v>120</v>
      </c>
      <c r="S35">
        <v>24</v>
      </c>
      <c r="T35" t="s">
        <v>63</v>
      </c>
      <c r="U35" t="s">
        <v>31</v>
      </c>
      <c r="V35">
        <v>2026</v>
      </c>
      <c r="W35">
        <v>2</v>
      </c>
      <c r="X35" t="s">
        <v>1419</v>
      </c>
      <c r="Y35" s="6">
        <v>46054</v>
      </c>
      <c r="Z35" t="s">
        <v>1418</v>
      </c>
      <c r="AA35" t="s">
        <v>63</v>
      </c>
      <c r="AB35" t="s">
        <v>63</v>
      </c>
      <c r="AC35" t="s">
        <v>23</v>
      </c>
      <c r="AD35">
        <v>1</v>
      </c>
      <c r="AE35">
        <v>0</v>
      </c>
      <c r="AF35">
        <v>1</v>
      </c>
      <c r="AG35">
        <v>1</v>
      </c>
      <c r="AH35">
        <v>0</v>
      </c>
      <c r="AI35">
        <v>1</v>
      </c>
      <c r="AJ35">
        <v>0</v>
      </c>
    </row>
    <row r="36" spans="1:36">
      <c r="A36" t="s">
        <v>104</v>
      </c>
      <c r="B36">
        <v>22.17</v>
      </c>
      <c r="C36" s="7">
        <v>46110.943749999999</v>
      </c>
      <c r="D36" s="7">
        <v>46111.867542256943</v>
      </c>
      <c r="E36" t="s">
        <v>23</v>
      </c>
      <c r="F36" t="s">
        <v>1402</v>
      </c>
      <c r="G36" t="s">
        <v>25</v>
      </c>
      <c r="H36" t="s">
        <v>26</v>
      </c>
      <c r="I36" t="s">
        <v>42</v>
      </c>
      <c r="J36" t="s">
        <v>43</v>
      </c>
      <c r="K36" t="s">
        <v>52</v>
      </c>
      <c r="L36" t="s">
        <v>85</v>
      </c>
      <c r="M36">
        <v>256</v>
      </c>
      <c r="N36">
        <v>4</v>
      </c>
      <c r="O36">
        <v>0</v>
      </c>
      <c r="P36">
        <v>3</v>
      </c>
      <c r="Q36" t="s">
        <v>31</v>
      </c>
      <c r="V36">
        <v>2026</v>
      </c>
      <c r="W36">
        <v>3</v>
      </c>
      <c r="X36" t="s">
        <v>1423</v>
      </c>
      <c r="Y36" s="6">
        <v>46082</v>
      </c>
      <c r="Z36" t="s">
        <v>1413</v>
      </c>
      <c r="AA36" t="s">
        <v>31</v>
      </c>
      <c r="AB36" t="s">
        <v>63</v>
      </c>
      <c r="AC36" t="s">
        <v>23</v>
      </c>
      <c r="AD36">
        <v>1</v>
      </c>
      <c r="AE36">
        <v>0</v>
      </c>
      <c r="AF36">
        <v>1</v>
      </c>
      <c r="AG36">
        <v>0</v>
      </c>
      <c r="AH36">
        <v>0</v>
      </c>
    </row>
    <row r="37" spans="1:36">
      <c r="A37" t="s">
        <v>105</v>
      </c>
      <c r="B37">
        <v>29.1</v>
      </c>
      <c r="C37" s="7">
        <v>46174.333333333336</v>
      </c>
      <c r="D37" s="7">
        <v>46175.545722106479</v>
      </c>
      <c r="E37" t="s">
        <v>23</v>
      </c>
      <c r="F37" t="s">
        <v>33</v>
      </c>
      <c r="G37" t="s">
        <v>51</v>
      </c>
      <c r="H37" t="s">
        <v>34</v>
      </c>
      <c r="I37" t="s">
        <v>42</v>
      </c>
      <c r="J37" t="s">
        <v>36</v>
      </c>
      <c r="K37" t="s">
        <v>52</v>
      </c>
      <c r="L37" t="s">
        <v>101</v>
      </c>
      <c r="M37">
        <v>387</v>
      </c>
      <c r="N37">
        <v>3</v>
      </c>
      <c r="O37">
        <v>0</v>
      </c>
      <c r="P37">
        <v>3</v>
      </c>
      <c r="Q37" t="s">
        <v>31</v>
      </c>
      <c r="R37">
        <v>240</v>
      </c>
      <c r="S37">
        <v>48</v>
      </c>
      <c r="T37" t="s">
        <v>31</v>
      </c>
      <c r="U37" t="s">
        <v>63</v>
      </c>
      <c r="V37">
        <v>2026</v>
      </c>
      <c r="W37">
        <v>6</v>
      </c>
      <c r="X37" t="s">
        <v>1421</v>
      </c>
      <c r="Y37" s="6">
        <v>46174</v>
      </c>
      <c r="Z37" t="s">
        <v>1418</v>
      </c>
      <c r="AA37" t="s">
        <v>31</v>
      </c>
      <c r="AB37" t="s">
        <v>63</v>
      </c>
      <c r="AC37" t="s">
        <v>23</v>
      </c>
      <c r="AD37">
        <v>1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1</v>
      </c>
    </row>
    <row r="38" spans="1:36">
      <c r="A38" t="s">
        <v>106</v>
      </c>
      <c r="B38">
        <v>44.74</v>
      </c>
      <c r="C38" s="7">
        <v>46113.420138888891</v>
      </c>
      <c r="D38" s="7">
        <v>46115.284490439815</v>
      </c>
      <c r="E38" t="s">
        <v>23</v>
      </c>
      <c r="F38" t="s">
        <v>33</v>
      </c>
      <c r="G38" t="s">
        <v>65</v>
      </c>
      <c r="H38" t="s">
        <v>34</v>
      </c>
      <c r="I38" t="s">
        <v>42</v>
      </c>
      <c r="J38" t="s">
        <v>36</v>
      </c>
      <c r="K38" t="s">
        <v>52</v>
      </c>
      <c r="L38" t="s">
        <v>93</v>
      </c>
      <c r="M38">
        <v>98</v>
      </c>
      <c r="N38">
        <v>3</v>
      </c>
      <c r="O38">
        <v>0</v>
      </c>
      <c r="P38">
        <v>2</v>
      </c>
      <c r="Q38" t="s">
        <v>31</v>
      </c>
      <c r="R38">
        <v>240</v>
      </c>
      <c r="S38">
        <v>48</v>
      </c>
      <c r="T38" t="s">
        <v>63</v>
      </c>
      <c r="U38" t="s">
        <v>63</v>
      </c>
      <c r="V38">
        <v>2026</v>
      </c>
      <c r="W38">
        <v>4</v>
      </c>
      <c r="X38" t="s">
        <v>1412</v>
      </c>
      <c r="Y38" s="6">
        <v>46113</v>
      </c>
      <c r="Z38" t="s">
        <v>1418</v>
      </c>
      <c r="AA38" t="s">
        <v>31</v>
      </c>
      <c r="AB38" t="s">
        <v>63</v>
      </c>
      <c r="AC38" t="s">
        <v>23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1</v>
      </c>
      <c r="AJ38">
        <v>1</v>
      </c>
    </row>
    <row r="39" spans="1:36">
      <c r="A39" t="s">
        <v>107</v>
      </c>
      <c r="B39">
        <v>21.35</v>
      </c>
      <c r="C39" s="7">
        <v>46060.416666666664</v>
      </c>
      <c r="D39" s="7">
        <v>46061.30623321759</v>
      </c>
      <c r="E39" t="s">
        <v>23</v>
      </c>
      <c r="F39" t="s">
        <v>33</v>
      </c>
      <c r="G39" t="s">
        <v>25</v>
      </c>
      <c r="H39" t="s">
        <v>26</v>
      </c>
      <c r="I39" t="s">
        <v>35</v>
      </c>
      <c r="J39" t="s">
        <v>28</v>
      </c>
      <c r="K39" t="s">
        <v>37</v>
      </c>
      <c r="L39" t="s">
        <v>85</v>
      </c>
      <c r="M39">
        <v>157</v>
      </c>
      <c r="N39">
        <v>4</v>
      </c>
      <c r="O39">
        <v>0</v>
      </c>
      <c r="P39">
        <v>4</v>
      </c>
      <c r="Q39" t="s">
        <v>31</v>
      </c>
      <c r="R39">
        <v>240</v>
      </c>
      <c r="S39">
        <v>48</v>
      </c>
      <c r="T39" t="s">
        <v>63</v>
      </c>
      <c r="U39" t="s">
        <v>63</v>
      </c>
      <c r="V39">
        <v>2026</v>
      </c>
      <c r="W39">
        <v>2</v>
      </c>
      <c r="X39" t="s">
        <v>1419</v>
      </c>
      <c r="Y39" s="6">
        <v>46054</v>
      </c>
      <c r="Z39" t="s">
        <v>1413</v>
      </c>
      <c r="AA39" t="s">
        <v>31</v>
      </c>
      <c r="AB39" t="s">
        <v>63</v>
      </c>
      <c r="AC39" t="s">
        <v>23</v>
      </c>
      <c r="AD39">
        <v>1</v>
      </c>
      <c r="AE39">
        <v>0</v>
      </c>
      <c r="AF39">
        <v>1</v>
      </c>
      <c r="AG39">
        <v>0</v>
      </c>
      <c r="AH39">
        <v>0</v>
      </c>
      <c r="AI39">
        <v>1</v>
      </c>
      <c r="AJ39">
        <v>1</v>
      </c>
    </row>
    <row r="40" spans="1:36">
      <c r="A40" t="s">
        <v>108</v>
      </c>
      <c r="B40">
        <v>38.44</v>
      </c>
      <c r="C40" s="7">
        <v>46227.442361111112</v>
      </c>
      <c r="D40" s="7">
        <v>46229.044071805554</v>
      </c>
      <c r="E40" t="s">
        <v>23</v>
      </c>
      <c r="F40" t="s">
        <v>33</v>
      </c>
      <c r="G40" t="s">
        <v>41</v>
      </c>
      <c r="H40" t="s">
        <v>75</v>
      </c>
      <c r="I40" t="s">
        <v>35</v>
      </c>
      <c r="J40" t="s">
        <v>36</v>
      </c>
      <c r="K40" t="s">
        <v>58</v>
      </c>
      <c r="L40" t="s">
        <v>93</v>
      </c>
      <c r="M40">
        <v>166</v>
      </c>
      <c r="N40">
        <v>2</v>
      </c>
      <c r="O40">
        <v>3</v>
      </c>
      <c r="P40">
        <v>10</v>
      </c>
      <c r="Q40" t="s">
        <v>31</v>
      </c>
      <c r="R40">
        <v>240</v>
      </c>
      <c r="S40">
        <v>48</v>
      </c>
      <c r="T40" t="s">
        <v>63</v>
      </c>
      <c r="U40" t="s">
        <v>63</v>
      </c>
      <c r="V40">
        <v>2026</v>
      </c>
      <c r="W40">
        <v>7</v>
      </c>
      <c r="X40" t="s">
        <v>1422</v>
      </c>
      <c r="Y40" s="6">
        <v>46204</v>
      </c>
      <c r="Z40" t="s">
        <v>1415</v>
      </c>
      <c r="AA40" t="s">
        <v>63</v>
      </c>
      <c r="AB40" t="s">
        <v>63</v>
      </c>
      <c r="AC40" t="s">
        <v>23</v>
      </c>
      <c r="AD40">
        <v>1</v>
      </c>
      <c r="AE40">
        <v>0</v>
      </c>
      <c r="AF40">
        <v>1</v>
      </c>
      <c r="AG40">
        <v>1</v>
      </c>
      <c r="AH40">
        <v>0</v>
      </c>
      <c r="AI40">
        <v>1</v>
      </c>
      <c r="AJ40">
        <v>1</v>
      </c>
    </row>
    <row r="41" spans="1:36">
      <c r="A41" t="s">
        <v>109</v>
      </c>
      <c r="B41">
        <v>92.89</v>
      </c>
      <c r="C41" s="7">
        <v>46026.068055555559</v>
      </c>
      <c r="D41" s="7">
        <v>46029.938369895834</v>
      </c>
      <c r="E41" t="s">
        <v>23</v>
      </c>
      <c r="F41" t="s">
        <v>33</v>
      </c>
      <c r="G41" t="s">
        <v>25</v>
      </c>
      <c r="H41" t="s">
        <v>54</v>
      </c>
      <c r="I41" t="s">
        <v>42</v>
      </c>
      <c r="J41" t="s">
        <v>36</v>
      </c>
      <c r="K41" t="s">
        <v>58</v>
      </c>
      <c r="L41" t="s">
        <v>68</v>
      </c>
      <c r="M41">
        <v>224</v>
      </c>
      <c r="N41">
        <v>3</v>
      </c>
      <c r="O41">
        <v>0</v>
      </c>
      <c r="P41">
        <v>9</v>
      </c>
      <c r="Q41" t="s">
        <v>63</v>
      </c>
      <c r="R41">
        <v>240</v>
      </c>
      <c r="S41">
        <v>48</v>
      </c>
      <c r="T41" t="s">
        <v>63</v>
      </c>
      <c r="U41" t="s">
        <v>31</v>
      </c>
      <c r="V41">
        <v>2026</v>
      </c>
      <c r="W41">
        <v>1</v>
      </c>
      <c r="X41" t="s">
        <v>1414</v>
      </c>
      <c r="Y41" s="6">
        <v>46023</v>
      </c>
      <c r="Z41" t="s">
        <v>1418</v>
      </c>
      <c r="AA41" t="s">
        <v>31</v>
      </c>
      <c r="AB41" t="s">
        <v>63</v>
      </c>
      <c r="AC41" t="s">
        <v>23</v>
      </c>
      <c r="AD41">
        <v>1</v>
      </c>
      <c r="AE41">
        <v>0</v>
      </c>
      <c r="AF41">
        <v>1</v>
      </c>
      <c r="AG41">
        <v>0</v>
      </c>
      <c r="AH41">
        <v>1</v>
      </c>
      <c r="AI41">
        <v>1</v>
      </c>
      <c r="AJ41">
        <v>0</v>
      </c>
    </row>
    <row r="42" spans="1:36">
      <c r="A42" t="s">
        <v>111</v>
      </c>
      <c r="B42">
        <v>37.380000000000003</v>
      </c>
      <c r="C42" s="7">
        <v>46084.602777777778</v>
      </c>
      <c r="D42" s="7">
        <v>46086.16028974537</v>
      </c>
      <c r="E42" t="s">
        <v>23</v>
      </c>
      <c r="F42" t="s">
        <v>33</v>
      </c>
      <c r="G42" t="s">
        <v>25</v>
      </c>
      <c r="H42" t="s">
        <v>54</v>
      </c>
      <c r="I42" t="s">
        <v>35</v>
      </c>
      <c r="J42" t="s">
        <v>48</v>
      </c>
      <c r="K42" t="s">
        <v>37</v>
      </c>
      <c r="L42" t="s">
        <v>85</v>
      </c>
      <c r="M42">
        <v>198</v>
      </c>
      <c r="N42">
        <v>3</v>
      </c>
      <c r="O42">
        <v>0</v>
      </c>
      <c r="P42">
        <v>6</v>
      </c>
      <c r="Q42" t="s">
        <v>31</v>
      </c>
      <c r="R42">
        <v>240</v>
      </c>
      <c r="S42">
        <v>48</v>
      </c>
      <c r="T42" t="s">
        <v>63</v>
      </c>
      <c r="U42" t="s">
        <v>63</v>
      </c>
      <c r="V42">
        <v>2026</v>
      </c>
      <c r="W42">
        <v>3</v>
      </c>
      <c r="X42" t="s">
        <v>1423</v>
      </c>
      <c r="Y42" s="6">
        <v>46082</v>
      </c>
      <c r="Z42" t="s">
        <v>1418</v>
      </c>
      <c r="AA42" t="s">
        <v>31</v>
      </c>
      <c r="AB42" t="s">
        <v>63</v>
      </c>
      <c r="AC42" t="s">
        <v>23</v>
      </c>
      <c r="AD42">
        <v>1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1</v>
      </c>
    </row>
    <row r="43" spans="1:36">
      <c r="A43" t="s">
        <v>113</v>
      </c>
      <c r="B43">
        <v>20.61</v>
      </c>
      <c r="C43" s="7">
        <v>46137.975694444445</v>
      </c>
      <c r="D43" s="7">
        <v>46138.83430396991</v>
      </c>
      <c r="E43" t="s">
        <v>23</v>
      </c>
      <c r="F43" t="s">
        <v>50</v>
      </c>
      <c r="G43" t="s">
        <v>25</v>
      </c>
      <c r="H43" t="s">
        <v>26</v>
      </c>
      <c r="I43" t="s">
        <v>35</v>
      </c>
      <c r="J43" t="s">
        <v>28</v>
      </c>
      <c r="K43" t="s">
        <v>52</v>
      </c>
      <c r="L43" t="s">
        <v>1401</v>
      </c>
      <c r="M43">
        <v>107</v>
      </c>
      <c r="N43">
        <v>4</v>
      </c>
      <c r="O43">
        <v>0</v>
      </c>
      <c r="P43">
        <v>2</v>
      </c>
      <c r="Q43" t="s">
        <v>31</v>
      </c>
      <c r="R43">
        <v>120</v>
      </c>
      <c r="S43">
        <v>24</v>
      </c>
      <c r="T43" t="s">
        <v>63</v>
      </c>
      <c r="U43" t="s">
        <v>63</v>
      </c>
      <c r="V43">
        <v>2026</v>
      </c>
      <c r="W43">
        <v>4</v>
      </c>
      <c r="X43" t="s">
        <v>1412</v>
      </c>
      <c r="Y43" s="6">
        <v>46113</v>
      </c>
      <c r="Z43" t="s">
        <v>1413</v>
      </c>
      <c r="AA43" t="s">
        <v>31</v>
      </c>
      <c r="AB43" t="s">
        <v>63</v>
      </c>
      <c r="AC43" t="s">
        <v>23</v>
      </c>
      <c r="AD43">
        <v>1</v>
      </c>
      <c r="AE43">
        <v>0</v>
      </c>
      <c r="AF43">
        <v>1</v>
      </c>
      <c r="AG43">
        <v>0</v>
      </c>
      <c r="AH43">
        <v>0</v>
      </c>
      <c r="AI43">
        <v>1</v>
      </c>
      <c r="AJ43">
        <v>1</v>
      </c>
    </row>
    <row r="44" spans="1:36">
      <c r="A44" t="s">
        <v>114</v>
      </c>
      <c r="B44">
        <v>43.54</v>
      </c>
      <c r="C44" s="7">
        <v>46207.931944444441</v>
      </c>
      <c r="D44" s="7">
        <v>46209.746172951389</v>
      </c>
      <c r="E44" t="s">
        <v>23</v>
      </c>
      <c r="F44" t="s">
        <v>50</v>
      </c>
      <c r="G44" t="s">
        <v>65</v>
      </c>
      <c r="H44" t="s">
        <v>26</v>
      </c>
      <c r="I44" t="s">
        <v>35</v>
      </c>
      <c r="J44" t="s">
        <v>36</v>
      </c>
      <c r="K44" t="s">
        <v>37</v>
      </c>
      <c r="L44" t="s">
        <v>71</v>
      </c>
      <c r="M44">
        <v>76</v>
      </c>
      <c r="N44">
        <v>2</v>
      </c>
      <c r="O44">
        <v>2</v>
      </c>
      <c r="P44">
        <v>23</v>
      </c>
      <c r="Q44" t="s">
        <v>63</v>
      </c>
      <c r="R44">
        <v>120</v>
      </c>
      <c r="S44">
        <v>24</v>
      </c>
      <c r="T44" t="s">
        <v>63</v>
      </c>
      <c r="U44" t="s">
        <v>31</v>
      </c>
      <c r="V44">
        <v>2026</v>
      </c>
      <c r="W44">
        <v>7</v>
      </c>
      <c r="X44" t="s">
        <v>1422</v>
      </c>
      <c r="Y44" s="6">
        <v>46204</v>
      </c>
      <c r="Z44" t="s">
        <v>1415</v>
      </c>
      <c r="AA44" t="s">
        <v>63</v>
      </c>
      <c r="AB44" t="s">
        <v>63</v>
      </c>
      <c r="AC44" t="s">
        <v>23</v>
      </c>
      <c r="AD44">
        <v>1</v>
      </c>
      <c r="AE44">
        <v>0</v>
      </c>
      <c r="AF44">
        <v>1</v>
      </c>
      <c r="AG44">
        <v>1</v>
      </c>
      <c r="AH44">
        <v>1</v>
      </c>
      <c r="AI44">
        <v>1</v>
      </c>
      <c r="AJ44">
        <v>0</v>
      </c>
    </row>
    <row r="45" spans="1:36">
      <c r="A45" t="s">
        <v>115</v>
      </c>
      <c r="B45">
        <v>14.79</v>
      </c>
      <c r="C45" s="7">
        <v>46239.886805555558</v>
      </c>
      <c r="D45" s="7">
        <v>46240.503081076386</v>
      </c>
      <c r="E45" t="s">
        <v>23</v>
      </c>
      <c r="F45" t="s">
        <v>40</v>
      </c>
      <c r="G45" t="s">
        <v>41</v>
      </c>
      <c r="H45" t="s">
        <v>66</v>
      </c>
      <c r="I45" t="s">
        <v>27</v>
      </c>
      <c r="J45" t="s">
        <v>43</v>
      </c>
      <c r="K45" t="s">
        <v>58</v>
      </c>
      <c r="L45" t="s">
        <v>38</v>
      </c>
      <c r="M45">
        <v>36</v>
      </c>
      <c r="N45">
        <v>4</v>
      </c>
      <c r="O45">
        <v>0</v>
      </c>
      <c r="P45">
        <v>7</v>
      </c>
      <c r="Q45" t="s">
        <v>63</v>
      </c>
      <c r="R45">
        <v>30</v>
      </c>
      <c r="S45">
        <v>8</v>
      </c>
      <c r="T45" t="s">
        <v>31</v>
      </c>
      <c r="U45" t="s">
        <v>31</v>
      </c>
      <c r="V45">
        <v>2026</v>
      </c>
      <c r="W45">
        <v>8</v>
      </c>
      <c r="X45" t="s">
        <v>1417</v>
      </c>
      <c r="Y45" s="6">
        <v>46235</v>
      </c>
      <c r="Z45" t="s">
        <v>1413</v>
      </c>
      <c r="AA45" t="s">
        <v>31</v>
      </c>
      <c r="AB45" t="s">
        <v>63</v>
      </c>
      <c r="AC45" t="s">
        <v>23</v>
      </c>
      <c r="AD45">
        <v>1</v>
      </c>
      <c r="AE45">
        <v>0</v>
      </c>
      <c r="AF45">
        <v>1</v>
      </c>
      <c r="AG45">
        <v>0</v>
      </c>
      <c r="AH45">
        <v>1</v>
      </c>
      <c r="AI45">
        <v>0</v>
      </c>
      <c r="AJ45">
        <v>0</v>
      </c>
    </row>
    <row r="46" spans="1:36">
      <c r="A46" t="s">
        <v>116</v>
      </c>
      <c r="B46">
        <v>7.22</v>
      </c>
      <c r="C46" s="7">
        <v>46178.774305555555</v>
      </c>
      <c r="D46" s="7">
        <v>46179.075261192127</v>
      </c>
      <c r="E46" t="s">
        <v>23</v>
      </c>
      <c r="F46" t="s">
        <v>50</v>
      </c>
      <c r="G46" t="s">
        <v>25</v>
      </c>
      <c r="H46" t="s">
        <v>66</v>
      </c>
      <c r="I46" t="s">
        <v>35</v>
      </c>
      <c r="J46" t="s">
        <v>28</v>
      </c>
      <c r="K46" t="s">
        <v>37</v>
      </c>
      <c r="L46" t="s">
        <v>62</v>
      </c>
      <c r="M46">
        <v>117</v>
      </c>
      <c r="N46">
        <v>4</v>
      </c>
      <c r="O46">
        <v>0</v>
      </c>
      <c r="P46">
        <v>5</v>
      </c>
      <c r="Q46" t="s">
        <v>31</v>
      </c>
      <c r="R46">
        <v>120</v>
      </c>
      <c r="S46">
        <v>24</v>
      </c>
      <c r="T46" t="s">
        <v>63</v>
      </c>
      <c r="U46" t="s">
        <v>63</v>
      </c>
      <c r="V46">
        <v>2026</v>
      </c>
      <c r="W46">
        <v>6</v>
      </c>
      <c r="X46" t="s">
        <v>1421</v>
      </c>
      <c r="Y46" s="6">
        <v>46174</v>
      </c>
      <c r="Z46" t="s">
        <v>1413</v>
      </c>
      <c r="AA46" t="s">
        <v>31</v>
      </c>
      <c r="AB46" t="s">
        <v>63</v>
      </c>
      <c r="AC46" t="s">
        <v>23</v>
      </c>
      <c r="AD46">
        <v>1</v>
      </c>
      <c r="AE46">
        <v>0</v>
      </c>
      <c r="AF46">
        <v>1</v>
      </c>
      <c r="AG46">
        <v>0</v>
      </c>
      <c r="AH46">
        <v>0</v>
      </c>
      <c r="AI46">
        <v>1</v>
      </c>
      <c r="AJ46">
        <v>1</v>
      </c>
    </row>
    <row r="47" spans="1:36">
      <c r="A47" t="s">
        <v>117</v>
      </c>
      <c r="B47">
        <v>4.0999999999999996</v>
      </c>
      <c r="C47" s="7">
        <v>46169.974999999999</v>
      </c>
      <c r="D47" s="7">
        <v>46170.146039988424</v>
      </c>
      <c r="E47" t="s">
        <v>23</v>
      </c>
      <c r="F47" t="s">
        <v>24</v>
      </c>
      <c r="G47" t="s">
        <v>25</v>
      </c>
      <c r="H47" t="s">
        <v>26</v>
      </c>
      <c r="I47" t="s">
        <v>35</v>
      </c>
      <c r="J47" t="s">
        <v>48</v>
      </c>
      <c r="K47" t="s">
        <v>29</v>
      </c>
      <c r="L47" t="s">
        <v>62</v>
      </c>
      <c r="M47">
        <v>18</v>
      </c>
      <c r="N47">
        <v>4</v>
      </c>
      <c r="O47">
        <v>0</v>
      </c>
      <c r="P47">
        <v>6</v>
      </c>
      <c r="Q47" t="s">
        <v>31</v>
      </c>
      <c r="R47">
        <v>15</v>
      </c>
      <c r="S47">
        <v>4</v>
      </c>
      <c r="T47" t="s">
        <v>31</v>
      </c>
      <c r="U47" t="s">
        <v>31</v>
      </c>
      <c r="V47">
        <v>2026</v>
      </c>
      <c r="W47">
        <v>5</v>
      </c>
      <c r="X47" t="s">
        <v>1416</v>
      </c>
      <c r="Y47" s="6">
        <v>46143</v>
      </c>
      <c r="Z47" t="s">
        <v>1413</v>
      </c>
      <c r="AA47" t="s">
        <v>31</v>
      </c>
      <c r="AB47" t="s">
        <v>63</v>
      </c>
      <c r="AC47" t="s">
        <v>23</v>
      </c>
      <c r="AD47">
        <v>1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118</v>
      </c>
      <c r="B48">
        <v>24.21</v>
      </c>
      <c r="C48" s="7">
        <v>46172.529861111114</v>
      </c>
      <c r="D48" s="7">
        <v>46173.538497303241</v>
      </c>
      <c r="E48" t="s">
        <v>23</v>
      </c>
      <c r="F48" t="s">
        <v>33</v>
      </c>
      <c r="G48" t="s">
        <v>41</v>
      </c>
      <c r="H48" t="s">
        <v>34</v>
      </c>
      <c r="I48" t="s">
        <v>35</v>
      </c>
      <c r="J48" t="s">
        <v>36</v>
      </c>
      <c r="K48" t="s">
        <v>67</v>
      </c>
      <c r="L48" t="s">
        <v>93</v>
      </c>
      <c r="M48">
        <v>669</v>
      </c>
      <c r="N48">
        <v>3</v>
      </c>
      <c r="O48">
        <v>0</v>
      </c>
      <c r="P48">
        <v>7</v>
      </c>
      <c r="Q48" t="s">
        <v>31</v>
      </c>
      <c r="R48">
        <v>240</v>
      </c>
      <c r="S48">
        <v>48</v>
      </c>
      <c r="T48" t="s">
        <v>31</v>
      </c>
      <c r="U48" t="s">
        <v>63</v>
      </c>
      <c r="V48">
        <v>2026</v>
      </c>
      <c r="W48">
        <v>5</v>
      </c>
      <c r="X48" t="s">
        <v>1416</v>
      </c>
      <c r="Y48" s="6">
        <v>46143</v>
      </c>
      <c r="Z48" t="s">
        <v>1418</v>
      </c>
      <c r="AA48" t="s">
        <v>31</v>
      </c>
      <c r="AB48" t="s">
        <v>63</v>
      </c>
      <c r="AC48" t="s">
        <v>23</v>
      </c>
      <c r="AD48">
        <v>1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1</v>
      </c>
    </row>
    <row r="49" spans="1:36">
      <c r="A49" t="s">
        <v>119</v>
      </c>
      <c r="B49">
        <v>42.37</v>
      </c>
      <c r="C49" s="7">
        <v>46174.28402777778</v>
      </c>
      <c r="D49" s="7">
        <v>46176.049506493058</v>
      </c>
      <c r="E49" t="s">
        <v>23</v>
      </c>
      <c r="F49" t="s">
        <v>33</v>
      </c>
      <c r="G49" t="s">
        <v>65</v>
      </c>
      <c r="H49" t="s">
        <v>54</v>
      </c>
      <c r="I49" t="s">
        <v>35</v>
      </c>
      <c r="J49" t="s">
        <v>36</v>
      </c>
      <c r="K49" t="s">
        <v>58</v>
      </c>
      <c r="L49" t="s">
        <v>30</v>
      </c>
      <c r="M49">
        <v>170</v>
      </c>
      <c r="N49">
        <v>4</v>
      </c>
      <c r="O49">
        <v>0</v>
      </c>
      <c r="P49">
        <v>3</v>
      </c>
      <c r="Q49" t="s">
        <v>31</v>
      </c>
      <c r="R49">
        <v>240</v>
      </c>
      <c r="S49">
        <v>48</v>
      </c>
      <c r="T49" t="s">
        <v>63</v>
      </c>
      <c r="U49" t="s">
        <v>63</v>
      </c>
      <c r="V49">
        <v>2026</v>
      </c>
      <c r="W49">
        <v>6</v>
      </c>
      <c r="X49" t="s">
        <v>1421</v>
      </c>
      <c r="Y49" s="6">
        <v>46174</v>
      </c>
      <c r="Z49" t="s">
        <v>1413</v>
      </c>
      <c r="AA49" t="s">
        <v>31</v>
      </c>
      <c r="AB49" t="s">
        <v>63</v>
      </c>
      <c r="AC49" t="s">
        <v>23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1</v>
      </c>
      <c r="AJ49">
        <v>1</v>
      </c>
    </row>
    <row r="50" spans="1:36">
      <c r="A50" t="s">
        <v>121</v>
      </c>
      <c r="B50">
        <v>32.340000000000003</v>
      </c>
      <c r="C50" s="7">
        <v>46241.844444444447</v>
      </c>
      <c r="D50" s="7">
        <v>46243.192029988422</v>
      </c>
      <c r="E50" t="s">
        <v>23</v>
      </c>
      <c r="F50" t="s">
        <v>50</v>
      </c>
      <c r="G50" t="s">
        <v>25</v>
      </c>
      <c r="H50" t="s">
        <v>66</v>
      </c>
      <c r="I50" t="s">
        <v>27</v>
      </c>
      <c r="J50" t="s">
        <v>28</v>
      </c>
      <c r="K50" t="s">
        <v>67</v>
      </c>
      <c r="L50" t="s">
        <v>68</v>
      </c>
      <c r="M50">
        <v>140</v>
      </c>
      <c r="N50">
        <v>3</v>
      </c>
      <c r="O50">
        <v>2</v>
      </c>
      <c r="P50">
        <v>12</v>
      </c>
      <c r="Q50" t="s">
        <v>31</v>
      </c>
      <c r="R50">
        <v>120</v>
      </c>
      <c r="S50">
        <v>24</v>
      </c>
      <c r="T50" t="s">
        <v>31</v>
      </c>
      <c r="U50" t="s">
        <v>31</v>
      </c>
      <c r="V50">
        <v>2026</v>
      </c>
      <c r="W50">
        <v>8</v>
      </c>
      <c r="X50" t="s">
        <v>1417</v>
      </c>
      <c r="Y50" s="6">
        <v>46235</v>
      </c>
      <c r="Z50" t="s">
        <v>1418</v>
      </c>
      <c r="AA50" t="s">
        <v>63</v>
      </c>
      <c r="AB50" t="s">
        <v>63</v>
      </c>
      <c r="AC50" t="s">
        <v>23</v>
      </c>
      <c r="AD50">
        <v>1</v>
      </c>
      <c r="AE50">
        <v>0</v>
      </c>
      <c r="AF50">
        <v>1</v>
      </c>
      <c r="AG50">
        <v>1</v>
      </c>
      <c r="AH50">
        <v>0</v>
      </c>
      <c r="AI50">
        <v>0</v>
      </c>
      <c r="AJ50">
        <v>0</v>
      </c>
    </row>
    <row r="51" spans="1:36">
      <c r="A51" t="s">
        <v>122</v>
      </c>
      <c r="B51">
        <v>21.69</v>
      </c>
      <c r="C51" s="7">
        <v>46205.563888888886</v>
      </c>
      <c r="D51" s="7">
        <v>46206.467524444444</v>
      </c>
      <c r="E51" t="s">
        <v>23</v>
      </c>
      <c r="F51" t="s">
        <v>50</v>
      </c>
      <c r="G51" t="s">
        <v>65</v>
      </c>
      <c r="H51" t="s">
        <v>26</v>
      </c>
      <c r="I51" t="s">
        <v>42</v>
      </c>
      <c r="J51" t="s">
        <v>48</v>
      </c>
      <c r="K51" t="s">
        <v>37</v>
      </c>
      <c r="L51" t="s">
        <v>30</v>
      </c>
      <c r="M51">
        <v>97</v>
      </c>
      <c r="N51">
        <v>4</v>
      </c>
      <c r="O51">
        <v>0</v>
      </c>
      <c r="P51">
        <v>4</v>
      </c>
      <c r="Q51" t="s">
        <v>31</v>
      </c>
      <c r="R51">
        <v>120</v>
      </c>
      <c r="S51">
        <v>24</v>
      </c>
      <c r="T51" t="s">
        <v>63</v>
      </c>
      <c r="U51" t="s">
        <v>63</v>
      </c>
      <c r="V51">
        <v>2026</v>
      </c>
      <c r="W51">
        <v>7</v>
      </c>
      <c r="X51" t="s">
        <v>1422</v>
      </c>
      <c r="Y51" s="6">
        <v>46204</v>
      </c>
      <c r="Z51" t="s">
        <v>1413</v>
      </c>
      <c r="AA51" t="s">
        <v>31</v>
      </c>
      <c r="AB51" t="s">
        <v>63</v>
      </c>
      <c r="AC51" t="s">
        <v>23</v>
      </c>
      <c r="AD51">
        <v>1</v>
      </c>
      <c r="AE51">
        <v>0</v>
      </c>
      <c r="AF51">
        <v>1</v>
      </c>
      <c r="AG51">
        <v>0</v>
      </c>
      <c r="AH51">
        <v>0</v>
      </c>
      <c r="AI51">
        <v>1</v>
      </c>
      <c r="AJ51">
        <v>1</v>
      </c>
    </row>
    <row r="52" spans="1:36">
      <c r="A52" t="s">
        <v>123</v>
      </c>
      <c r="B52">
        <v>19.760000000000002</v>
      </c>
      <c r="C52" s="7">
        <v>46050.338888888888</v>
      </c>
      <c r="D52" s="7">
        <v>46051.162280590281</v>
      </c>
      <c r="E52" t="s">
        <v>23</v>
      </c>
      <c r="F52" t="s">
        <v>33</v>
      </c>
      <c r="G52" t="s">
        <v>51</v>
      </c>
      <c r="H52" t="s">
        <v>34</v>
      </c>
      <c r="I52" t="s">
        <v>27</v>
      </c>
      <c r="J52" t="s">
        <v>36</v>
      </c>
      <c r="K52" t="s">
        <v>52</v>
      </c>
      <c r="L52" t="s">
        <v>30</v>
      </c>
      <c r="M52">
        <v>337</v>
      </c>
      <c r="N52">
        <v>3</v>
      </c>
      <c r="O52">
        <v>0</v>
      </c>
      <c r="P52">
        <v>6</v>
      </c>
      <c r="Q52" t="s">
        <v>31</v>
      </c>
      <c r="R52">
        <v>240</v>
      </c>
      <c r="S52">
        <v>48</v>
      </c>
      <c r="T52" t="s">
        <v>31</v>
      </c>
      <c r="U52" t="s">
        <v>63</v>
      </c>
      <c r="V52">
        <v>2026</v>
      </c>
      <c r="W52">
        <v>1</v>
      </c>
      <c r="X52" t="s">
        <v>1414</v>
      </c>
      <c r="Y52" s="6">
        <v>46023</v>
      </c>
      <c r="Z52" t="s">
        <v>1418</v>
      </c>
      <c r="AA52" t="s">
        <v>31</v>
      </c>
      <c r="AB52" t="s">
        <v>63</v>
      </c>
      <c r="AC52" t="s">
        <v>23</v>
      </c>
      <c r="AD52">
        <v>1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1</v>
      </c>
    </row>
    <row r="53" spans="1:36">
      <c r="A53" t="s">
        <v>124</v>
      </c>
      <c r="B53">
        <v>30.86</v>
      </c>
      <c r="C53" s="7">
        <v>46178.447916666664</v>
      </c>
      <c r="D53" s="7">
        <v>46179.733760439813</v>
      </c>
      <c r="E53" t="s">
        <v>23</v>
      </c>
      <c r="F53" t="s">
        <v>50</v>
      </c>
      <c r="G53" t="s">
        <v>51</v>
      </c>
      <c r="H53" t="s">
        <v>54</v>
      </c>
      <c r="I53" t="s">
        <v>35</v>
      </c>
      <c r="J53" t="s">
        <v>28</v>
      </c>
      <c r="K53" t="s">
        <v>37</v>
      </c>
      <c r="L53" t="s">
        <v>93</v>
      </c>
      <c r="M53">
        <v>62</v>
      </c>
      <c r="N53">
        <v>4</v>
      </c>
      <c r="O53">
        <v>0</v>
      </c>
      <c r="P53">
        <v>5</v>
      </c>
      <c r="Q53" t="s">
        <v>31</v>
      </c>
      <c r="R53">
        <v>120</v>
      </c>
      <c r="S53">
        <v>24</v>
      </c>
      <c r="T53" t="s">
        <v>63</v>
      </c>
      <c r="U53" t="s">
        <v>31</v>
      </c>
      <c r="V53">
        <v>2026</v>
      </c>
      <c r="W53">
        <v>6</v>
      </c>
      <c r="X53" t="s">
        <v>1421</v>
      </c>
      <c r="Y53" s="6">
        <v>46174</v>
      </c>
      <c r="Z53" t="s">
        <v>1413</v>
      </c>
      <c r="AA53" t="s">
        <v>31</v>
      </c>
      <c r="AB53" t="s">
        <v>63</v>
      </c>
      <c r="AC53" t="s">
        <v>23</v>
      </c>
      <c r="AD53">
        <v>1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0</v>
      </c>
    </row>
    <row r="54" spans="1:36">
      <c r="A54" t="s">
        <v>126</v>
      </c>
      <c r="B54">
        <v>41.94</v>
      </c>
      <c r="C54" s="7">
        <v>46053.3</v>
      </c>
      <c r="D54" s="7">
        <v>46055.047403796299</v>
      </c>
      <c r="E54" t="s">
        <v>23</v>
      </c>
      <c r="F54" t="s">
        <v>50</v>
      </c>
      <c r="G54" t="s">
        <v>41</v>
      </c>
      <c r="H54" t="s">
        <v>75</v>
      </c>
      <c r="I54" t="s">
        <v>35</v>
      </c>
      <c r="J54" t="s">
        <v>43</v>
      </c>
      <c r="K54" t="s">
        <v>37</v>
      </c>
      <c r="L54" t="s">
        <v>62</v>
      </c>
      <c r="M54">
        <v>180</v>
      </c>
      <c r="N54">
        <v>4</v>
      </c>
      <c r="O54">
        <v>0</v>
      </c>
      <c r="P54">
        <v>3</v>
      </c>
      <c r="Q54" t="s">
        <v>31</v>
      </c>
      <c r="R54">
        <v>120</v>
      </c>
      <c r="S54">
        <v>24</v>
      </c>
      <c r="T54" t="s">
        <v>31</v>
      </c>
      <c r="U54" t="s">
        <v>31</v>
      </c>
      <c r="V54">
        <v>2026</v>
      </c>
      <c r="W54">
        <v>1</v>
      </c>
      <c r="X54" t="s">
        <v>1414</v>
      </c>
      <c r="Y54" s="6">
        <v>46023</v>
      </c>
      <c r="Z54" t="s">
        <v>1413</v>
      </c>
      <c r="AA54" t="s">
        <v>31</v>
      </c>
      <c r="AB54" t="s">
        <v>63</v>
      </c>
      <c r="AC54" t="s">
        <v>23</v>
      </c>
      <c r="AD54">
        <v>1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127</v>
      </c>
      <c r="B55">
        <v>19.260000000000002</v>
      </c>
      <c r="C55" s="7">
        <v>46163.47152777778</v>
      </c>
      <c r="D55" s="7">
        <v>46164.274175254628</v>
      </c>
      <c r="E55" t="s">
        <v>23</v>
      </c>
      <c r="F55" t="s">
        <v>40</v>
      </c>
      <c r="G55" t="s">
        <v>51</v>
      </c>
      <c r="H55" t="s">
        <v>26</v>
      </c>
      <c r="I55" t="s">
        <v>35</v>
      </c>
      <c r="J55" t="s">
        <v>43</v>
      </c>
      <c r="K55" t="s">
        <v>37</v>
      </c>
      <c r="L55" t="s">
        <v>85</v>
      </c>
      <c r="M55">
        <v>50</v>
      </c>
      <c r="N55">
        <v>4</v>
      </c>
      <c r="O55">
        <v>1</v>
      </c>
      <c r="P55">
        <v>7</v>
      </c>
      <c r="Q55" t="s">
        <v>31</v>
      </c>
      <c r="R55">
        <v>30</v>
      </c>
      <c r="S55">
        <v>8</v>
      </c>
      <c r="T55" t="s">
        <v>31</v>
      </c>
      <c r="U55" t="s">
        <v>31</v>
      </c>
      <c r="V55">
        <v>2026</v>
      </c>
      <c r="W55">
        <v>5</v>
      </c>
      <c r="X55" t="s">
        <v>1416</v>
      </c>
      <c r="Y55" s="6">
        <v>46143</v>
      </c>
      <c r="Z55" t="s">
        <v>1413</v>
      </c>
      <c r="AA55" t="s">
        <v>63</v>
      </c>
      <c r="AB55" t="s">
        <v>63</v>
      </c>
      <c r="AC55" t="s">
        <v>23</v>
      </c>
      <c r="AD55">
        <v>1</v>
      </c>
      <c r="AE55">
        <v>0</v>
      </c>
      <c r="AF55">
        <v>1</v>
      </c>
      <c r="AG55">
        <v>1</v>
      </c>
      <c r="AH55">
        <v>0</v>
      </c>
      <c r="AI55">
        <v>0</v>
      </c>
      <c r="AJ55">
        <v>0</v>
      </c>
    </row>
    <row r="56" spans="1:36">
      <c r="A56" t="s">
        <v>128</v>
      </c>
      <c r="B56">
        <v>52.94</v>
      </c>
      <c r="C56" s="7">
        <v>46231.449305555558</v>
      </c>
      <c r="D56" s="7">
        <v>46233.654955324077</v>
      </c>
      <c r="E56" t="s">
        <v>23</v>
      </c>
      <c r="F56" t="s">
        <v>33</v>
      </c>
      <c r="G56" t="s">
        <v>65</v>
      </c>
      <c r="H56" t="s">
        <v>75</v>
      </c>
      <c r="I56" t="s">
        <v>35</v>
      </c>
      <c r="J56" t="s">
        <v>43</v>
      </c>
      <c r="K56" t="s">
        <v>37</v>
      </c>
      <c r="L56" t="s">
        <v>101</v>
      </c>
      <c r="M56">
        <v>332</v>
      </c>
      <c r="N56">
        <v>3</v>
      </c>
      <c r="O56">
        <v>1</v>
      </c>
      <c r="P56">
        <v>7</v>
      </c>
      <c r="Q56" t="s">
        <v>31</v>
      </c>
      <c r="R56">
        <v>240</v>
      </c>
      <c r="S56">
        <v>48</v>
      </c>
      <c r="T56" t="s">
        <v>31</v>
      </c>
      <c r="U56" t="s">
        <v>31</v>
      </c>
      <c r="V56">
        <v>2026</v>
      </c>
      <c r="W56">
        <v>7</v>
      </c>
      <c r="X56" t="s">
        <v>1422</v>
      </c>
      <c r="Y56" s="6">
        <v>46204</v>
      </c>
      <c r="Z56" t="s">
        <v>1418</v>
      </c>
      <c r="AA56" t="s">
        <v>63</v>
      </c>
      <c r="AB56" t="s">
        <v>63</v>
      </c>
      <c r="AC56" t="s">
        <v>23</v>
      </c>
      <c r="AD56">
        <v>1</v>
      </c>
      <c r="AE56">
        <v>0</v>
      </c>
      <c r="AF56">
        <v>1</v>
      </c>
      <c r="AG56">
        <v>1</v>
      </c>
      <c r="AH56">
        <v>0</v>
      </c>
      <c r="AI56">
        <v>0</v>
      </c>
      <c r="AJ56">
        <v>0</v>
      </c>
    </row>
    <row r="57" spans="1:36">
      <c r="A57" t="s">
        <v>130</v>
      </c>
      <c r="B57">
        <v>41.93</v>
      </c>
      <c r="C57" s="7">
        <v>46162.783333333333</v>
      </c>
      <c r="D57" s="7">
        <v>46164.530506863426</v>
      </c>
      <c r="E57" t="s">
        <v>23</v>
      </c>
      <c r="F57" t="s">
        <v>50</v>
      </c>
      <c r="G57" t="s">
        <v>25</v>
      </c>
      <c r="H57" t="s">
        <v>26</v>
      </c>
      <c r="I57" t="s">
        <v>35</v>
      </c>
      <c r="J57" t="s">
        <v>48</v>
      </c>
      <c r="K57" t="s">
        <v>67</v>
      </c>
      <c r="L57" t="s">
        <v>93</v>
      </c>
      <c r="M57">
        <v>31</v>
      </c>
      <c r="N57">
        <v>3</v>
      </c>
      <c r="O57">
        <v>1</v>
      </c>
      <c r="P57">
        <v>15</v>
      </c>
      <c r="Q57" t="s">
        <v>63</v>
      </c>
      <c r="R57">
        <v>120</v>
      </c>
      <c r="S57">
        <v>24</v>
      </c>
      <c r="T57" t="s">
        <v>63</v>
      </c>
      <c r="U57" t="s">
        <v>31</v>
      </c>
      <c r="V57">
        <v>2026</v>
      </c>
      <c r="W57">
        <v>5</v>
      </c>
      <c r="X57" t="s">
        <v>1416</v>
      </c>
      <c r="Y57" s="6">
        <v>46143</v>
      </c>
      <c r="Z57" t="s">
        <v>1418</v>
      </c>
      <c r="AA57" t="s">
        <v>63</v>
      </c>
      <c r="AB57" t="s">
        <v>63</v>
      </c>
      <c r="AC57" t="s">
        <v>23</v>
      </c>
      <c r="AD57">
        <v>1</v>
      </c>
      <c r="AE57">
        <v>0</v>
      </c>
      <c r="AF57">
        <v>1</v>
      </c>
      <c r="AG57">
        <v>1</v>
      </c>
      <c r="AH57">
        <v>1</v>
      </c>
      <c r="AI57">
        <v>1</v>
      </c>
      <c r="AJ57">
        <v>0</v>
      </c>
    </row>
    <row r="58" spans="1:36">
      <c r="A58" t="s">
        <v>131</v>
      </c>
      <c r="B58">
        <v>20.100000000000001</v>
      </c>
      <c r="C58" s="7">
        <v>46198.737500000003</v>
      </c>
      <c r="D58" s="7">
        <v>46199.574797673609</v>
      </c>
      <c r="E58" t="s">
        <v>23</v>
      </c>
      <c r="F58" t="s">
        <v>50</v>
      </c>
      <c r="G58" t="s">
        <v>41</v>
      </c>
      <c r="H58" t="s">
        <v>34</v>
      </c>
      <c r="I58" t="s">
        <v>42</v>
      </c>
      <c r="J58" t="s">
        <v>28</v>
      </c>
      <c r="K58" t="s">
        <v>52</v>
      </c>
      <c r="L58" t="s">
        <v>44</v>
      </c>
      <c r="M58">
        <v>76</v>
      </c>
      <c r="N58">
        <v>4</v>
      </c>
      <c r="O58">
        <v>1</v>
      </c>
      <c r="P58">
        <v>9</v>
      </c>
      <c r="Q58" t="s">
        <v>31</v>
      </c>
      <c r="R58">
        <v>120</v>
      </c>
      <c r="S58">
        <v>24</v>
      </c>
      <c r="T58" t="s">
        <v>63</v>
      </c>
      <c r="U58" t="s">
        <v>63</v>
      </c>
      <c r="V58">
        <v>2026</v>
      </c>
      <c r="W58">
        <v>6</v>
      </c>
      <c r="X58" t="s">
        <v>1421</v>
      </c>
      <c r="Y58" s="6">
        <v>46174</v>
      </c>
      <c r="Z58" t="s">
        <v>1413</v>
      </c>
      <c r="AA58" t="s">
        <v>63</v>
      </c>
      <c r="AB58" t="s">
        <v>63</v>
      </c>
      <c r="AC58" t="s">
        <v>23</v>
      </c>
      <c r="AD58">
        <v>1</v>
      </c>
      <c r="AE58">
        <v>0</v>
      </c>
      <c r="AF58">
        <v>1</v>
      </c>
      <c r="AG58">
        <v>1</v>
      </c>
      <c r="AH58">
        <v>0</v>
      </c>
      <c r="AI58">
        <v>1</v>
      </c>
      <c r="AJ58">
        <v>1</v>
      </c>
    </row>
    <row r="59" spans="1:36">
      <c r="A59" t="s">
        <v>132</v>
      </c>
      <c r="B59">
        <v>5.36</v>
      </c>
      <c r="C59" s="7">
        <v>46229.810416666667</v>
      </c>
      <c r="D59" s="7">
        <v>46230.033793645831</v>
      </c>
      <c r="E59" t="s">
        <v>23</v>
      </c>
      <c r="F59" t="s">
        <v>24</v>
      </c>
      <c r="G59" t="s">
        <v>25</v>
      </c>
      <c r="H59" t="s">
        <v>26</v>
      </c>
      <c r="I59" t="s">
        <v>27</v>
      </c>
      <c r="J59" t="s">
        <v>43</v>
      </c>
      <c r="K59" t="s">
        <v>37</v>
      </c>
      <c r="L59" t="s">
        <v>30</v>
      </c>
      <c r="M59">
        <v>8</v>
      </c>
      <c r="N59">
        <v>5</v>
      </c>
      <c r="O59">
        <v>0</v>
      </c>
      <c r="P59">
        <v>2</v>
      </c>
      <c r="Q59" t="s">
        <v>31</v>
      </c>
      <c r="R59">
        <v>15</v>
      </c>
      <c r="S59">
        <v>4</v>
      </c>
      <c r="T59" t="s">
        <v>63</v>
      </c>
      <c r="U59" t="s">
        <v>31</v>
      </c>
      <c r="V59">
        <v>2026</v>
      </c>
      <c r="W59">
        <v>7</v>
      </c>
      <c r="X59" t="s">
        <v>1422</v>
      </c>
      <c r="Y59" s="6">
        <v>46204</v>
      </c>
      <c r="Z59" t="s">
        <v>1413</v>
      </c>
      <c r="AA59" t="s">
        <v>31</v>
      </c>
      <c r="AB59" t="s">
        <v>63</v>
      </c>
      <c r="AC59" t="s">
        <v>23</v>
      </c>
      <c r="AD59">
        <v>1</v>
      </c>
      <c r="AE59">
        <v>0</v>
      </c>
      <c r="AF59">
        <v>1</v>
      </c>
      <c r="AG59">
        <v>0</v>
      </c>
      <c r="AH59">
        <v>0</v>
      </c>
      <c r="AI59">
        <v>1</v>
      </c>
      <c r="AJ59">
        <v>0</v>
      </c>
    </row>
    <row r="60" spans="1:36">
      <c r="A60" t="s">
        <v>133</v>
      </c>
      <c r="B60">
        <v>11.45</v>
      </c>
      <c r="C60" s="7">
        <v>46208.12777777778</v>
      </c>
      <c r="D60" s="7">
        <v>46208.605009826388</v>
      </c>
      <c r="E60" t="s">
        <v>23</v>
      </c>
      <c r="F60" t="s">
        <v>50</v>
      </c>
      <c r="G60" t="s">
        <v>65</v>
      </c>
      <c r="H60" t="s">
        <v>26</v>
      </c>
      <c r="I60" t="s">
        <v>35</v>
      </c>
      <c r="J60" t="s">
        <v>48</v>
      </c>
      <c r="K60" t="s">
        <v>29</v>
      </c>
      <c r="L60" t="s">
        <v>44</v>
      </c>
      <c r="M60">
        <v>144</v>
      </c>
      <c r="N60">
        <v>4</v>
      </c>
      <c r="O60">
        <v>0</v>
      </c>
      <c r="P60">
        <v>4</v>
      </c>
      <c r="Q60" t="s">
        <v>31</v>
      </c>
      <c r="R60">
        <v>120</v>
      </c>
      <c r="S60">
        <v>24</v>
      </c>
      <c r="T60" t="s">
        <v>31</v>
      </c>
      <c r="U60" t="s">
        <v>63</v>
      </c>
      <c r="V60">
        <v>2026</v>
      </c>
      <c r="W60">
        <v>7</v>
      </c>
      <c r="X60" t="s">
        <v>1422</v>
      </c>
      <c r="Y60" s="6">
        <v>46204</v>
      </c>
      <c r="Z60" t="s">
        <v>1413</v>
      </c>
      <c r="AA60" t="s">
        <v>31</v>
      </c>
      <c r="AB60" t="s">
        <v>63</v>
      </c>
      <c r="AC60" t="s">
        <v>23</v>
      </c>
      <c r="AD60">
        <v>1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1</v>
      </c>
    </row>
    <row r="61" spans="1:36">
      <c r="A61" t="s">
        <v>134</v>
      </c>
      <c r="B61">
        <v>46.49</v>
      </c>
      <c r="C61" s="7">
        <v>46097.574999999997</v>
      </c>
      <c r="D61" s="7">
        <v>46099.512199733799</v>
      </c>
      <c r="E61" t="s">
        <v>23</v>
      </c>
      <c r="F61" t="s">
        <v>50</v>
      </c>
      <c r="G61" t="s">
        <v>51</v>
      </c>
      <c r="H61" t="s">
        <v>26</v>
      </c>
      <c r="I61" t="s">
        <v>42</v>
      </c>
      <c r="J61" t="s">
        <v>36</v>
      </c>
      <c r="K61" t="s">
        <v>37</v>
      </c>
      <c r="L61" t="s">
        <v>68</v>
      </c>
      <c r="M61">
        <v>71</v>
      </c>
      <c r="N61">
        <v>4</v>
      </c>
      <c r="O61">
        <v>0</v>
      </c>
      <c r="P61">
        <v>3</v>
      </c>
      <c r="Q61" t="s">
        <v>31</v>
      </c>
      <c r="R61">
        <v>120</v>
      </c>
      <c r="S61">
        <v>24</v>
      </c>
      <c r="T61" t="s">
        <v>63</v>
      </c>
      <c r="U61" t="s">
        <v>31</v>
      </c>
      <c r="V61">
        <v>2026</v>
      </c>
      <c r="W61">
        <v>3</v>
      </c>
      <c r="X61" t="s">
        <v>1423</v>
      </c>
      <c r="Y61" s="6">
        <v>46082</v>
      </c>
      <c r="Z61" t="s">
        <v>1413</v>
      </c>
      <c r="AA61" t="s">
        <v>31</v>
      </c>
      <c r="AB61" t="s">
        <v>63</v>
      </c>
      <c r="AC61" t="s">
        <v>23</v>
      </c>
      <c r="AD61">
        <v>1</v>
      </c>
      <c r="AE61">
        <v>0</v>
      </c>
      <c r="AF61">
        <v>1</v>
      </c>
      <c r="AG61">
        <v>0</v>
      </c>
      <c r="AH61">
        <v>0</v>
      </c>
      <c r="AI61">
        <v>1</v>
      </c>
      <c r="AJ61">
        <v>0</v>
      </c>
    </row>
    <row r="62" spans="1:36">
      <c r="A62" t="s">
        <v>135</v>
      </c>
      <c r="B62">
        <v>17.96</v>
      </c>
      <c r="C62" s="7">
        <v>46124.964583333334</v>
      </c>
      <c r="D62" s="7">
        <v>46125.712921423612</v>
      </c>
      <c r="E62" t="s">
        <v>23</v>
      </c>
      <c r="F62" t="s">
        <v>50</v>
      </c>
      <c r="G62" t="s">
        <v>25</v>
      </c>
      <c r="H62" t="s">
        <v>54</v>
      </c>
      <c r="I62" t="s">
        <v>42</v>
      </c>
      <c r="J62" t="s">
        <v>48</v>
      </c>
      <c r="K62" t="s">
        <v>52</v>
      </c>
      <c r="L62" t="s">
        <v>38</v>
      </c>
      <c r="M62">
        <v>142</v>
      </c>
      <c r="N62">
        <v>4</v>
      </c>
      <c r="O62">
        <v>0</v>
      </c>
      <c r="P62">
        <v>7</v>
      </c>
      <c r="Q62" t="s">
        <v>31</v>
      </c>
      <c r="R62">
        <v>120</v>
      </c>
      <c r="S62">
        <v>24</v>
      </c>
      <c r="T62" t="s">
        <v>31</v>
      </c>
      <c r="U62" t="s">
        <v>63</v>
      </c>
      <c r="V62">
        <v>2026</v>
      </c>
      <c r="W62">
        <v>4</v>
      </c>
      <c r="X62" t="s">
        <v>1412</v>
      </c>
      <c r="Y62" s="6">
        <v>46113</v>
      </c>
      <c r="Z62" t="s">
        <v>1413</v>
      </c>
      <c r="AA62" t="s">
        <v>31</v>
      </c>
      <c r="AB62" t="s">
        <v>63</v>
      </c>
      <c r="AC62" t="s">
        <v>23</v>
      </c>
      <c r="AD62">
        <v>1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1</v>
      </c>
    </row>
    <row r="63" spans="1:36">
      <c r="A63" t="s">
        <v>136</v>
      </c>
      <c r="B63">
        <v>47.93</v>
      </c>
      <c r="C63" s="7">
        <v>46045.461111111108</v>
      </c>
      <c r="D63" s="7">
        <v>46047.458258935185</v>
      </c>
      <c r="E63" t="s">
        <v>23</v>
      </c>
      <c r="F63" t="s">
        <v>33</v>
      </c>
      <c r="G63" t="s">
        <v>41</v>
      </c>
      <c r="H63" t="s">
        <v>66</v>
      </c>
      <c r="I63" t="s">
        <v>35</v>
      </c>
      <c r="J63" t="s">
        <v>28</v>
      </c>
      <c r="K63" t="s">
        <v>76</v>
      </c>
      <c r="L63" t="s">
        <v>44</v>
      </c>
      <c r="M63">
        <v>330</v>
      </c>
      <c r="N63">
        <v>3</v>
      </c>
      <c r="O63">
        <v>0</v>
      </c>
      <c r="P63">
        <v>10</v>
      </c>
      <c r="Q63" t="s">
        <v>63</v>
      </c>
      <c r="R63">
        <v>240</v>
      </c>
      <c r="S63">
        <v>48</v>
      </c>
      <c r="T63" t="s">
        <v>31</v>
      </c>
      <c r="U63" t="s">
        <v>63</v>
      </c>
      <c r="V63">
        <v>2026</v>
      </c>
      <c r="W63">
        <v>1</v>
      </c>
      <c r="X63" t="s">
        <v>1414</v>
      </c>
      <c r="Y63" s="6">
        <v>46023</v>
      </c>
      <c r="Z63" t="s">
        <v>1418</v>
      </c>
      <c r="AA63" t="s">
        <v>31</v>
      </c>
      <c r="AB63" t="s">
        <v>63</v>
      </c>
      <c r="AC63" t="s">
        <v>23</v>
      </c>
      <c r="AD63">
        <v>1</v>
      </c>
      <c r="AE63">
        <v>0</v>
      </c>
      <c r="AF63">
        <v>1</v>
      </c>
      <c r="AG63">
        <v>0</v>
      </c>
      <c r="AH63">
        <v>1</v>
      </c>
      <c r="AI63">
        <v>0</v>
      </c>
      <c r="AJ63">
        <v>1</v>
      </c>
    </row>
    <row r="64" spans="1:36">
      <c r="A64" t="s">
        <v>137</v>
      </c>
      <c r="B64">
        <v>37.76</v>
      </c>
      <c r="C64" s="7">
        <v>46110.213194444441</v>
      </c>
      <c r="D64" s="7">
        <v>46111.786336203702</v>
      </c>
      <c r="E64" t="s">
        <v>23</v>
      </c>
      <c r="F64" t="s">
        <v>50</v>
      </c>
      <c r="G64" t="s">
        <v>51</v>
      </c>
      <c r="H64" t="s">
        <v>26</v>
      </c>
      <c r="I64" t="s">
        <v>42</v>
      </c>
      <c r="J64" t="s">
        <v>36</v>
      </c>
      <c r="K64" t="s">
        <v>76</v>
      </c>
      <c r="L64" t="s">
        <v>68</v>
      </c>
      <c r="M64">
        <v>217</v>
      </c>
      <c r="N64">
        <v>4</v>
      </c>
      <c r="O64">
        <v>0</v>
      </c>
      <c r="P64">
        <v>6</v>
      </c>
      <c r="Q64" t="s">
        <v>31</v>
      </c>
      <c r="R64">
        <v>120</v>
      </c>
      <c r="S64">
        <v>24</v>
      </c>
      <c r="T64" t="s">
        <v>31</v>
      </c>
      <c r="U64" t="s">
        <v>31</v>
      </c>
      <c r="V64">
        <v>2026</v>
      </c>
      <c r="W64">
        <v>3</v>
      </c>
      <c r="X64" t="s">
        <v>1423</v>
      </c>
      <c r="Y64" s="6">
        <v>46082</v>
      </c>
      <c r="Z64" t="s">
        <v>1413</v>
      </c>
      <c r="AA64" t="s">
        <v>31</v>
      </c>
      <c r="AB64" t="s">
        <v>63</v>
      </c>
      <c r="AC64" t="s">
        <v>23</v>
      </c>
      <c r="AD64">
        <v>1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</row>
    <row r="65" spans="1:36">
      <c r="A65" t="s">
        <v>138</v>
      </c>
      <c r="B65">
        <v>12.33</v>
      </c>
      <c r="C65" s="7">
        <v>46135.288194444445</v>
      </c>
      <c r="D65" s="7">
        <v>46135.801788483797</v>
      </c>
      <c r="E65" t="s">
        <v>23</v>
      </c>
      <c r="F65" t="s">
        <v>50</v>
      </c>
      <c r="G65" t="s">
        <v>41</v>
      </c>
      <c r="H65" t="s">
        <v>26</v>
      </c>
      <c r="I65" t="s">
        <v>42</v>
      </c>
      <c r="J65" t="s">
        <v>36</v>
      </c>
      <c r="K65" t="s">
        <v>29</v>
      </c>
      <c r="L65" t="s">
        <v>38</v>
      </c>
      <c r="M65">
        <v>115</v>
      </c>
      <c r="N65">
        <v>4</v>
      </c>
      <c r="O65">
        <v>0</v>
      </c>
      <c r="P65">
        <v>4</v>
      </c>
      <c r="Q65" t="s">
        <v>31</v>
      </c>
      <c r="R65">
        <v>120</v>
      </c>
      <c r="S65">
        <v>24</v>
      </c>
      <c r="T65" t="s">
        <v>63</v>
      </c>
      <c r="U65" t="s">
        <v>63</v>
      </c>
      <c r="V65">
        <v>2026</v>
      </c>
      <c r="W65">
        <v>4</v>
      </c>
      <c r="X65" t="s">
        <v>1412</v>
      </c>
      <c r="Y65" s="6">
        <v>46113</v>
      </c>
      <c r="Z65" t="s">
        <v>1413</v>
      </c>
      <c r="AA65" t="s">
        <v>31</v>
      </c>
      <c r="AB65" t="s">
        <v>63</v>
      </c>
      <c r="AC65" t="s">
        <v>23</v>
      </c>
      <c r="AD65">
        <v>1</v>
      </c>
      <c r="AE65">
        <v>0</v>
      </c>
      <c r="AF65">
        <v>1</v>
      </c>
      <c r="AG65">
        <v>0</v>
      </c>
      <c r="AH65">
        <v>0</v>
      </c>
      <c r="AI65">
        <v>1</v>
      </c>
      <c r="AJ65">
        <v>1</v>
      </c>
    </row>
    <row r="66" spans="1:36">
      <c r="A66" t="s">
        <v>139</v>
      </c>
      <c r="B66">
        <v>5.61</v>
      </c>
      <c r="C66" s="7">
        <v>46239.424305555556</v>
      </c>
      <c r="D66" s="7">
        <v>46239.658027430552</v>
      </c>
      <c r="E66" t="s">
        <v>23</v>
      </c>
      <c r="F66" t="s">
        <v>24</v>
      </c>
      <c r="G66" t="s">
        <v>41</v>
      </c>
      <c r="H66" t="s">
        <v>26</v>
      </c>
      <c r="I66" t="s">
        <v>35</v>
      </c>
      <c r="J66" t="s">
        <v>48</v>
      </c>
      <c r="K66" t="s">
        <v>37</v>
      </c>
      <c r="L66" t="s">
        <v>38</v>
      </c>
      <c r="M66">
        <v>15</v>
      </c>
      <c r="N66">
        <v>4</v>
      </c>
      <c r="O66">
        <v>0</v>
      </c>
      <c r="P66">
        <v>3</v>
      </c>
      <c r="Q66" t="s">
        <v>31</v>
      </c>
      <c r="R66">
        <v>15</v>
      </c>
      <c r="S66">
        <v>4</v>
      </c>
      <c r="T66" t="s">
        <v>63</v>
      </c>
      <c r="U66" t="s">
        <v>31</v>
      </c>
      <c r="V66">
        <v>2026</v>
      </c>
      <c r="W66">
        <v>8</v>
      </c>
      <c r="X66" t="s">
        <v>1417</v>
      </c>
      <c r="Y66" s="6">
        <v>46235</v>
      </c>
      <c r="Z66" t="s">
        <v>1413</v>
      </c>
      <c r="AA66" t="s">
        <v>31</v>
      </c>
      <c r="AB66" t="s">
        <v>63</v>
      </c>
      <c r="AC66" t="s">
        <v>23</v>
      </c>
      <c r="AD66">
        <v>1</v>
      </c>
      <c r="AE66">
        <v>0</v>
      </c>
      <c r="AF66">
        <v>1</v>
      </c>
      <c r="AG66">
        <v>0</v>
      </c>
      <c r="AH66">
        <v>0</v>
      </c>
      <c r="AI66">
        <v>1</v>
      </c>
      <c r="AJ66">
        <v>0</v>
      </c>
    </row>
    <row r="67" spans="1:36">
      <c r="A67" t="s">
        <v>140</v>
      </c>
      <c r="B67">
        <v>11.56</v>
      </c>
      <c r="C67" s="7">
        <v>46075.226388888892</v>
      </c>
      <c r="D67" s="7">
        <v>46075.708218298612</v>
      </c>
      <c r="E67" t="s">
        <v>23</v>
      </c>
      <c r="F67" t="s">
        <v>50</v>
      </c>
      <c r="G67" t="s">
        <v>51</v>
      </c>
      <c r="H67" t="s">
        <v>34</v>
      </c>
      <c r="I67" t="s">
        <v>27</v>
      </c>
      <c r="J67" t="s">
        <v>36</v>
      </c>
      <c r="K67" t="s">
        <v>52</v>
      </c>
      <c r="L67" t="s">
        <v>101</v>
      </c>
      <c r="M67">
        <v>158</v>
      </c>
      <c r="N67">
        <v>4</v>
      </c>
      <c r="O67">
        <v>0</v>
      </c>
      <c r="P67">
        <v>3</v>
      </c>
      <c r="Q67" t="s">
        <v>31</v>
      </c>
      <c r="R67">
        <v>120</v>
      </c>
      <c r="S67">
        <v>24</v>
      </c>
      <c r="T67" t="s">
        <v>31</v>
      </c>
      <c r="U67" t="s">
        <v>63</v>
      </c>
      <c r="V67">
        <v>2026</v>
      </c>
      <c r="W67">
        <v>2</v>
      </c>
      <c r="X67" t="s">
        <v>1419</v>
      </c>
      <c r="Y67" s="6">
        <v>46054</v>
      </c>
      <c r="Z67" t="s">
        <v>1413</v>
      </c>
      <c r="AA67" t="s">
        <v>31</v>
      </c>
      <c r="AB67" t="s">
        <v>63</v>
      </c>
      <c r="AC67" t="s">
        <v>23</v>
      </c>
      <c r="AD67">
        <v>1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1</v>
      </c>
    </row>
    <row r="68" spans="1:36">
      <c r="A68" t="s">
        <v>141</v>
      </c>
      <c r="B68">
        <v>53.43</v>
      </c>
      <c r="C68" s="7">
        <v>46212.039583333331</v>
      </c>
      <c r="D68" s="7">
        <v>46214.265661180558</v>
      </c>
      <c r="E68" t="s">
        <v>23</v>
      </c>
      <c r="F68" t="s">
        <v>50</v>
      </c>
      <c r="G68" t="s">
        <v>51</v>
      </c>
      <c r="H68" t="s">
        <v>26</v>
      </c>
      <c r="I68" t="s">
        <v>35</v>
      </c>
      <c r="J68" t="s">
        <v>48</v>
      </c>
      <c r="K68" t="s">
        <v>67</v>
      </c>
      <c r="L68" t="s">
        <v>62</v>
      </c>
      <c r="M68">
        <v>106</v>
      </c>
      <c r="N68">
        <v>3</v>
      </c>
      <c r="O68">
        <v>1</v>
      </c>
      <c r="P68">
        <v>8</v>
      </c>
      <c r="Q68" t="s">
        <v>31</v>
      </c>
      <c r="R68">
        <v>120</v>
      </c>
      <c r="S68">
        <v>24</v>
      </c>
      <c r="T68" t="s">
        <v>63</v>
      </c>
      <c r="U68" t="s">
        <v>31</v>
      </c>
      <c r="V68">
        <v>2026</v>
      </c>
      <c r="W68">
        <v>7</v>
      </c>
      <c r="X68" t="s">
        <v>1422</v>
      </c>
      <c r="Y68" s="6">
        <v>46204</v>
      </c>
      <c r="Z68" t="s">
        <v>1418</v>
      </c>
      <c r="AA68" t="s">
        <v>63</v>
      </c>
      <c r="AB68" t="s">
        <v>63</v>
      </c>
      <c r="AC68" t="s">
        <v>23</v>
      </c>
      <c r="AD68">
        <v>1</v>
      </c>
      <c r="AE68">
        <v>0</v>
      </c>
      <c r="AF68">
        <v>1</v>
      </c>
      <c r="AG68">
        <v>1</v>
      </c>
      <c r="AH68">
        <v>0</v>
      </c>
      <c r="AI68">
        <v>1</v>
      </c>
      <c r="AJ68">
        <v>0</v>
      </c>
    </row>
    <row r="69" spans="1:36">
      <c r="A69" t="s">
        <v>142</v>
      </c>
      <c r="B69">
        <v>36.270000000000003</v>
      </c>
      <c r="C69" s="7">
        <v>46152.76458333333</v>
      </c>
      <c r="D69" s="7">
        <v>46154.275846574077</v>
      </c>
      <c r="E69" t="s">
        <v>23</v>
      </c>
      <c r="F69" t="s">
        <v>50</v>
      </c>
      <c r="G69" t="s">
        <v>25</v>
      </c>
      <c r="H69" t="s">
        <v>34</v>
      </c>
      <c r="I69" t="s">
        <v>27</v>
      </c>
      <c r="J69" t="s">
        <v>48</v>
      </c>
      <c r="K69" t="s">
        <v>76</v>
      </c>
      <c r="L69" t="s">
        <v>85</v>
      </c>
      <c r="M69">
        <v>86</v>
      </c>
      <c r="N69">
        <v>4</v>
      </c>
      <c r="O69">
        <v>0</v>
      </c>
      <c r="P69">
        <v>7</v>
      </c>
      <c r="Q69" t="s">
        <v>31</v>
      </c>
      <c r="R69">
        <v>120</v>
      </c>
      <c r="S69">
        <v>24</v>
      </c>
      <c r="T69" t="s">
        <v>63</v>
      </c>
      <c r="U69" t="s">
        <v>31</v>
      </c>
      <c r="V69">
        <v>2026</v>
      </c>
      <c r="W69">
        <v>5</v>
      </c>
      <c r="X69" t="s">
        <v>1416</v>
      </c>
      <c r="Y69" s="6">
        <v>46143</v>
      </c>
      <c r="Z69" t="s">
        <v>1413</v>
      </c>
      <c r="AA69" t="s">
        <v>31</v>
      </c>
      <c r="AB69" t="s">
        <v>63</v>
      </c>
      <c r="AC69" t="s">
        <v>23</v>
      </c>
      <c r="AD69">
        <v>1</v>
      </c>
      <c r="AE69">
        <v>0</v>
      </c>
      <c r="AF69">
        <v>1</v>
      </c>
      <c r="AG69">
        <v>0</v>
      </c>
      <c r="AH69">
        <v>0</v>
      </c>
      <c r="AI69">
        <v>1</v>
      </c>
      <c r="AJ69">
        <v>0</v>
      </c>
    </row>
    <row r="70" spans="1:36">
      <c r="A70" t="s">
        <v>143</v>
      </c>
      <c r="B70">
        <v>12.84</v>
      </c>
      <c r="C70" s="7">
        <v>46152.472916666666</v>
      </c>
      <c r="D70" s="7">
        <v>46153.007842754632</v>
      </c>
      <c r="E70" t="s">
        <v>23</v>
      </c>
      <c r="F70" t="s">
        <v>40</v>
      </c>
      <c r="G70" t="s">
        <v>51</v>
      </c>
      <c r="H70" t="s">
        <v>26</v>
      </c>
      <c r="I70" t="s">
        <v>35</v>
      </c>
      <c r="J70" t="s">
        <v>36</v>
      </c>
      <c r="K70" t="s">
        <v>67</v>
      </c>
      <c r="L70" t="s">
        <v>101</v>
      </c>
      <c r="M70">
        <v>46</v>
      </c>
      <c r="N70">
        <v>4</v>
      </c>
      <c r="O70">
        <v>0</v>
      </c>
      <c r="P70">
        <v>6</v>
      </c>
      <c r="Q70" t="s">
        <v>31</v>
      </c>
      <c r="R70">
        <v>30</v>
      </c>
      <c r="S70">
        <v>8</v>
      </c>
      <c r="T70" t="s">
        <v>31</v>
      </c>
      <c r="U70" t="s">
        <v>31</v>
      </c>
      <c r="V70">
        <v>2026</v>
      </c>
      <c r="W70">
        <v>5</v>
      </c>
      <c r="X70" t="s">
        <v>1416</v>
      </c>
      <c r="Y70" s="6">
        <v>46143</v>
      </c>
      <c r="Z70" t="s">
        <v>1413</v>
      </c>
      <c r="AA70" t="s">
        <v>31</v>
      </c>
      <c r="AB70" t="s">
        <v>63</v>
      </c>
      <c r="AC70" t="s">
        <v>23</v>
      </c>
      <c r="AD70">
        <v>1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</row>
    <row r="71" spans="1:36">
      <c r="A71" t="s">
        <v>144</v>
      </c>
      <c r="B71">
        <v>53.77</v>
      </c>
      <c r="C71" s="7">
        <v>46137.137499999997</v>
      </c>
      <c r="D71" s="7">
        <v>46139.378032372682</v>
      </c>
      <c r="E71" t="s">
        <v>23</v>
      </c>
      <c r="F71" t="s">
        <v>33</v>
      </c>
      <c r="G71" t="s">
        <v>25</v>
      </c>
      <c r="H71" t="s">
        <v>75</v>
      </c>
      <c r="I71" t="s">
        <v>27</v>
      </c>
      <c r="J71" t="s">
        <v>36</v>
      </c>
      <c r="K71" t="s">
        <v>37</v>
      </c>
      <c r="L71" t="s">
        <v>71</v>
      </c>
      <c r="M71">
        <v>415</v>
      </c>
      <c r="N71">
        <v>3</v>
      </c>
      <c r="O71">
        <v>0</v>
      </c>
      <c r="P71">
        <v>4</v>
      </c>
      <c r="Q71" t="s">
        <v>31</v>
      </c>
      <c r="R71">
        <v>240</v>
      </c>
      <c r="S71">
        <v>48</v>
      </c>
      <c r="T71" t="s">
        <v>31</v>
      </c>
      <c r="U71" t="s">
        <v>31</v>
      </c>
      <c r="V71">
        <v>2026</v>
      </c>
      <c r="W71">
        <v>4</v>
      </c>
      <c r="X71" t="s">
        <v>1412</v>
      </c>
      <c r="Y71" s="6">
        <v>46113</v>
      </c>
      <c r="Z71" t="s">
        <v>1418</v>
      </c>
      <c r="AA71" t="s">
        <v>31</v>
      </c>
      <c r="AB71" t="s">
        <v>63</v>
      </c>
      <c r="AC71" t="s">
        <v>23</v>
      </c>
      <c r="AD71">
        <v>1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145</v>
      </c>
      <c r="B72">
        <v>25.24</v>
      </c>
      <c r="C72" s="7">
        <v>46200.761111111111</v>
      </c>
      <c r="D72" s="7">
        <v>46201.812829236114</v>
      </c>
      <c r="E72" t="s">
        <v>23</v>
      </c>
      <c r="F72" t="s">
        <v>40</v>
      </c>
      <c r="G72" t="s">
        <v>41</v>
      </c>
      <c r="H72" t="s">
        <v>75</v>
      </c>
      <c r="I72" t="s">
        <v>42</v>
      </c>
      <c r="J72" t="s">
        <v>43</v>
      </c>
      <c r="K72" t="s">
        <v>37</v>
      </c>
      <c r="L72" t="s">
        <v>71</v>
      </c>
      <c r="M72">
        <v>26</v>
      </c>
      <c r="N72">
        <v>4</v>
      </c>
      <c r="O72">
        <v>0</v>
      </c>
      <c r="P72">
        <v>3</v>
      </c>
      <c r="Q72" t="s">
        <v>31</v>
      </c>
      <c r="R72">
        <v>30</v>
      </c>
      <c r="S72">
        <v>8</v>
      </c>
      <c r="T72" t="s">
        <v>63</v>
      </c>
      <c r="U72" t="s">
        <v>31</v>
      </c>
      <c r="V72">
        <v>2026</v>
      </c>
      <c r="W72">
        <v>6</v>
      </c>
      <c r="X72" t="s">
        <v>1421</v>
      </c>
      <c r="Y72" s="6">
        <v>46174</v>
      </c>
      <c r="Z72" t="s">
        <v>1413</v>
      </c>
      <c r="AA72" t="s">
        <v>31</v>
      </c>
      <c r="AB72" t="s">
        <v>63</v>
      </c>
      <c r="AC72" t="s">
        <v>23</v>
      </c>
      <c r="AD72">
        <v>1</v>
      </c>
      <c r="AE72">
        <v>0</v>
      </c>
      <c r="AF72">
        <v>1</v>
      </c>
      <c r="AG72">
        <v>0</v>
      </c>
      <c r="AH72">
        <v>0</v>
      </c>
      <c r="AI72">
        <v>1</v>
      </c>
      <c r="AJ72">
        <v>0</v>
      </c>
    </row>
    <row r="73" spans="1:36">
      <c r="A73" t="s">
        <v>146</v>
      </c>
      <c r="B73">
        <v>13.3</v>
      </c>
      <c r="C73" s="7">
        <v>46204.890277777777</v>
      </c>
      <c r="D73" s="7">
        <v>46205.44436627315</v>
      </c>
      <c r="E73" t="s">
        <v>23</v>
      </c>
      <c r="F73" t="s">
        <v>33</v>
      </c>
      <c r="G73" t="s">
        <v>41</v>
      </c>
      <c r="H73" t="s">
        <v>54</v>
      </c>
      <c r="I73" t="s">
        <v>35</v>
      </c>
      <c r="J73" t="s">
        <v>36</v>
      </c>
      <c r="K73" t="s">
        <v>29</v>
      </c>
      <c r="L73" t="s">
        <v>38</v>
      </c>
      <c r="M73">
        <v>446</v>
      </c>
      <c r="N73">
        <v>3</v>
      </c>
      <c r="O73">
        <v>1</v>
      </c>
      <c r="P73">
        <v>7</v>
      </c>
      <c r="Q73" t="s">
        <v>31</v>
      </c>
      <c r="R73">
        <v>240</v>
      </c>
      <c r="S73">
        <v>48</v>
      </c>
      <c r="T73" t="s">
        <v>31</v>
      </c>
      <c r="U73" t="s">
        <v>63</v>
      </c>
      <c r="V73">
        <v>2026</v>
      </c>
      <c r="W73">
        <v>7</v>
      </c>
      <c r="X73" t="s">
        <v>1422</v>
      </c>
      <c r="Y73" s="6">
        <v>46204</v>
      </c>
      <c r="Z73" t="s">
        <v>1418</v>
      </c>
      <c r="AA73" t="s">
        <v>63</v>
      </c>
      <c r="AB73" t="s">
        <v>63</v>
      </c>
      <c r="AC73" t="s">
        <v>23</v>
      </c>
      <c r="AD73">
        <v>1</v>
      </c>
      <c r="AE73">
        <v>0</v>
      </c>
      <c r="AF73">
        <v>1</v>
      </c>
      <c r="AG73">
        <v>1</v>
      </c>
      <c r="AH73">
        <v>0</v>
      </c>
      <c r="AI73">
        <v>0</v>
      </c>
      <c r="AJ73">
        <v>1</v>
      </c>
    </row>
    <row r="74" spans="1:36">
      <c r="A74" t="s">
        <v>147</v>
      </c>
      <c r="B74">
        <v>15.99</v>
      </c>
      <c r="C74" s="7">
        <v>46211.534722222219</v>
      </c>
      <c r="D74" s="7">
        <v>46212.201101168983</v>
      </c>
      <c r="E74" t="s">
        <v>23</v>
      </c>
      <c r="F74" t="s">
        <v>40</v>
      </c>
      <c r="G74" t="s">
        <v>65</v>
      </c>
      <c r="H74" t="s">
        <v>54</v>
      </c>
      <c r="I74" t="s">
        <v>42</v>
      </c>
      <c r="J74" t="s">
        <v>28</v>
      </c>
      <c r="K74" t="s">
        <v>52</v>
      </c>
      <c r="L74" t="s">
        <v>30</v>
      </c>
      <c r="M74">
        <v>85</v>
      </c>
      <c r="N74">
        <v>4</v>
      </c>
      <c r="O74">
        <v>0</v>
      </c>
      <c r="P74">
        <v>3</v>
      </c>
      <c r="Q74" t="s">
        <v>31</v>
      </c>
      <c r="R74">
        <v>30</v>
      </c>
      <c r="S74">
        <v>8</v>
      </c>
      <c r="T74" t="s">
        <v>31</v>
      </c>
      <c r="U74" t="s">
        <v>31</v>
      </c>
      <c r="V74">
        <v>2026</v>
      </c>
      <c r="W74">
        <v>7</v>
      </c>
      <c r="X74" t="s">
        <v>1422</v>
      </c>
      <c r="Y74" s="6">
        <v>46204</v>
      </c>
      <c r="Z74" t="s">
        <v>1413</v>
      </c>
      <c r="AA74" t="s">
        <v>31</v>
      </c>
      <c r="AB74" t="s">
        <v>63</v>
      </c>
      <c r="AC74" t="s">
        <v>23</v>
      </c>
      <c r="AD74">
        <v>1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148</v>
      </c>
      <c r="B75">
        <v>36.549999999999997</v>
      </c>
      <c r="C75" s="7">
        <v>46072.289583333331</v>
      </c>
      <c r="D75" s="7">
        <v>46073.812503032408</v>
      </c>
      <c r="E75" t="s">
        <v>23</v>
      </c>
      <c r="F75" t="s">
        <v>50</v>
      </c>
      <c r="G75" t="s">
        <v>25</v>
      </c>
      <c r="H75" t="s">
        <v>26</v>
      </c>
      <c r="I75" t="s">
        <v>35</v>
      </c>
      <c r="J75" t="s">
        <v>28</v>
      </c>
      <c r="K75" t="s">
        <v>67</v>
      </c>
      <c r="L75" t="s">
        <v>85</v>
      </c>
      <c r="M75">
        <v>127</v>
      </c>
      <c r="N75">
        <v>4</v>
      </c>
      <c r="O75">
        <v>0</v>
      </c>
      <c r="P75">
        <v>5</v>
      </c>
      <c r="Q75" t="s">
        <v>31</v>
      </c>
      <c r="R75">
        <v>120</v>
      </c>
      <c r="S75">
        <v>24</v>
      </c>
      <c r="T75" t="s">
        <v>31</v>
      </c>
      <c r="U75" t="s">
        <v>31</v>
      </c>
      <c r="V75">
        <v>2026</v>
      </c>
      <c r="W75">
        <v>2</v>
      </c>
      <c r="X75" t="s">
        <v>1419</v>
      </c>
      <c r="Y75" s="6">
        <v>46054</v>
      </c>
      <c r="Z75" t="s">
        <v>1413</v>
      </c>
      <c r="AA75" t="s">
        <v>31</v>
      </c>
      <c r="AB75" t="s">
        <v>63</v>
      </c>
      <c r="AC75" t="s">
        <v>23</v>
      </c>
      <c r="AD75">
        <v>1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</row>
    <row r="76" spans="1:36">
      <c r="A76" t="s">
        <v>149</v>
      </c>
      <c r="B76">
        <v>19.14</v>
      </c>
      <c r="C76" s="7">
        <v>46144.546527777777</v>
      </c>
      <c r="D76" s="7">
        <v>46145.344115428241</v>
      </c>
      <c r="E76" t="s">
        <v>23</v>
      </c>
      <c r="F76" t="s">
        <v>50</v>
      </c>
      <c r="G76" t="s">
        <v>65</v>
      </c>
      <c r="H76" t="s">
        <v>34</v>
      </c>
      <c r="I76" t="s">
        <v>27</v>
      </c>
      <c r="J76" t="s">
        <v>36</v>
      </c>
      <c r="K76" t="s">
        <v>52</v>
      </c>
      <c r="L76" t="s">
        <v>38</v>
      </c>
      <c r="M76">
        <v>157</v>
      </c>
      <c r="N76">
        <v>3</v>
      </c>
      <c r="O76">
        <v>1</v>
      </c>
      <c r="P76">
        <v>4</v>
      </c>
      <c r="Q76" t="s">
        <v>31</v>
      </c>
      <c r="R76">
        <v>120</v>
      </c>
      <c r="S76">
        <v>24</v>
      </c>
      <c r="T76" t="s">
        <v>31</v>
      </c>
      <c r="U76" t="s">
        <v>63</v>
      </c>
      <c r="V76">
        <v>2026</v>
      </c>
      <c r="W76">
        <v>5</v>
      </c>
      <c r="X76" t="s">
        <v>1416</v>
      </c>
      <c r="Y76" s="6">
        <v>46143</v>
      </c>
      <c r="Z76" t="s">
        <v>1418</v>
      </c>
      <c r="AA76" t="s">
        <v>63</v>
      </c>
      <c r="AB76" t="s">
        <v>63</v>
      </c>
      <c r="AC76" t="s">
        <v>23</v>
      </c>
      <c r="AD76">
        <v>1</v>
      </c>
      <c r="AE76">
        <v>0</v>
      </c>
      <c r="AF76">
        <v>1</v>
      </c>
      <c r="AG76">
        <v>1</v>
      </c>
      <c r="AH76">
        <v>0</v>
      </c>
      <c r="AI76">
        <v>0</v>
      </c>
      <c r="AJ76">
        <v>1</v>
      </c>
    </row>
    <row r="77" spans="1:36">
      <c r="A77" t="s">
        <v>150</v>
      </c>
      <c r="B77">
        <v>27.48</v>
      </c>
      <c r="C77" s="7">
        <v>46074.627083333333</v>
      </c>
      <c r="D77" s="7">
        <v>46075.772193391203</v>
      </c>
      <c r="E77" t="s">
        <v>23</v>
      </c>
      <c r="F77" t="s">
        <v>50</v>
      </c>
      <c r="G77" t="s">
        <v>51</v>
      </c>
      <c r="H77" t="s">
        <v>54</v>
      </c>
      <c r="I77" t="s">
        <v>35</v>
      </c>
      <c r="J77" t="s">
        <v>43</v>
      </c>
      <c r="K77" t="s">
        <v>58</v>
      </c>
      <c r="L77" t="s">
        <v>44</v>
      </c>
      <c r="M77">
        <v>30</v>
      </c>
      <c r="N77">
        <v>4</v>
      </c>
      <c r="O77">
        <v>0</v>
      </c>
      <c r="P77">
        <v>4</v>
      </c>
      <c r="Q77" t="s">
        <v>31</v>
      </c>
      <c r="R77">
        <v>120</v>
      </c>
      <c r="S77">
        <v>24</v>
      </c>
      <c r="T77" t="s">
        <v>63</v>
      </c>
      <c r="U77" t="s">
        <v>31</v>
      </c>
      <c r="V77">
        <v>2026</v>
      </c>
      <c r="W77">
        <v>2</v>
      </c>
      <c r="X77" t="s">
        <v>1419</v>
      </c>
      <c r="Y77" s="6">
        <v>46054</v>
      </c>
      <c r="Z77" t="s">
        <v>1413</v>
      </c>
      <c r="AA77" t="s">
        <v>31</v>
      </c>
      <c r="AB77" t="s">
        <v>63</v>
      </c>
      <c r="AC77" t="s">
        <v>23</v>
      </c>
      <c r="AD77">
        <v>1</v>
      </c>
      <c r="AE77">
        <v>0</v>
      </c>
      <c r="AF77">
        <v>1</v>
      </c>
      <c r="AG77">
        <v>0</v>
      </c>
      <c r="AH77">
        <v>0</v>
      </c>
      <c r="AI77">
        <v>1</v>
      </c>
      <c r="AJ77">
        <v>0</v>
      </c>
    </row>
    <row r="78" spans="1:36">
      <c r="A78" t="s">
        <v>151</v>
      </c>
      <c r="B78">
        <v>45</v>
      </c>
      <c r="C78" s="7">
        <v>46056.913194444445</v>
      </c>
      <c r="D78" s="7">
        <v>46058.788098275465</v>
      </c>
      <c r="E78" t="s">
        <v>23</v>
      </c>
      <c r="F78" t="s">
        <v>33</v>
      </c>
      <c r="G78" t="s">
        <v>25</v>
      </c>
      <c r="H78" t="s">
        <v>75</v>
      </c>
      <c r="I78" t="s">
        <v>42</v>
      </c>
      <c r="J78" t="s">
        <v>48</v>
      </c>
      <c r="K78" t="s">
        <v>67</v>
      </c>
      <c r="L78" t="s">
        <v>55</v>
      </c>
      <c r="M78">
        <v>150</v>
      </c>
      <c r="N78">
        <v>3</v>
      </c>
      <c r="O78">
        <v>0</v>
      </c>
      <c r="P78">
        <v>2</v>
      </c>
      <c r="Q78" t="s">
        <v>31</v>
      </c>
      <c r="R78">
        <v>240</v>
      </c>
      <c r="S78">
        <v>48</v>
      </c>
      <c r="T78" t="s">
        <v>63</v>
      </c>
      <c r="U78" t="s">
        <v>63</v>
      </c>
      <c r="V78">
        <v>2026</v>
      </c>
      <c r="W78">
        <v>2</v>
      </c>
      <c r="X78" t="s">
        <v>1419</v>
      </c>
      <c r="Y78" s="6">
        <v>46054</v>
      </c>
      <c r="Z78" t="s">
        <v>1418</v>
      </c>
      <c r="AA78" t="s">
        <v>31</v>
      </c>
      <c r="AB78" t="s">
        <v>63</v>
      </c>
      <c r="AC78" t="s">
        <v>23</v>
      </c>
      <c r="AD78">
        <v>1</v>
      </c>
      <c r="AE78">
        <v>0</v>
      </c>
      <c r="AF78">
        <v>1</v>
      </c>
      <c r="AG78">
        <v>0</v>
      </c>
      <c r="AH78">
        <v>0</v>
      </c>
      <c r="AI78">
        <v>1</v>
      </c>
      <c r="AJ78">
        <v>1</v>
      </c>
    </row>
    <row r="79" spans="1:36">
      <c r="A79" t="s">
        <v>152</v>
      </c>
      <c r="B79">
        <v>7.25</v>
      </c>
      <c r="C79" s="7">
        <v>46049.118055555555</v>
      </c>
      <c r="D79" s="7">
        <v>46049.420193055557</v>
      </c>
      <c r="E79" t="s">
        <v>23</v>
      </c>
      <c r="F79" t="s">
        <v>40</v>
      </c>
      <c r="G79" t="s">
        <v>25</v>
      </c>
      <c r="H79" t="s">
        <v>54</v>
      </c>
      <c r="I79" t="s">
        <v>35</v>
      </c>
      <c r="J79" t="s">
        <v>36</v>
      </c>
      <c r="K79" t="s">
        <v>52</v>
      </c>
      <c r="L79" t="s">
        <v>44</v>
      </c>
      <c r="M79">
        <v>71</v>
      </c>
      <c r="N79">
        <v>4</v>
      </c>
      <c r="O79">
        <v>0</v>
      </c>
      <c r="P79">
        <v>5</v>
      </c>
      <c r="Q79" t="s">
        <v>31</v>
      </c>
      <c r="R79">
        <v>30</v>
      </c>
      <c r="S79">
        <v>8</v>
      </c>
      <c r="T79" t="s">
        <v>31</v>
      </c>
      <c r="U79" t="s">
        <v>63</v>
      </c>
      <c r="V79">
        <v>2026</v>
      </c>
      <c r="W79">
        <v>1</v>
      </c>
      <c r="X79" t="s">
        <v>1414</v>
      </c>
      <c r="Y79" s="6">
        <v>46023</v>
      </c>
      <c r="Z79" t="s">
        <v>1413</v>
      </c>
      <c r="AA79" t="s">
        <v>31</v>
      </c>
      <c r="AB79" t="s">
        <v>63</v>
      </c>
      <c r="AC79" t="s">
        <v>23</v>
      </c>
      <c r="AD79">
        <v>1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1</v>
      </c>
    </row>
    <row r="80" spans="1:36">
      <c r="A80" t="s">
        <v>153</v>
      </c>
      <c r="B80">
        <v>13.22</v>
      </c>
      <c r="C80" s="7">
        <v>46108.238194444442</v>
      </c>
      <c r="D80" s="7">
        <v>46108.789006944447</v>
      </c>
      <c r="E80" t="s">
        <v>23</v>
      </c>
      <c r="F80" t="s">
        <v>50</v>
      </c>
      <c r="G80" t="s">
        <v>51</v>
      </c>
      <c r="H80" t="s">
        <v>75</v>
      </c>
      <c r="I80" t="s">
        <v>27</v>
      </c>
      <c r="J80" t="s">
        <v>43</v>
      </c>
      <c r="K80" t="s">
        <v>52</v>
      </c>
      <c r="L80" t="s">
        <v>55</v>
      </c>
      <c r="M80">
        <v>60</v>
      </c>
      <c r="N80">
        <v>4</v>
      </c>
      <c r="O80">
        <v>0</v>
      </c>
      <c r="P80">
        <v>8</v>
      </c>
      <c r="Q80" t="s">
        <v>63</v>
      </c>
      <c r="R80">
        <v>120</v>
      </c>
      <c r="S80">
        <v>24</v>
      </c>
      <c r="T80" t="s">
        <v>63</v>
      </c>
      <c r="U80" t="s">
        <v>63</v>
      </c>
      <c r="V80">
        <v>2026</v>
      </c>
      <c r="W80">
        <v>3</v>
      </c>
      <c r="X80" t="s">
        <v>1423</v>
      </c>
      <c r="Y80" s="6">
        <v>46082</v>
      </c>
      <c r="Z80" t="s">
        <v>1413</v>
      </c>
      <c r="AA80" t="s">
        <v>31</v>
      </c>
      <c r="AB80" t="s">
        <v>63</v>
      </c>
      <c r="AC80" t="s">
        <v>23</v>
      </c>
      <c r="AD80">
        <v>1</v>
      </c>
      <c r="AE80">
        <v>0</v>
      </c>
      <c r="AF80">
        <v>1</v>
      </c>
      <c r="AG80">
        <v>0</v>
      </c>
      <c r="AH80">
        <v>1</v>
      </c>
      <c r="AI80">
        <v>1</v>
      </c>
      <c r="AJ80">
        <v>1</v>
      </c>
    </row>
    <row r="81" spans="1:36">
      <c r="A81" t="s">
        <v>154</v>
      </c>
      <c r="B81">
        <v>11.53</v>
      </c>
      <c r="C81" s="7">
        <v>46192.084027777775</v>
      </c>
      <c r="D81" s="7">
        <v>46192.564243564811</v>
      </c>
      <c r="E81" t="s">
        <v>23</v>
      </c>
      <c r="F81" t="s">
        <v>50</v>
      </c>
      <c r="G81" t="s">
        <v>51</v>
      </c>
      <c r="H81" t="s">
        <v>26</v>
      </c>
      <c r="I81" t="s">
        <v>42</v>
      </c>
      <c r="J81" t="s">
        <v>43</v>
      </c>
      <c r="K81" t="s">
        <v>52</v>
      </c>
      <c r="L81" t="s">
        <v>38</v>
      </c>
      <c r="M81">
        <v>141</v>
      </c>
      <c r="N81">
        <v>4</v>
      </c>
      <c r="O81">
        <v>0</v>
      </c>
      <c r="P81">
        <v>4</v>
      </c>
      <c r="Q81" t="s">
        <v>31</v>
      </c>
      <c r="R81">
        <v>120</v>
      </c>
      <c r="S81">
        <v>24</v>
      </c>
      <c r="T81" t="s">
        <v>31</v>
      </c>
      <c r="U81" t="s">
        <v>63</v>
      </c>
      <c r="V81">
        <v>2026</v>
      </c>
      <c r="W81">
        <v>6</v>
      </c>
      <c r="X81" t="s">
        <v>1421</v>
      </c>
      <c r="Y81" s="6">
        <v>46174</v>
      </c>
      <c r="Z81" t="s">
        <v>1413</v>
      </c>
      <c r="AA81" t="s">
        <v>31</v>
      </c>
      <c r="AB81" t="s">
        <v>63</v>
      </c>
      <c r="AC81" t="s">
        <v>23</v>
      </c>
      <c r="AD81">
        <v>1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1</v>
      </c>
    </row>
    <row r="82" spans="1:36">
      <c r="A82" t="s">
        <v>155</v>
      </c>
      <c r="B82">
        <v>60.55</v>
      </c>
      <c r="C82" s="7">
        <v>46108.771527777775</v>
      </c>
      <c r="D82" s="7">
        <v>46111.294603668983</v>
      </c>
      <c r="E82" t="s">
        <v>23</v>
      </c>
      <c r="F82" t="s">
        <v>50</v>
      </c>
      <c r="G82" t="s">
        <v>65</v>
      </c>
      <c r="H82" t="s">
        <v>26</v>
      </c>
      <c r="I82" t="s">
        <v>27</v>
      </c>
      <c r="J82" t="s">
        <v>43</v>
      </c>
      <c r="K82" t="s">
        <v>37</v>
      </c>
      <c r="L82" t="s">
        <v>44</v>
      </c>
      <c r="M82">
        <v>65</v>
      </c>
      <c r="N82">
        <v>4</v>
      </c>
      <c r="O82">
        <v>0</v>
      </c>
      <c r="P82">
        <v>11</v>
      </c>
      <c r="Q82" t="s">
        <v>63</v>
      </c>
      <c r="R82">
        <v>120</v>
      </c>
      <c r="S82">
        <v>24</v>
      </c>
      <c r="T82" t="s">
        <v>63</v>
      </c>
      <c r="U82" t="s">
        <v>31</v>
      </c>
      <c r="V82">
        <v>2026</v>
      </c>
      <c r="W82">
        <v>3</v>
      </c>
      <c r="X82" t="s">
        <v>1423</v>
      </c>
      <c r="Y82" s="6">
        <v>46082</v>
      </c>
      <c r="Z82" t="s">
        <v>1413</v>
      </c>
      <c r="AA82" t="s">
        <v>31</v>
      </c>
      <c r="AB82" t="s">
        <v>63</v>
      </c>
      <c r="AC82" t="s">
        <v>23</v>
      </c>
      <c r="AD82">
        <v>1</v>
      </c>
      <c r="AE82">
        <v>0</v>
      </c>
      <c r="AF82">
        <v>1</v>
      </c>
      <c r="AG82">
        <v>0</v>
      </c>
      <c r="AH82">
        <v>1</v>
      </c>
      <c r="AI82">
        <v>1</v>
      </c>
      <c r="AJ82">
        <v>0</v>
      </c>
    </row>
    <row r="83" spans="1:36">
      <c r="A83" t="s">
        <v>156</v>
      </c>
      <c r="B83">
        <v>5.71</v>
      </c>
      <c r="C83" s="7">
        <v>46101.301388888889</v>
      </c>
      <c r="D83" s="7">
        <v>46101.539212997683</v>
      </c>
      <c r="E83" t="s">
        <v>23</v>
      </c>
      <c r="F83" t="s">
        <v>24</v>
      </c>
      <c r="G83" t="s">
        <v>25</v>
      </c>
      <c r="H83" t="s">
        <v>34</v>
      </c>
      <c r="I83" t="s">
        <v>35</v>
      </c>
      <c r="J83" t="s">
        <v>28</v>
      </c>
      <c r="K83" t="s">
        <v>37</v>
      </c>
      <c r="L83" t="s">
        <v>68</v>
      </c>
      <c r="M83">
        <v>10</v>
      </c>
      <c r="N83">
        <v>5</v>
      </c>
      <c r="O83">
        <v>0</v>
      </c>
      <c r="P83">
        <v>11</v>
      </c>
      <c r="Q83" t="s">
        <v>63</v>
      </c>
      <c r="R83">
        <v>15</v>
      </c>
      <c r="S83">
        <v>4</v>
      </c>
      <c r="T83" t="s">
        <v>63</v>
      </c>
      <c r="U83" t="s">
        <v>31</v>
      </c>
      <c r="V83">
        <v>2026</v>
      </c>
      <c r="W83">
        <v>3</v>
      </c>
      <c r="X83" t="s">
        <v>1423</v>
      </c>
      <c r="Y83" s="6">
        <v>46082</v>
      </c>
      <c r="Z83" t="s">
        <v>1413</v>
      </c>
      <c r="AA83" t="s">
        <v>31</v>
      </c>
      <c r="AB83" t="s">
        <v>63</v>
      </c>
      <c r="AC83" t="s">
        <v>23</v>
      </c>
      <c r="AD83">
        <v>1</v>
      </c>
      <c r="AE83">
        <v>0</v>
      </c>
      <c r="AF83">
        <v>1</v>
      </c>
      <c r="AG83">
        <v>0</v>
      </c>
      <c r="AH83">
        <v>1</v>
      </c>
      <c r="AI83">
        <v>1</v>
      </c>
      <c r="AJ83">
        <v>0</v>
      </c>
    </row>
    <row r="84" spans="1:36">
      <c r="A84" t="s">
        <v>157</v>
      </c>
      <c r="C84" s="7">
        <v>46132.088888888888</v>
      </c>
      <c r="D84" s="7"/>
      <c r="E84" t="s">
        <v>57</v>
      </c>
      <c r="F84" t="s">
        <v>50</v>
      </c>
      <c r="G84" t="s">
        <v>65</v>
      </c>
      <c r="H84" t="s">
        <v>54</v>
      </c>
      <c r="I84" t="s">
        <v>35</v>
      </c>
      <c r="J84" t="s">
        <v>36</v>
      </c>
      <c r="K84" t="s">
        <v>76</v>
      </c>
      <c r="L84" t="s">
        <v>93</v>
      </c>
      <c r="M84">
        <v>169</v>
      </c>
      <c r="O84">
        <v>0</v>
      </c>
      <c r="P84">
        <v>2</v>
      </c>
      <c r="Q84" t="s">
        <v>31</v>
      </c>
      <c r="R84">
        <v>120</v>
      </c>
      <c r="S84">
        <v>24</v>
      </c>
      <c r="T84" t="s">
        <v>31</v>
      </c>
      <c r="U84" t="s">
        <v>74</v>
      </c>
      <c r="V84">
        <v>2026</v>
      </c>
      <c r="W84">
        <v>4</v>
      </c>
      <c r="X84" t="s">
        <v>1412</v>
      </c>
      <c r="Y84" s="6">
        <v>46113</v>
      </c>
      <c r="Z84" t="s">
        <v>1420</v>
      </c>
      <c r="AA84" t="s">
        <v>31</v>
      </c>
      <c r="AB84" t="s">
        <v>31</v>
      </c>
      <c r="AC84" t="s">
        <v>57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0</v>
      </c>
    </row>
    <row r="85" spans="1:36">
      <c r="A85" t="s">
        <v>158</v>
      </c>
      <c r="B85">
        <v>13.35</v>
      </c>
      <c r="C85" s="7">
        <v>46100.199305555558</v>
      </c>
      <c r="D85" s="7">
        <v>46100.755538715275</v>
      </c>
      <c r="E85" t="s">
        <v>23</v>
      </c>
      <c r="F85" t="s">
        <v>40</v>
      </c>
      <c r="G85" t="s">
        <v>51</v>
      </c>
      <c r="H85" t="s">
        <v>26</v>
      </c>
      <c r="I85" t="s">
        <v>27</v>
      </c>
      <c r="J85" t="s">
        <v>43</v>
      </c>
      <c r="K85" t="s">
        <v>37</v>
      </c>
      <c r="L85" t="s">
        <v>68</v>
      </c>
      <c r="M85">
        <v>16</v>
      </c>
      <c r="N85">
        <v>5</v>
      </c>
      <c r="O85">
        <v>0</v>
      </c>
      <c r="P85">
        <v>4</v>
      </c>
      <c r="Q85" t="s">
        <v>31</v>
      </c>
      <c r="R85">
        <v>30</v>
      </c>
      <c r="S85">
        <v>8</v>
      </c>
      <c r="T85" t="s">
        <v>63</v>
      </c>
      <c r="U85" t="s">
        <v>31</v>
      </c>
      <c r="V85">
        <v>2026</v>
      </c>
      <c r="W85">
        <v>3</v>
      </c>
      <c r="X85" t="s">
        <v>1423</v>
      </c>
      <c r="Y85" s="6">
        <v>46082</v>
      </c>
      <c r="Z85" t="s">
        <v>1413</v>
      </c>
      <c r="AA85" t="s">
        <v>31</v>
      </c>
      <c r="AB85" t="s">
        <v>63</v>
      </c>
      <c r="AC85" t="s">
        <v>23</v>
      </c>
      <c r="AD85">
        <v>1</v>
      </c>
      <c r="AE85">
        <v>0</v>
      </c>
      <c r="AF85">
        <v>1</v>
      </c>
      <c r="AG85">
        <v>0</v>
      </c>
      <c r="AH85">
        <v>0</v>
      </c>
      <c r="AI85">
        <v>1</v>
      </c>
      <c r="AJ85">
        <v>0</v>
      </c>
    </row>
    <row r="86" spans="1:36">
      <c r="A86" t="s">
        <v>160</v>
      </c>
      <c r="B86">
        <v>16.43</v>
      </c>
      <c r="C86" s="7">
        <v>46248.775000000001</v>
      </c>
      <c r="D86" s="7">
        <v>46249.459638449072</v>
      </c>
      <c r="E86" t="s">
        <v>23</v>
      </c>
      <c r="F86" t="s">
        <v>40</v>
      </c>
      <c r="G86" t="s">
        <v>65</v>
      </c>
      <c r="H86" t="s">
        <v>26</v>
      </c>
      <c r="I86" t="s">
        <v>42</v>
      </c>
      <c r="J86" t="s">
        <v>28</v>
      </c>
      <c r="K86" t="s">
        <v>67</v>
      </c>
      <c r="L86" t="s">
        <v>44</v>
      </c>
      <c r="M86">
        <v>23</v>
      </c>
      <c r="N86">
        <v>5</v>
      </c>
      <c r="O86">
        <v>0</v>
      </c>
      <c r="P86">
        <v>5</v>
      </c>
      <c r="Q86" t="s">
        <v>31</v>
      </c>
      <c r="R86">
        <v>30</v>
      </c>
      <c r="S86">
        <v>8</v>
      </c>
      <c r="T86" t="s">
        <v>63</v>
      </c>
      <c r="U86" t="s">
        <v>31</v>
      </c>
      <c r="V86">
        <v>2026</v>
      </c>
      <c r="W86">
        <v>8</v>
      </c>
      <c r="X86" t="s">
        <v>1417</v>
      </c>
      <c r="Y86" s="6">
        <v>46235</v>
      </c>
      <c r="Z86" t="s">
        <v>1413</v>
      </c>
      <c r="AA86" t="s">
        <v>31</v>
      </c>
      <c r="AB86" t="s">
        <v>63</v>
      </c>
      <c r="AC86" t="s">
        <v>23</v>
      </c>
      <c r="AD86">
        <v>1</v>
      </c>
      <c r="AE86">
        <v>0</v>
      </c>
      <c r="AF86">
        <v>1</v>
      </c>
      <c r="AG86">
        <v>0</v>
      </c>
      <c r="AH86">
        <v>0</v>
      </c>
      <c r="AI86">
        <v>1</v>
      </c>
      <c r="AJ86">
        <v>0</v>
      </c>
    </row>
    <row r="87" spans="1:36">
      <c r="A87" t="s">
        <v>161</v>
      </c>
      <c r="B87">
        <v>48.1</v>
      </c>
      <c r="C87" s="7">
        <v>46111.912499999999</v>
      </c>
      <c r="D87" s="7">
        <v>46113.916537754631</v>
      </c>
      <c r="E87" t="s">
        <v>23</v>
      </c>
      <c r="F87" t="s">
        <v>50</v>
      </c>
      <c r="G87" t="s">
        <v>51</v>
      </c>
      <c r="H87" t="s">
        <v>26</v>
      </c>
      <c r="I87" t="s">
        <v>35</v>
      </c>
      <c r="J87" t="s">
        <v>43</v>
      </c>
      <c r="K87" t="s">
        <v>37</v>
      </c>
      <c r="L87" t="s">
        <v>68</v>
      </c>
      <c r="M87">
        <v>112</v>
      </c>
      <c r="N87">
        <v>4</v>
      </c>
      <c r="O87">
        <v>0</v>
      </c>
      <c r="P87">
        <v>6</v>
      </c>
      <c r="Q87" t="s">
        <v>31</v>
      </c>
      <c r="R87">
        <v>120</v>
      </c>
      <c r="S87">
        <v>24</v>
      </c>
      <c r="T87" t="s">
        <v>63</v>
      </c>
      <c r="U87" t="s">
        <v>31</v>
      </c>
      <c r="V87">
        <v>2026</v>
      </c>
      <c r="W87">
        <v>3</v>
      </c>
      <c r="X87" t="s">
        <v>1423</v>
      </c>
      <c r="Y87" s="6">
        <v>46082</v>
      </c>
      <c r="Z87" t="s">
        <v>1413</v>
      </c>
      <c r="AA87" t="s">
        <v>31</v>
      </c>
      <c r="AB87" t="s">
        <v>63</v>
      </c>
      <c r="AC87" t="s">
        <v>23</v>
      </c>
      <c r="AD87">
        <v>1</v>
      </c>
      <c r="AE87">
        <v>0</v>
      </c>
      <c r="AF87">
        <v>1</v>
      </c>
      <c r="AG87">
        <v>0</v>
      </c>
      <c r="AH87">
        <v>0</v>
      </c>
      <c r="AI87">
        <v>1</v>
      </c>
      <c r="AJ87">
        <v>0</v>
      </c>
    </row>
    <row r="88" spans="1:36">
      <c r="A88" t="s">
        <v>162</v>
      </c>
      <c r="B88">
        <v>9.33</v>
      </c>
      <c r="C88" s="7">
        <v>46068.692361111112</v>
      </c>
      <c r="D88" s="7">
        <v>46069.081243599539</v>
      </c>
      <c r="E88" t="s">
        <v>23</v>
      </c>
      <c r="F88" t="s">
        <v>40</v>
      </c>
      <c r="G88" t="s">
        <v>41</v>
      </c>
      <c r="H88" t="s">
        <v>26</v>
      </c>
      <c r="I88" t="s">
        <v>35</v>
      </c>
      <c r="J88" t="s">
        <v>36</v>
      </c>
      <c r="K88" t="s">
        <v>52</v>
      </c>
      <c r="L88" t="s">
        <v>101</v>
      </c>
      <c r="M88">
        <v>44</v>
      </c>
      <c r="N88">
        <v>4</v>
      </c>
      <c r="O88">
        <v>0</v>
      </c>
      <c r="P88">
        <v>6</v>
      </c>
      <c r="Q88" t="s">
        <v>31</v>
      </c>
      <c r="R88">
        <v>30</v>
      </c>
      <c r="S88">
        <v>8</v>
      </c>
      <c r="T88" t="s">
        <v>31</v>
      </c>
      <c r="U88" t="s">
        <v>31</v>
      </c>
      <c r="V88">
        <v>2026</v>
      </c>
      <c r="W88">
        <v>2</v>
      </c>
      <c r="X88" t="s">
        <v>1419</v>
      </c>
      <c r="Y88" s="6">
        <v>46054</v>
      </c>
      <c r="Z88" t="s">
        <v>1413</v>
      </c>
      <c r="AA88" t="s">
        <v>31</v>
      </c>
      <c r="AB88" t="s">
        <v>63</v>
      </c>
      <c r="AC88" t="s">
        <v>23</v>
      </c>
      <c r="AD88">
        <v>1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164</v>
      </c>
      <c r="B89">
        <v>6.4</v>
      </c>
      <c r="C89" s="7">
        <v>46151.601388888892</v>
      </c>
      <c r="D89" s="7">
        <v>46151.867946053244</v>
      </c>
      <c r="E89" t="s">
        <v>23</v>
      </c>
      <c r="F89" t="s">
        <v>24</v>
      </c>
      <c r="G89" t="s">
        <v>51</v>
      </c>
      <c r="H89" t="s">
        <v>26</v>
      </c>
      <c r="I89" t="s">
        <v>35</v>
      </c>
      <c r="J89" t="s">
        <v>36</v>
      </c>
      <c r="K89" t="s">
        <v>67</v>
      </c>
      <c r="L89" t="s">
        <v>44</v>
      </c>
      <c r="M89">
        <v>25</v>
      </c>
      <c r="N89">
        <v>4</v>
      </c>
      <c r="O89">
        <v>1</v>
      </c>
      <c r="P89">
        <v>7</v>
      </c>
      <c r="Q89" t="s">
        <v>31</v>
      </c>
      <c r="R89">
        <v>15</v>
      </c>
      <c r="S89">
        <v>4</v>
      </c>
      <c r="T89" t="s">
        <v>31</v>
      </c>
      <c r="U89" t="s">
        <v>31</v>
      </c>
      <c r="V89">
        <v>2026</v>
      </c>
      <c r="W89">
        <v>5</v>
      </c>
      <c r="X89" t="s">
        <v>1416</v>
      </c>
      <c r="Y89" s="6">
        <v>46143</v>
      </c>
      <c r="Z89" t="s">
        <v>1413</v>
      </c>
      <c r="AA89" t="s">
        <v>63</v>
      </c>
      <c r="AB89" t="s">
        <v>63</v>
      </c>
      <c r="AC89" t="s">
        <v>23</v>
      </c>
      <c r="AD89">
        <v>1</v>
      </c>
      <c r="AE89">
        <v>0</v>
      </c>
      <c r="AF89">
        <v>1</v>
      </c>
      <c r="AG89">
        <v>1</v>
      </c>
      <c r="AH89">
        <v>0</v>
      </c>
      <c r="AI89">
        <v>0</v>
      </c>
      <c r="AJ89">
        <v>0</v>
      </c>
    </row>
    <row r="90" spans="1:36">
      <c r="A90" t="s">
        <v>165</v>
      </c>
      <c r="B90">
        <v>8.58</v>
      </c>
      <c r="C90" s="7">
        <v>46217.433333333334</v>
      </c>
      <c r="D90" s="7">
        <v>46217.7907705787</v>
      </c>
      <c r="E90" t="s">
        <v>23</v>
      </c>
      <c r="F90" t="s">
        <v>50</v>
      </c>
      <c r="G90" t="s">
        <v>51</v>
      </c>
      <c r="H90" t="s">
        <v>54</v>
      </c>
      <c r="I90" t="s">
        <v>27</v>
      </c>
      <c r="J90" t="s">
        <v>28</v>
      </c>
      <c r="K90" t="s">
        <v>52</v>
      </c>
      <c r="L90" t="s">
        <v>44</v>
      </c>
      <c r="M90">
        <v>71</v>
      </c>
      <c r="N90">
        <v>5</v>
      </c>
      <c r="O90">
        <v>0</v>
      </c>
      <c r="P90">
        <v>5</v>
      </c>
      <c r="Q90" t="s">
        <v>31</v>
      </c>
      <c r="R90">
        <v>120</v>
      </c>
      <c r="S90">
        <v>24</v>
      </c>
      <c r="T90" t="s">
        <v>63</v>
      </c>
      <c r="U90" t="s">
        <v>63</v>
      </c>
      <c r="V90">
        <v>2026</v>
      </c>
      <c r="W90">
        <v>7</v>
      </c>
      <c r="X90" t="s">
        <v>1422</v>
      </c>
      <c r="Y90" s="6">
        <v>46204</v>
      </c>
      <c r="Z90" t="s">
        <v>1413</v>
      </c>
      <c r="AA90" t="s">
        <v>31</v>
      </c>
      <c r="AB90" t="s">
        <v>63</v>
      </c>
      <c r="AC90" t="s">
        <v>23</v>
      </c>
      <c r="AD90">
        <v>1</v>
      </c>
      <c r="AE90">
        <v>0</v>
      </c>
      <c r="AF90">
        <v>1</v>
      </c>
      <c r="AG90">
        <v>0</v>
      </c>
      <c r="AH90">
        <v>0</v>
      </c>
      <c r="AI90">
        <v>1</v>
      </c>
      <c r="AJ90">
        <v>1</v>
      </c>
    </row>
    <row r="91" spans="1:36">
      <c r="A91" t="s">
        <v>167</v>
      </c>
      <c r="B91">
        <v>40.200000000000003</v>
      </c>
      <c r="C91" s="7">
        <v>46238.871527777781</v>
      </c>
      <c r="D91" s="7">
        <v>46240.546385046298</v>
      </c>
      <c r="E91" t="s">
        <v>23</v>
      </c>
      <c r="F91" t="s">
        <v>33</v>
      </c>
      <c r="G91" t="s">
        <v>51</v>
      </c>
      <c r="H91" t="s">
        <v>34</v>
      </c>
      <c r="I91" t="s">
        <v>35</v>
      </c>
      <c r="J91" t="s">
        <v>48</v>
      </c>
      <c r="K91" t="s">
        <v>58</v>
      </c>
      <c r="L91" t="s">
        <v>101</v>
      </c>
      <c r="M91">
        <v>251</v>
      </c>
      <c r="N91">
        <v>3</v>
      </c>
      <c r="O91">
        <v>0</v>
      </c>
      <c r="P91">
        <v>4</v>
      </c>
      <c r="Q91" t="s">
        <v>31</v>
      </c>
      <c r="R91">
        <v>240</v>
      </c>
      <c r="S91">
        <v>48</v>
      </c>
      <c r="T91" t="s">
        <v>31</v>
      </c>
      <c r="U91" t="s">
        <v>63</v>
      </c>
      <c r="V91">
        <v>2026</v>
      </c>
      <c r="W91">
        <v>8</v>
      </c>
      <c r="X91" t="s">
        <v>1417</v>
      </c>
      <c r="Y91" s="6">
        <v>46235</v>
      </c>
      <c r="Z91" t="s">
        <v>1418</v>
      </c>
      <c r="AA91" t="s">
        <v>31</v>
      </c>
      <c r="AB91" t="s">
        <v>63</v>
      </c>
      <c r="AC91" t="s">
        <v>23</v>
      </c>
      <c r="AD91">
        <v>1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1</v>
      </c>
    </row>
    <row r="92" spans="1:36">
      <c r="A92" t="s">
        <v>168</v>
      </c>
      <c r="B92">
        <v>54.74</v>
      </c>
      <c r="C92" s="7">
        <v>46066.560416666667</v>
      </c>
      <c r="D92" s="7">
        <v>46068.841110381945</v>
      </c>
      <c r="E92" t="s">
        <v>23</v>
      </c>
      <c r="F92" t="s">
        <v>33</v>
      </c>
      <c r="G92" t="s">
        <v>51</v>
      </c>
      <c r="H92" t="s">
        <v>54</v>
      </c>
      <c r="I92" t="s">
        <v>42</v>
      </c>
      <c r="J92" t="s">
        <v>28</v>
      </c>
      <c r="K92" t="s">
        <v>37</v>
      </c>
      <c r="L92" t="s">
        <v>71</v>
      </c>
      <c r="M92">
        <v>287</v>
      </c>
      <c r="N92">
        <v>3</v>
      </c>
      <c r="O92">
        <v>0</v>
      </c>
      <c r="P92">
        <v>3</v>
      </c>
      <c r="Q92" t="s">
        <v>31</v>
      </c>
      <c r="R92">
        <v>240</v>
      </c>
      <c r="S92">
        <v>48</v>
      </c>
      <c r="T92" t="s">
        <v>31</v>
      </c>
      <c r="U92" t="s">
        <v>31</v>
      </c>
      <c r="V92">
        <v>2026</v>
      </c>
      <c r="W92">
        <v>2</v>
      </c>
      <c r="X92" t="s">
        <v>1419</v>
      </c>
      <c r="Y92" s="6">
        <v>46054</v>
      </c>
      <c r="Z92" t="s">
        <v>1418</v>
      </c>
      <c r="AA92" t="s">
        <v>31</v>
      </c>
      <c r="AB92" t="s">
        <v>63</v>
      </c>
      <c r="AC92" t="s">
        <v>23</v>
      </c>
      <c r="AD92">
        <v>1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170</v>
      </c>
      <c r="B93">
        <v>51.66</v>
      </c>
      <c r="C93" s="7">
        <v>46099.879861111112</v>
      </c>
      <c r="D93" s="7">
        <v>46102.032249791664</v>
      </c>
      <c r="E93" t="s">
        <v>23</v>
      </c>
      <c r="F93" t="s">
        <v>33</v>
      </c>
      <c r="G93" t="s">
        <v>41</v>
      </c>
      <c r="H93" t="s">
        <v>34</v>
      </c>
      <c r="I93" t="s">
        <v>35</v>
      </c>
      <c r="J93" t="s">
        <v>43</v>
      </c>
      <c r="K93" t="s">
        <v>76</v>
      </c>
      <c r="L93" t="s">
        <v>71</v>
      </c>
      <c r="M93">
        <v>114</v>
      </c>
      <c r="N93">
        <v>4</v>
      </c>
      <c r="O93">
        <v>0</v>
      </c>
      <c r="P93">
        <v>2</v>
      </c>
      <c r="Q93" t="s">
        <v>31</v>
      </c>
      <c r="R93">
        <v>240</v>
      </c>
      <c r="S93">
        <v>48</v>
      </c>
      <c r="T93" t="s">
        <v>63</v>
      </c>
      <c r="U93" t="s">
        <v>31</v>
      </c>
      <c r="V93">
        <v>2026</v>
      </c>
      <c r="W93">
        <v>3</v>
      </c>
      <c r="X93" t="s">
        <v>1423</v>
      </c>
      <c r="Y93" s="6">
        <v>46082</v>
      </c>
      <c r="Z93" t="s">
        <v>1413</v>
      </c>
      <c r="AA93" t="s">
        <v>31</v>
      </c>
      <c r="AB93" t="s">
        <v>63</v>
      </c>
      <c r="AC93" t="s">
        <v>23</v>
      </c>
      <c r="AD93">
        <v>1</v>
      </c>
      <c r="AE93">
        <v>0</v>
      </c>
      <c r="AF93">
        <v>1</v>
      </c>
      <c r="AG93">
        <v>0</v>
      </c>
      <c r="AH93">
        <v>0</v>
      </c>
      <c r="AI93">
        <v>1</v>
      </c>
      <c r="AJ93">
        <v>0</v>
      </c>
    </row>
    <row r="94" spans="1:36">
      <c r="A94" t="s">
        <v>172</v>
      </c>
      <c r="B94">
        <v>93.61</v>
      </c>
      <c r="C94" s="7">
        <v>46168.066666666666</v>
      </c>
      <c r="D94" s="7">
        <v>46171.967288194443</v>
      </c>
      <c r="E94" t="s">
        <v>23</v>
      </c>
      <c r="F94" t="s">
        <v>50</v>
      </c>
      <c r="G94" t="s">
        <v>65</v>
      </c>
      <c r="H94" t="s">
        <v>66</v>
      </c>
      <c r="I94" t="s">
        <v>35</v>
      </c>
      <c r="J94" t="s">
        <v>28</v>
      </c>
      <c r="K94" t="s">
        <v>58</v>
      </c>
      <c r="L94" t="s">
        <v>55</v>
      </c>
      <c r="M94">
        <v>218</v>
      </c>
      <c r="N94">
        <v>3</v>
      </c>
      <c r="O94">
        <v>1</v>
      </c>
      <c r="P94">
        <v>5</v>
      </c>
      <c r="Q94" t="s">
        <v>31</v>
      </c>
      <c r="R94">
        <v>120</v>
      </c>
      <c r="S94">
        <v>24</v>
      </c>
      <c r="T94" t="s">
        <v>31</v>
      </c>
      <c r="U94" t="s">
        <v>31</v>
      </c>
      <c r="V94">
        <v>2026</v>
      </c>
      <c r="W94">
        <v>5</v>
      </c>
      <c r="X94" t="s">
        <v>1416</v>
      </c>
      <c r="Y94" s="6">
        <v>46143</v>
      </c>
      <c r="Z94" t="s">
        <v>1418</v>
      </c>
      <c r="AA94" t="s">
        <v>63</v>
      </c>
      <c r="AB94" t="s">
        <v>63</v>
      </c>
      <c r="AC94" t="s">
        <v>23</v>
      </c>
      <c r="AD94">
        <v>1</v>
      </c>
      <c r="AE94">
        <v>0</v>
      </c>
      <c r="AF94">
        <v>1</v>
      </c>
      <c r="AG94">
        <v>1</v>
      </c>
      <c r="AH94">
        <v>0</v>
      </c>
      <c r="AI94">
        <v>0</v>
      </c>
      <c r="AJ94">
        <v>0</v>
      </c>
    </row>
    <row r="95" spans="1:36">
      <c r="A95" t="s">
        <v>174</v>
      </c>
      <c r="B95">
        <v>24.01</v>
      </c>
      <c r="C95" s="7">
        <v>46104.588888888888</v>
      </c>
      <c r="D95" s="7">
        <v>46105.589207592595</v>
      </c>
      <c r="E95" t="s">
        <v>23</v>
      </c>
      <c r="F95" t="s">
        <v>50</v>
      </c>
      <c r="G95" t="s">
        <v>41</v>
      </c>
      <c r="H95" t="s">
        <v>54</v>
      </c>
      <c r="I95" t="s">
        <v>42</v>
      </c>
      <c r="J95" t="s">
        <v>36</v>
      </c>
      <c r="K95" t="s">
        <v>52</v>
      </c>
      <c r="L95" t="s">
        <v>55</v>
      </c>
      <c r="M95">
        <v>116</v>
      </c>
      <c r="N95">
        <v>4</v>
      </c>
      <c r="O95">
        <v>0</v>
      </c>
      <c r="P95">
        <v>6</v>
      </c>
      <c r="Q95" t="s">
        <v>31</v>
      </c>
      <c r="R95">
        <v>120</v>
      </c>
      <c r="S95">
        <v>24</v>
      </c>
      <c r="T95" t="s">
        <v>63</v>
      </c>
      <c r="U95" t="s">
        <v>31</v>
      </c>
      <c r="V95">
        <v>2026</v>
      </c>
      <c r="W95">
        <v>3</v>
      </c>
      <c r="X95" t="s">
        <v>1423</v>
      </c>
      <c r="Y95" s="6">
        <v>46082</v>
      </c>
      <c r="Z95" t="s">
        <v>1413</v>
      </c>
      <c r="AA95" t="s">
        <v>31</v>
      </c>
      <c r="AB95" t="s">
        <v>63</v>
      </c>
      <c r="AC95" t="s">
        <v>23</v>
      </c>
      <c r="AD95">
        <v>1</v>
      </c>
      <c r="AE95">
        <v>0</v>
      </c>
      <c r="AF95">
        <v>1</v>
      </c>
      <c r="AG95">
        <v>0</v>
      </c>
      <c r="AH95">
        <v>0</v>
      </c>
      <c r="AI95">
        <v>1</v>
      </c>
      <c r="AJ95">
        <v>0</v>
      </c>
    </row>
    <row r="96" spans="1:36">
      <c r="A96" t="s">
        <v>175</v>
      </c>
      <c r="B96">
        <v>16.420000000000002</v>
      </c>
      <c r="C96" s="7">
        <v>46134.293055555558</v>
      </c>
      <c r="D96" s="7">
        <v>46134.977365358798</v>
      </c>
      <c r="E96" t="s">
        <v>23</v>
      </c>
      <c r="F96" t="s">
        <v>40</v>
      </c>
      <c r="G96" t="s">
        <v>51</v>
      </c>
      <c r="H96" t="s">
        <v>26</v>
      </c>
      <c r="I96" t="s">
        <v>42</v>
      </c>
      <c r="J96" t="s">
        <v>36</v>
      </c>
      <c r="K96" t="s">
        <v>58</v>
      </c>
      <c r="L96" t="s">
        <v>68</v>
      </c>
      <c r="M96">
        <v>44</v>
      </c>
      <c r="N96">
        <v>4</v>
      </c>
      <c r="O96">
        <v>0</v>
      </c>
      <c r="P96">
        <v>2</v>
      </c>
      <c r="Q96" t="s">
        <v>31</v>
      </c>
      <c r="R96">
        <v>30</v>
      </c>
      <c r="S96">
        <v>8</v>
      </c>
      <c r="T96" t="s">
        <v>31</v>
      </c>
      <c r="U96" t="s">
        <v>31</v>
      </c>
      <c r="V96">
        <v>2026</v>
      </c>
      <c r="W96">
        <v>4</v>
      </c>
      <c r="X96" t="s">
        <v>1412</v>
      </c>
      <c r="Y96" s="6">
        <v>46113</v>
      </c>
      <c r="Z96" t="s">
        <v>1413</v>
      </c>
      <c r="AA96" t="s">
        <v>31</v>
      </c>
      <c r="AB96" t="s">
        <v>63</v>
      </c>
      <c r="AC96" t="s">
        <v>23</v>
      </c>
      <c r="AD96">
        <v>1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176</v>
      </c>
      <c r="B97">
        <v>5.52</v>
      </c>
      <c r="C97" s="7">
        <v>46099.631249999999</v>
      </c>
      <c r="D97" s="7">
        <v>46099.861206504633</v>
      </c>
      <c r="E97" t="s">
        <v>23</v>
      </c>
      <c r="F97" t="s">
        <v>24</v>
      </c>
      <c r="G97" t="s">
        <v>41</v>
      </c>
      <c r="H97" t="s">
        <v>34</v>
      </c>
      <c r="I97" t="s">
        <v>35</v>
      </c>
      <c r="J97" t="s">
        <v>36</v>
      </c>
      <c r="K97" t="s">
        <v>29</v>
      </c>
      <c r="L97" t="s">
        <v>101</v>
      </c>
      <c r="M97">
        <v>28</v>
      </c>
      <c r="N97">
        <v>4</v>
      </c>
      <c r="O97">
        <v>2</v>
      </c>
      <c r="P97">
        <v>14</v>
      </c>
      <c r="Q97" t="s">
        <v>31</v>
      </c>
      <c r="R97">
        <v>15</v>
      </c>
      <c r="S97">
        <v>4</v>
      </c>
      <c r="T97" t="s">
        <v>31</v>
      </c>
      <c r="U97" t="s">
        <v>31</v>
      </c>
      <c r="V97">
        <v>2026</v>
      </c>
      <c r="W97">
        <v>3</v>
      </c>
      <c r="X97" t="s">
        <v>1423</v>
      </c>
      <c r="Y97" s="6">
        <v>46082</v>
      </c>
      <c r="Z97" t="s">
        <v>1413</v>
      </c>
      <c r="AA97" t="s">
        <v>63</v>
      </c>
      <c r="AB97" t="s">
        <v>63</v>
      </c>
      <c r="AC97" t="s">
        <v>23</v>
      </c>
      <c r="AD97">
        <v>1</v>
      </c>
      <c r="AE97">
        <v>0</v>
      </c>
      <c r="AF97">
        <v>1</v>
      </c>
      <c r="AG97">
        <v>1</v>
      </c>
      <c r="AH97">
        <v>0</v>
      </c>
      <c r="AI97">
        <v>0</v>
      </c>
      <c r="AJ97">
        <v>0</v>
      </c>
    </row>
    <row r="98" spans="1:36">
      <c r="A98" t="s">
        <v>177</v>
      </c>
      <c r="B98">
        <v>25.74</v>
      </c>
      <c r="C98" s="7">
        <v>46105.706250000003</v>
      </c>
      <c r="D98" s="7">
        <v>46106.778603993058</v>
      </c>
      <c r="E98" t="s">
        <v>23</v>
      </c>
      <c r="F98" t="s">
        <v>50</v>
      </c>
      <c r="G98" t="s">
        <v>65</v>
      </c>
      <c r="H98" t="s">
        <v>66</v>
      </c>
      <c r="I98" t="s">
        <v>35</v>
      </c>
      <c r="J98" t="s">
        <v>28</v>
      </c>
      <c r="K98" t="s">
        <v>67</v>
      </c>
      <c r="L98" t="s">
        <v>71</v>
      </c>
      <c r="M98">
        <v>167</v>
      </c>
      <c r="N98">
        <v>4</v>
      </c>
      <c r="O98">
        <v>0</v>
      </c>
      <c r="P98">
        <v>5</v>
      </c>
      <c r="Q98" t="s">
        <v>31</v>
      </c>
      <c r="R98">
        <v>120</v>
      </c>
      <c r="S98">
        <v>24</v>
      </c>
      <c r="T98" t="s">
        <v>31</v>
      </c>
      <c r="U98" t="s">
        <v>31</v>
      </c>
      <c r="V98">
        <v>2026</v>
      </c>
      <c r="W98">
        <v>3</v>
      </c>
      <c r="X98" t="s">
        <v>1423</v>
      </c>
      <c r="Y98" s="6">
        <v>46082</v>
      </c>
      <c r="Z98" t="s">
        <v>1413</v>
      </c>
      <c r="AA98" t="s">
        <v>31</v>
      </c>
      <c r="AB98" t="s">
        <v>63</v>
      </c>
      <c r="AC98" t="s">
        <v>23</v>
      </c>
      <c r="AD98">
        <v>1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</row>
    <row r="99" spans="1:36">
      <c r="A99" t="s">
        <v>178</v>
      </c>
      <c r="B99">
        <v>46.78</v>
      </c>
      <c r="C99" s="7">
        <v>46125.921527777777</v>
      </c>
      <c r="D99" s="7">
        <v>46127.870564027777</v>
      </c>
      <c r="E99" t="s">
        <v>23</v>
      </c>
      <c r="F99" t="s">
        <v>50</v>
      </c>
      <c r="G99" t="s">
        <v>25</v>
      </c>
      <c r="H99" t="s">
        <v>26</v>
      </c>
      <c r="I99" t="s">
        <v>35</v>
      </c>
      <c r="J99" t="s">
        <v>28</v>
      </c>
      <c r="K99" t="s">
        <v>52</v>
      </c>
      <c r="L99" t="s">
        <v>68</v>
      </c>
      <c r="M99">
        <v>108</v>
      </c>
      <c r="N99">
        <v>4</v>
      </c>
      <c r="O99">
        <v>0</v>
      </c>
      <c r="P99">
        <v>3</v>
      </c>
      <c r="Q99" t="s">
        <v>31</v>
      </c>
      <c r="R99">
        <v>120</v>
      </c>
      <c r="S99">
        <v>24</v>
      </c>
      <c r="T99" t="s">
        <v>63</v>
      </c>
      <c r="U99" t="s">
        <v>31</v>
      </c>
      <c r="V99">
        <v>2026</v>
      </c>
      <c r="W99">
        <v>4</v>
      </c>
      <c r="X99" t="s">
        <v>1412</v>
      </c>
      <c r="Y99" s="6">
        <v>46113</v>
      </c>
      <c r="Z99" t="s">
        <v>1413</v>
      </c>
      <c r="AA99" t="s">
        <v>31</v>
      </c>
      <c r="AB99" t="s">
        <v>63</v>
      </c>
      <c r="AC99" t="s">
        <v>23</v>
      </c>
      <c r="AD99">
        <v>1</v>
      </c>
      <c r="AE99">
        <v>0</v>
      </c>
      <c r="AF99">
        <v>1</v>
      </c>
      <c r="AG99">
        <v>0</v>
      </c>
      <c r="AH99">
        <v>0</v>
      </c>
      <c r="AI99">
        <v>1</v>
      </c>
      <c r="AJ99">
        <v>0</v>
      </c>
    </row>
    <row r="100" spans="1:36">
      <c r="A100" t="s">
        <v>179</v>
      </c>
      <c r="B100">
        <v>72.540000000000006</v>
      </c>
      <c r="C100" s="7">
        <v>46134.2</v>
      </c>
      <c r="D100" s="7">
        <v>46137.222632291669</v>
      </c>
      <c r="E100" t="s">
        <v>23</v>
      </c>
      <c r="F100" t="s">
        <v>50</v>
      </c>
      <c r="G100" t="s">
        <v>51</v>
      </c>
      <c r="H100" t="s">
        <v>75</v>
      </c>
      <c r="I100" t="s">
        <v>35</v>
      </c>
      <c r="J100" t="s">
        <v>28</v>
      </c>
      <c r="K100" t="s">
        <v>37</v>
      </c>
      <c r="L100" t="s">
        <v>68</v>
      </c>
      <c r="M100">
        <v>50</v>
      </c>
      <c r="N100">
        <v>4</v>
      </c>
      <c r="O100">
        <v>0</v>
      </c>
      <c r="P100">
        <v>4</v>
      </c>
      <c r="Q100" t="s">
        <v>31</v>
      </c>
      <c r="R100">
        <v>120</v>
      </c>
      <c r="S100">
        <v>24</v>
      </c>
      <c r="T100" t="s">
        <v>63</v>
      </c>
      <c r="U100" t="s">
        <v>31</v>
      </c>
      <c r="V100">
        <v>2026</v>
      </c>
      <c r="W100">
        <v>4</v>
      </c>
      <c r="X100" t="s">
        <v>1412</v>
      </c>
      <c r="Y100" s="6">
        <v>46113</v>
      </c>
      <c r="Z100" t="s">
        <v>1413</v>
      </c>
      <c r="AA100" t="s">
        <v>31</v>
      </c>
      <c r="AB100" t="s">
        <v>63</v>
      </c>
      <c r="AC100" t="s">
        <v>23</v>
      </c>
      <c r="AD100">
        <v>1</v>
      </c>
      <c r="AE100">
        <v>0</v>
      </c>
      <c r="AF100">
        <v>1</v>
      </c>
      <c r="AG100">
        <v>0</v>
      </c>
      <c r="AH100">
        <v>0</v>
      </c>
      <c r="AI100">
        <v>1</v>
      </c>
      <c r="AJ100">
        <v>0</v>
      </c>
    </row>
    <row r="101" spans="1:36">
      <c r="A101" t="s">
        <v>180</v>
      </c>
      <c r="B101">
        <v>29.7</v>
      </c>
      <c r="C101" s="7">
        <v>46240.643055555556</v>
      </c>
      <c r="D101" s="7">
        <v>46241.880477106482</v>
      </c>
      <c r="E101" t="s">
        <v>23</v>
      </c>
      <c r="F101" t="s">
        <v>40</v>
      </c>
      <c r="G101" t="s">
        <v>51</v>
      </c>
      <c r="H101" t="s">
        <v>34</v>
      </c>
      <c r="I101" t="s">
        <v>27</v>
      </c>
      <c r="J101" t="s">
        <v>36</v>
      </c>
      <c r="K101" t="s">
        <v>76</v>
      </c>
      <c r="L101" t="s">
        <v>85</v>
      </c>
      <c r="M101">
        <v>28</v>
      </c>
      <c r="N101">
        <v>4</v>
      </c>
      <c r="O101">
        <v>0</v>
      </c>
      <c r="P101">
        <v>7</v>
      </c>
      <c r="Q101" t="s">
        <v>31</v>
      </c>
      <c r="R101">
        <v>30</v>
      </c>
      <c r="S101">
        <v>8</v>
      </c>
      <c r="T101" t="s">
        <v>63</v>
      </c>
      <c r="U101" t="s">
        <v>31</v>
      </c>
      <c r="V101">
        <v>2026</v>
      </c>
      <c r="W101">
        <v>8</v>
      </c>
      <c r="X101" t="s">
        <v>1417</v>
      </c>
      <c r="Y101" s="6">
        <v>46235</v>
      </c>
      <c r="Z101" t="s">
        <v>1413</v>
      </c>
      <c r="AA101" t="s">
        <v>31</v>
      </c>
      <c r="AB101" t="s">
        <v>63</v>
      </c>
      <c r="AC101" t="s">
        <v>23</v>
      </c>
      <c r="AD101">
        <v>1</v>
      </c>
      <c r="AE101">
        <v>0</v>
      </c>
      <c r="AF101">
        <v>1</v>
      </c>
      <c r="AG101">
        <v>0</v>
      </c>
      <c r="AH101">
        <v>0</v>
      </c>
      <c r="AI101">
        <v>1</v>
      </c>
      <c r="AJ101">
        <v>0</v>
      </c>
    </row>
    <row r="102" spans="1:36">
      <c r="A102" t="s">
        <v>182</v>
      </c>
      <c r="B102">
        <v>9.67</v>
      </c>
      <c r="C102" s="7">
        <v>46192.272916666669</v>
      </c>
      <c r="D102" s="7">
        <v>46192.675763969906</v>
      </c>
      <c r="E102" t="s">
        <v>23</v>
      </c>
      <c r="F102" t="s">
        <v>24</v>
      </c>
      <c r="G102" t="s">
        <v>25</v>
      </c>
      <c r="H102" t="s">
        <v>26</v>
      </c>
      <c r="I102" t="s">
        <v>42</v>
      </c>
      <c r="J102" t="s">
        <v>28</v>
      </c>
      <c r="K102" t="s">
        <v>37</v>
      </c>
      <c r="L102" t="s">
        <v>101</v>
      </c>
      <c r="M102">
        <v>16</v>
      </c>
      <c r="N102">
        <v>5</v>
      </c>
      <c r="O102">
        <v>0</v>
      </c>
      <c r="P102">
        <v>4</v>
      </c>
      <c r="Q102" t="s">
        <v>31</v>
      </c>
      <c r="R102">
        <v>15</v>
      </c>
      <c r="S102">
        <v>4</v>
      </c>
      <c r="T102" t="s">
        <v>31</v>
      </c>
      <c r="U102" t="s">
        <v>31</v>
      </c>
      <c r="V102">
        <v>2026</v>
      </c>
      <c r="W102">
        <v>6</v>
      </c>
      <c r="X102" t="s">
        <v>1421</v>
      </c>
      <c r="Y102" s="6">
        <v>46174</v>
      </c>
      <c r="Z102" t="s">
        <v>1413</v>
      </c>
      <c r="AA102" t="s">
        <v>31</v>
      </c>
      <c r="AB102" t="s">
        <v>63</v>
      </c>
      <c r="AC102" t="s">
        <v>23</v>
      </c>
      <c r="AD102">
        <v>1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183</v>
      </c>
      <c r="B103">
        <v>16.399999999999999</v>
      </c>
      <c r="C103" s="7">
        <v>46043.504166666666</v>
      </c>
      <c r="D103" s="7">
        <v>46044.187616053241</v>
      </c>
      <c r="E103" t="s">
        <v>23</v>
      </c>
      <c r="F103" t="s">
        <v>50</v>
      </c>
      <c r="G103" t="s">
        <v>25</v>
      </c>
      <c r="H103" t="s">
        <v>34</v>
      </c>
      <c r="I103" t="s">
        <v>35</v>
      </c>
      <c r="J103" t="s">
        <v>28</v>
      </c>
      <c r="K103" t="s">
        <v>58</v>
      </c>
      <c r="L103" t="s">
        <v>68</v>
      </c>
      <c r="M103">
        <v>41</v>
      </c>
      <c r="N103">
        <v>4</v>
      </c>
      <c r="O103">
        <v>1</v>
      </c>
      <c r="P103">
        <v>9</v>
      </c>
      <c r="Q103" t="s">
        <v>31</v>
      </c>
      <c r="R103">
        <v>120</v>
      </c>
      <c r="S103">
        <v>24</v>
      </c>
      <c r="T103" t="s">
        <v>63</v>
      </c>
      <c r="U103" t="s">
        <v>63</v>
      </c>
      <c r="V103">
        <v>2026</v>
      </c>
      <c r="W103">
        <v>1</v>
      </c>
      <c r="X103" t="s">
        <v>1414</v>
      </c>
      <c r="Y103" s="6">
        <v>46023</v>
      </c>
      <c r="Z103" t="s">
        <v>1413</v>
      </c>
      <c r="AA103" t="s">
        <v>63</v>
      </c>
      <c r="AB103" t="s">
        <v>63</v>
      </c>
      <c r="AC103" t="s">
        <v>23</v>
      </c>
      <c r="AD103">
        <v>1</v>
      </c>
      <c r="AE103">
        <v>0</v>
      </c>
      <c r="AF103">
        <v>1</v>
      </c>
      <c r="AG103">
        <v>1</v>
      </c>
      <c r="AH103">
        <v>0</v>
      </c>
      <c r="AI103">
        <v>1</v>
      </c>
      <c r="AJ103">
        <v>1</v>
      </c>
    </row>
    <row r="104" spans="1:36">
      <c r="A104" t="s">
        <v>184</v>
      </c>
      <c r="B104">
        <v>31.88</v>
      </c>
      <c r="C104" s="7">
        <v>46029.480555555558</v>
      </c>
      <c r="D104" s="7">
        <v>46030.808883680555</v>
      </c>
      <c r="E104" t="s">
        <v>23</v>
      </c>
      <c r="F104" t="s">
        <v>33</v>
      </c>
      <c r="G104" t="s">
        <v>41</v>
      </c>
      <c r="H104" t="s">
        <v>34</v>
      </c>
      <c r="I104" t="s">
        <v>35</v>
      </c>
      <c r="J104" t="s">
        <v>48</v>
      </c>
      <c r="K104" t="s">
        <v>37</v>
      </c>
      <c r="L104" t="s">
        <v>44</v>
      </c>
      <c r="M104">
        <v>433</v>
      </c>
      <c r="N104">
        <v>3</v>
      </c>
      <c r="O104">
        <v>0</v>
      </c>
      <c r="P104">
        <v>11</v>
      </c>
      <c r="Q104" t="s">
        <v>63</v>
      </c>
      <c r="R104">
        <v>240</v>
      </c>
      <c r="S104">
        <v>48</v>
      </c>
      <c r="T104" t="s">
        <v>31</v>
      </c>
      <c r="U104" t="s">
        <v>63</v>
      </c>
      <c r="V104">
        <v>2026</v>
      </c>
      <c r="W104">
        <v>1</v>
      </c>
      <c r="X104" t="s">
        <v>1414</v>
      </c>
      <c r="Y104" s="6">
        <v>46023</v>
      </c>
      <c r="Z104" t="s">
        <v>1418</v>
      </c>
      <c r="AA104" t="s">
        <v>31</v>
      </c>
      <c r="AB104" t="s">
        <v>63</v>
      </c>
      <c r="AC104" t="s">
        <v>23</v>
      </c>
      <c r="AD104">
        <v>1</v>
      </c>
      <c r="AE104">
        <v>0</v>
      </c>
      <c r="AF104">
        <v>1</v>
      </c>
      <c r="AG104">
        <v>0</v>
      </c>
      <c r="AH104">
        <v>1</v>
      </c>
      <c r="AI104">
        <v>0</v>
      </c>
      <c r="AJ104">
        <v>1</v>
      </c>
    </row>
    <row r="105" spans="1:36">
      <c r="A105" t="s">
        <v>185</v>
      </c>
      <c r="B105">
        <v>20.329999999999998</v>
      </c>
      <c r="C105" s="7">
        <v>46129.185416666667</v>
      </c>
      <c r="D105" s="7">
        <v>46130.032677418982</v>
      </c>
      <c r="E105" t="s">
        <v>23</v>
      </c>
      <c r="F105" t="s">
        <v>50</v>
      </c>
      <c r="G105" t="s">
        <v>25</v>
      </c>
      <c r="H105" t="s">
        <v>54</v>
      </c>
      <c r="I105" t="s">
        <v>42</v>
      </c>
      <c r="J105" t="s">
        <v>48</v>
      </c>
      <c r="K105" t="s">
        <v>29</v>
      </c>
      <c r="L105" t="s">
        <v>101</v>
      </c>
      <c r="M105">
        <v>66</v>
      </c>
      <c r="N105">
        <v>4</v>
      </c>
      <c r="O105">
        <v>0</v>
      </c>
      <c r="P105">
        <v>6</v>
      </c>
      <c r="Q105" t="s">
        <v>31</v>
      </c>
      <c r="R105">
        <v>120</v>
      </c>
      <c r="S105">
        <v>24</v>
      </c>
      <c r="T105" t="s">
        <v>63</v>
      </c>
      <c r="U105" t="s">
        <v>63</v>
      </c>
      <c r="V105">
        <v>2026</v>
      </c>
      <c r="W105">
        <v>4</v>
      </c>
      <c r="X105" t="s">
        <v>1412</v>
      </c>
      <c r="Y105" s="6">
        <v>46113</v>
      </c>
      <c r="Z105" t="s">
        <v>1413</v>
      </c>
      <c r="AA105" t="s">
        <v>31</v>
      </c>
      <c r="AB105" t="s">
        <v>63</v>
      </c>
      <c r="AC105" t="s">
        <v>23</v>
      </c>
      <c r="AD105">
        <v>1</v>
      </c>
      <c r="AE105">
        <v>0</v>
      </c>
      <c r="AF105">
        <v>1</v>
      </c>
      <c r="AG105">
        <v>0</v>
      </c>
      <c r="AH105">
        <v>0</v>
      </c>
      <c r="AI105">
        <v>1</v>
      </c>
      <c r="AJ105">
        <v>1</v>
      </c>
    </row>
    <row r="106" spans="1:36">
      <c r="A106" t="s">
        <v>186</v>
      </c>
      <c r="B106">
        <v>85.29</v>
      </c>
      <c r="C106" s="7">
        <v>46176.206944444442</v>
      </c>
      <c r="D106" s="7">
        <v>46179.760790740744</v>
      </c>
      <c r="E106" t="s">
        <v>23</v>
      </c>
      <c r="F106" t="s">
        <v>33</v>
      </c>
      <c r="G106" t="s">
        <v>51</v>
      </c>
      <c r="H106" t="s">
        <v>34</v>
      </c>
      <c r="I106" t="s">
        <v>42</v>
      </c>
      <c r="J106" t="s">
        <v>48</v>
      </c>
      <c r="K106" t="s">
        <v>37</v>
      </c>
      <c r="L106" t="s">
        <v>38</v>
      </c>
      <c r="M106">
        <v>347</v>
      </c>
      <c r="N106">
        <v>3</v>
      </c>
      <c r="O106">
        <v>0</v>
      </c>
      <c r="P106">
        <v>2</v>
      </c>
      <c r="Q106" t="s">
        <v>31</v>
      </c>
      <c r="R106">
        <v>240</v>
      </c>
      <c r="S106">
        <v>48</v>
      </c>
      <c r="T106" t="s">
        <v>31</v>
      </c>
      <c r="U106" t="s">
        <v>31</v>
      </c>
      <c r="V106">
        <v>2026</v>
      </c>
      <c r="W106">
        <v>6</v>
      </c>
      <c r="X106" t="s">
        <v>1421</v>
      </c>
      <c r="Y106" s="6">
        <v>46174</v>
      </c>
      <c r="Z106" t="s">
        <v>1418</v>
      </c>
      <c r="AA106" t="s">
        <v>31</v>
      </c>
      <c r="AB106" t="s">
        <v>63</v>
      </c>
      <c r="AC106" t="s">
        <v>23</v>
      </c>
      <c r="AD106">
        <v>1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187</v>
      </c>
      <c r="B107">
        <v>4.16</v>
      </c>
      <c r="C107" s="7">
        <v>46111.740277777775</v>
      </c>
      <c r="D107" s="7">
        <v>46111.91347821759</v>
      </c>
      <c r="E107" t="s">
        <v>23</v>
      </c>
      <c r="F107" t="s">
        <v>24</v>
      </c>
      <c r="G107" t="s">
        <v>25</v>
      </c>
      <c r="H107" t="s">
        <v>75</v>
      </c>
      <c r="I107" t="s">
        <v>42</v>
      </c>
      <c r="J107" t="s">
        <v>36</v>
      </c>
      <c r="K107" t="s">
        <v>52</v>
      </c>
      <c r="L107" t="s">
        <v>30</v>
      </c>
      <c r="M107">
        <v>24</v>
      </c>
      <c r="N107">
        <v>3</v>
      </c>
      <c r="O107">
        <v>2</v>
      </c>
      <c r="P107">
        <v>8</v>
      </c>
      <c r="Q107" t="s">
        <v>31</v>
      </c>
      <c r="R107">
        <v>15</v>
      </c>
      <c r="S107">
        <v>4</v>
      </c>
      <c r="T107" t="s">
        <v>31</v>
      </c>
      <c r="U107" t="s">
        <v>31</v>
      </c>
      <c r="V107">
        <v>2026</v>
      </c>
      <c r="W107">
        <v>3</v>
      </c>
      <c r="X107" t="s">
        <v>1423</v>
      </c>
      <c r="Y107" s="6">
        <v>46082</v>
      </c>
      <c r="Z107" t="s">
        <v>1418</v>
      </c>
      <c r="AA107" t="s">
        <v>63</v>
      </c>
      <c r="AB107" t="s">
        <v>63</v>
      </c>
      <c r="AC107" t="s">
        <v>23</v>
      </c>
      <c r="AD107">
        <v>1</v>
      </c>
      <c r="AE107">
        <v>0</v>
      </c>
      <c r="AF107">
        <v>1</v>
      </c>
      <c r="AG107">
        <v>1</v>
      </c>
      <c r="AH107">
        <v>0</v>
      </c>
      <c r="AI107">
        <v>0</v>
      </c>
      <c r="AJ107">
        <v>0</v>
      </c>
    </row>
    <row r="108" spans="1:36">
      <c r="A108" t="s">
        <v>188</v>
      </c>
      <c r="B108">
        <v>48.5</v>
      </c>
      <c r="C108" s="7">
        <v>46224.15902777778</v>
      </c>
      <c r="D108" s="7">
        <v>46226.179738055558</v>
      </c>
      <c r="E108" t="s">
        <v>23</v>
      </c>
      <c r="F108" t="s">
        <v>50</v>
      </c>
      <c r="G108" t="s">
        <v>41</v>
      </c>
      <c r="H108" t="s">
        <v>54</v>
      </c>
      <c r="I108" t="s">
        <v>27</v>
      </c>
      <c r="J108" t="s">
        <v>48</v>
      </c>
      <c r="K108" t="s">
        <v>58</v>
      </c>
      <c r="L108" t="s">
        <v>55</v>
      </c>
      <c r="M108">
        <v>64</v>
      </c>
      <c r="N108">
        <v>4</v>
      </c>
      <c r="O108">
        <v>0</v>
      </c>
      <c r="P108">
        <v>7</v>
      </c>
      <c r="Q108" t="s">
        <v>31</v>
      </c>
      <c r="R108">
        <v>120</v>
      </c>
      <c r="S108">
        <v>24</v>
      </c>
      <c r="T108" t="s">
        <v>63</v>
      </c>
      <c r="U108" t="s">
        <v>31</v>
      </c>
      <c r="V108">
        <v>2026</v>
      </c>
      <c r="W108">
        <v>7</v>
      </c>
      <c r="X108" t="s">
        <v>1422</v>
      </c>
      <c r="Y108" s="6">
        <v>46204</v>
      </c>
      <c r="Z108" t="s">
        <v>1413</v>
      </c>
      <c r="AA108" t="s">
        <v>31</v>
      </c>
      <c r="AB108" t="s">
        <v>63</v>
      </c>
      <c r="AC108" t="s">
        <v>23</v>
      </c>
      <c r="AD108">
        <v>1</v>
      </c>
      <c r="AE108">
        <v>0</v>
      </c>
      <c r="AF108">
        <v>1</v>
      </c>
      <c r="AG108">
        <v>0</v>
      </c>
      <c r="AH108">
        <v>0</v>
      </c>
      <c r="AI108">
        <v>1</v>
      </c>
      <c r="AJ108">
        <v>0</v>
      </c>
    </row>
    <row r="109" spans="1:36">
      <c r="A109" t="s">
        <v>189</v>
      </c>
      <c r="B109">
        <v>56.01</v>
      </c>
      <c r="C109" s="7">
        <v>46038.482638888891</v>
      </c>
      <c r="D109" s="7">
        <v>46040.816436273148</v>
      </c>
      <c r="E109" t="s">
        <v>23</v>
      </c>
      <c r="F109" t="s">
        <v>33</v>
      </c>
      <c r="G109" t="s">
        <v>51</v>
      </c>
      <c r="H109" t="s">
        <v>54</v>
      </c>
      <c r="I109" t="s">
        <v>42</v>
      </c>
      <c r="J109" t="s">
        <v>43</v>
      </c>
      <c r="K109" t="s">
        <v>37</v>
      </c>
      <c r="L109" t="s">
        <v>71</v>
      </c>
      <c r="M109">
        <v>134</v>
      </c>
      <c r="N109">
        <v>3</v>
      </c>
      <c r="O109">
        <v>0</v>
      </c>
      <c r="P109">
        <v>6</v>
      </c>
      <c r="Q109" t="s">
        <v>31</v>
      </c>
      <c r="R109">
        <v>240</v>
      </c>
      <c r="S109">
        <v>48</v>
      </c>
      <c r="T109" t="s">
        <v>63</v>
      </c>
      <c r="U109" t="s">
        <v>31</v>
      </c>
      <c r="V109">
        <v>2026</v>
      </c>
      <c r="W109">
        <v>1</v>
      </c>
      <c r="X109" t="s">
        <v>1414</v>
      </c>
      <c r="Y109" s="6">
        <v>46023</v>
      </c>
      <c r="Z109" t="s">
        <v>1418</v>
      </c>
      <c r="AA109" t="s">
        <v>31</v>
      </c>
      <c r="AB109" t="s">
        <v>63</v>
      </c>
      <c r="AC109" t="s">
        <v>23</v>
      </c>
      <c r="AD109">
        <v>1</v>
      </c>
      <c r="AE109">
        <v>0</v>
      </c>
      <c r="AF109">
        <v>1</v>
      </c>
      <c r="AG109">
        <v>0</v>
      </c>
      <c r="AH109">
        <v>0</v>
      </c>
      <c r="AI109">
        <v>1</v>
      </c>
      <c r="AJ109">
        <v>0</v>
      </c>
    </row>
    <row r="110" spans="1:36">
      <c r="A110" t="s">
        <v>190</v>
      </c>
      <c r="B110">
        <v>35.25</v>
      </c>
      <c r="C110" s="7">
        <v>46122.713194444441</v>
      </c>
      <c r="D110" s="7">
        <v>46124.182041956017</v>
      </c>
      <c r="E110" t="s">
        <v>23</v>
      </c>
      <c r="F110" t="s">
        <v>50</v>
      </c>
      <c r="G110" t="s">
        <v>25</v>
      </c>
      <c r="H110" t="s">
        <v>26</v>
      </c>
      <c r="I110" t="s">
        <v>42</v>
      </c>
      <c r="J110" t="s">
        <v>48</v>
      </c>
      <c r="K110" t="s">
        <v>37</v>
      </c>
      <c r="L110" t="s">
        <v>93</v>
      </c>
      <c r="M110">
        <v>56</v>
      </c>
      <c r="N110">
        <v>3</v>
      </c>
      <c r="O110">
        <v>2</v>
      </c>
      <c r="P110">
        <v>11</v>
      </c>
      <c r="Q110" t="s">
        <v>31</v>
      </c>
      <c r="R110">
        <v>120</v>
      </c>
      <c r="S110">
        <v>24</v>
      </c>
      <c r="T110" t="s">
        <v>63</v>
      </c>
      <c r="U110" t="s">
        <v>31</v>
      </c>
      <c r="V110">
        <v>2026</v>
      </c>
      <c r="W110">
        <v>4</v>
      </c>
      <c r="X110" t="s">
        <v>1412</v>
      </c>
      <c r="Y110" s="6">
        <v>46113</v>
      </c>
      <c r="Z110" t="s">
        <v>1418</v>
      </c>
      <c r="AA110" t="s">
        <v>63</v>
      </c>
      <c r="AB110" t="s">
        <v>63</v>
      </c>
      <c r="AC110" t="s">
        <v>23</v>
      </c>
      <c r="AD110">
        <v>1</v>
      </c>
      <c r="AE110">
        <v>0</v>
      </c>
      <c r="AF110">
        <v>1</v>
      </c>
      <c r="AG110">
        <v>1</v>
      </c>
      <c r="AH110">
        <v>0</v>
      </c>
      <c r="AI110">
        <v>1</v>
      </c>
      <c r="AJ110">
        <v>0</v>
      </c>
    </row>
    <row r="111" spans="1:36">
      <c r="A111" t="s">
        <v>192</v>
      </c>
      <c r="B111">
        <v>25.01</v>
      </c>
      <c r="C111" s="7">
        <v>46094.084027777775</v>
      </c>
      <c r="D111" s="7">
        <v>46095.126048773149</v>
      </c>
      <c r="E111" t="s">
        <v>23</v>
      </c>
      <c r="F111" t="s">
        <v>33</v>
      </c>
      <c r="G111" t="s">
        <v>65</v>
      </c>
      <c r="H111" t="s">
        <v>34</v>
      </c>
      <c r="I111" t="s">
        <v>27</v>
      </c>
      <c r="J111" t="s">
        <v>43</v>
      </c>
      <c r="K111" t="s">
        <v>76</v>
      </c>
      <c r="L111" t="s">
        <v>30</v>
      </c>
      <c r="M111">
        <v>218</v>
      </c>
      <c r="N111">
        <v>4</v>
      </c>
      <c r="O111">
        <v>0</v>
      </c>
      <c r="P111">
        <v>3</v>
      </c>
      <c r="Q111" t="s">
        <v>31</v>
      </c>
      <c r="R111">
        <v>240</v>
      </c>
      <c r="S111">
        <v>48</v>
      </c>
      <c r="T111" t="s">
        <v>63</v>
      </c>
      <c r="U111" t="s">
        <v>63</v>
      </c>
      <c r="V111">
        <v>2026</v>
      </c>
      <c r="W111">
        <v>3</v>
      </c>
      <c r="X111" t="s">
        <v>1423</v>
      </c>
      <c r="Y111" s="6">
        <v>46082</v>
      </c>
      <c r="Z111" t="s">
        <v>1413</v>
      </c>
      <c r="AA111" t="s">
        <v>31</v>
      </c>
      <c r="AB111" t="s">
        <v>63</v>
      </c>
      <c r="AC111" t="s">
        <v>23</v>
      </c>
      <c r="AD111">
        <v>1</v>
      </c>
      <c r="AE111">
        <v>0</v>
      </c>
      <c r="AF111">
        <v>1</v>
      </c>
      <c r="AG111">
        <v>0</v>
      </c>
      <c r="AH111">
        <v>0</v>
      </c>
      <c r="AI111">
        <v>1</v>
      </c>
      <c r="AJ111">
        <v>1</v>
      </c>
    </row>
    <row r="112" spans="1:36">
      <c r="A112" t="s">
        <v>193</v>
      </c>
      <c r="B112">
        <v>5.99</v>
      </c>
      <c r="C112" s="7">
        <v>46216.393750000003</v>
      </c>
      <c r="D112" s="7">
        <v>46216.643436724538</v>
      </c>
      <c r="E112" t="s">
        <v>23</v>
      </c>
      <c r="F112" t="s">
        <v>24</v>
      </c>
      <c r="G112" t="s">
        <v>25</v>
      </c>
      <c r="H112" t="s">
        <v>26</v>
      </c>
      <c r="I112" t="s">
        <v>35</v>
      </c>
      <c r="J112" t="s">
        <v>43</v>
      </c>
      <c r="K112" t="s">
        <v>52</v>
      </c>
      <c r="L112" t="s">
        <v>93</v>
      </c>
      <c r="M112">
        <v>24</v>
      </c>
      <c r="N112">
        <v>4</v>
      </c>
      <c r="O112">
        <v>0</v>
      </c>
      <c r="P112">
        <v>2</v>
      </c>
      <c r="Q112" t="s">
        <v>31</v>
      </c>
      <c r="R112">
        <v>15</v>
      </c>
      <c r="S112">
        <v>4</v>
      </c>
      <c r="T112" t="s">
        <v>31</v>
      </c>
      <c r="U112" t="s">
        <v>31</v>
      </c>
      <c r="V112">
        <v>2026</v>
      </c>
      <c r="W112">
        <v>7</v>
      </c>
      <c r="X112" t="s">
        <v>1422</v>
      </c>
      <c r="Y112" s="6">
        <v>46204</v>
      </c>
      <c r="Z112" t="s">
        <v>1413</v>
      </c>
      <c r="AA112" t="s">
        <v>31</v>
      </c>
      <c r="AB112" t="s">
        <v>63</v>
      </c>
      <c r="AC112" t="s">
        <v>23</v>
      </c>
      <c r="AD112">
        <v>1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194</v>
      </c>
      <c r="B113">
        <v>6.98</v>
      </c>
      <c r="C113" s="7">
        <v>46174.411111111112</v>
      </c>
      <c r="D113" s="7">
        <v>46174.70178638889</v>
      </c>
      <c r="E113" t="s">
        <v>23</v>
      </c>
      <c r="F113" t="s">
        <v>50</v>
      </c>
      <c r="G113" t="s">
        <v>25</v>
      </c>
      <c r="H113" t="s">
        <v>26</v>
      </c>
      <c r="I113" t="s">
        <v>27</v>
      </c>
      <c r="J113" t="s">
        <v>28</v>
      </c>
      <c r="K113" t="s">
        <v>52</v>
      </c>
      <c r="L113" t="s">
        <v>38</v>
      </c>
      <c r="M113">
        <v>183</v>
      </c>
      <c r="N113">
        <v>4</v>
      </c>
      <c r="O113">
        <v>1</v>
      </c>
      <c r="P113">
        <v>6</v>
      </c>
      <c r="Q113" t="s">
        <v>31</v>
      </c>
      <c r="R113">
        <v>120</v>
      </c>
      <c r="S113">
        <v>24</v>
      </c>
      <c r="T113" t="s">
        <v>31</v>
      </c>
      <c r="U113" t="s">
        <v>63</v>
      </c>
      <c r="V113">
        <v>2026</v>
      </c>
      <c r="W113">
        <v>6</v>
      </c>
      <c r="X113" t="s">
        <v>1421</v>
      </c>
      <c r="Y113" s="6">
        <v>46174</v>
      </c>
      <c r="Z113" t="s">
        <v>1413</v>
      </c>
      <c r="AA113" t="s">
        <v>63</v>
      </c>
      <c r="AB113" t="s">
        <v>63</v>
      </c>
      <c r="AC113" t="s">
        <v>23</v>
      </c>
      <c r="AD113">
        <v>1</v>
      </c>
      <c r="AE113">
        <v>0</v>
      </c>
      <c r="AF113">
        <v>1</v>
      </c>
      <c r="AG113">
        <v>1</v>
      </c>
      <c r="AH113">
        <v>0</v>
      </c>
      <c r="AI113">
        <v>0</v>
      </c>
      <c r="AJ113">
        <v>1</v>
      </c>
    </row>
    <row r="114" spans="1:36">
      <c r="A114" t="s">
        <v>195</v>
      </c>
      <c r="B114">
        <v>55.85</v>
      </c>
      <c r="C114" s="7">
        <v>46077.220833333333</v>
      </c>
      <c r="D114" s="7">
        <v>46079.547794861108</v>
      </c>
      <c r="E114" t="s">
        <v>23</v>
      </c>
      <c r="F114" t="s">
        <v>50</v>
      </c>
      <c r="G114" t="s">
        <v>65</v>
      </c>
      <c r="H114" t="s">
        <v>26</v>
      </c>
      <c r="I114" t="s">
        <v>35</v>
      </c>
      <c r="J114" t="s">
        <v>48</v>
      </c>
      <c r="K114" t="s">
        <v>76</v>
      </c>
      <c r="L114" t="s">
        <v>71</v>
      </c>
      <c r="M114">
        <v>152</v>
      </c>
      <c r="N114">
        <v>3</v>
      </c>
      <c r="O114">
        <v>0</v>
      </c>
      <c r="P114">
        <v>7</v>
      </c>
      <c r="Q114" t="s">
        <v>31</v>
      </c>
      <c r="R114">
        <v>120</v>
      </c>
      <c r="S114">
        <v>24</v>
      </c>
      <c r="T114" t="s">
        <v>31</v>
      </c>
      <c r="U114" t="s">
        <v>31</v>
      </c>
      <c r="V114">
        <v>2026</v>
      </c>
      <c r="W114">
        <v>2</v>
      </c>
      <c r="X114" t="s">
        <v>1419</v>
      </c>
      <c r="Y114" s="6">
        <v>46054</v>
      </c>
      <c r="Z114" t="s">
        <v>1418</v>
      </c>
      <c r="AA114" t="s">
        <v>31</v>
      </c>
      <c r="AB114" t="s">
        <v>63</v>
      </c>
      <c r="AC114" t="s">
        <v>23</v>
      </c>
      <c r="AD114">
        <v>1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196</v>
      </c>
      <c r="B115">
        <v>13.85</v>
      </c>
      <c r="C115" s="7">
        <v>46063.505555555559</v>
      </c>
      <c r="D115" s="7">
        <v>46064.082638888889</v>
      </c>
      <c r="E115" t="s">
        <v>23</v>
      </c>
      <c r="F115" t="s">
        <v>50</v>
      </c>
      <c r="G115" t="s">
        <v>51</v>
      </c>
      <c r="H115" t="s">
        <v>75</v>
      </c>
      <c r="I115" t="s">
        <v>42</v>
      </c>
      <c r="J115" t="s">
        <v>48</v>
      </c>
      <c r="K115" t="s">
        <v>67</v>
      </c>
      <c r="L115" t="s">
        <v>68</v>
      </c>
      <c r="M115">
        <v>85</v>
      </c>
      <c r="N115">
        <v>4</v>
      </c>
      <c r="O115">
        <v>0</v>
      </c>
      <c r="P115">
        <v>2</v>
      </c>
      <c r="Q115" t="s">
        <v>31</v>
      </c>
      <c r="R115">
        <v>120</v>
      </c>
      <c r="S115">
        <v>24</v>
      </c>
      <c r="T115" t="s">
        <v>63</v>
      </c>
      <c r="U115" t="s">
        <v>63</v>
      </c>
      <c r="V115">
        <v>2026</v>
      </c>
      <c r="W115">
        <v>2</v>
      </c>
      <c r="X115" t="s">
        <v>1419</v>
      </c>
      <c r="Y115" s="6">
        <v>46054</v>
      </c>
      <c r="Z115" t="s">
        <v>1413</v>
      </c>
      <c r="AA115" t="s">
        <v>31</v>
      </c>
      <c r="AB115" t="s">
        <v>63</v>
      </c>
      <c r="AC115" t="s">
        <v>23</v>
      </c>
      <c r="AD115">
        <v>1</v>
      </c>
      <c r="AE115">
        <v>0</v>
      </c>
      <c r="AF115">
        <v>1</v>
      </c>
      <c r="AG115">
        <v>0</v>
      </c>
      <c r="AH115">
        <v>0</v>
      </c>
      <c r="AI115">
        <v>1</v>
      </c>
      <c r="AJ115">
        <v>1</v>
      </c>
    </row>
    <row r="116" spans="1:36">
      <c r="A116" t="s">
        <v>198</v>
      </c>
      <c r="B116">
        <v>13.99</v>
      </c>
      <c r="C116" s="7">
        <v>46130.661805555559</v>
      </c>
      <c r="D116" s="7">
        <v>46131.244806377312</v>
      </c>
      <c r="E116" t="s">
        <v>23</v>
      </c>
      <c r="F116" t="s">
        <v>33</v>
      </c>
      <c r="G116" t="s">
        <v>41</v>
      </c>
      <c r="H116" t="s">
        <v>34</v>
      </c>
      <c r="I116" t="s">
        <v>42</v>
      </c>
      <c r="J116" t="s">
        <v>43</v>
      </c>
      <c r="K116" t="s">
        <v>52</v>
      </c>
      <c r="L116" t="s">
        <v>55</v>
      </c>
      <c r="M116">
        <v>108</v>
      </c>
      <c r="N116">
        <v>3</v>
      </c>
      <c r="O116">
        <v>2</v>
      </c>
      <c r="P116">
        <v>17</v>
      </c>
      <c r="Q116" t="s">
        <v>31</v>
      </c>
      <c r="R116">
        <v>240</v>
      </c>
      <c r="S116">
        <v>48</v>
      </c>
      <c r="T116" t="s">
        <v>63</v>
      </c>
      <c r="U116" t="s">
        <v>63</v>
      </c>
      <c r="V116">
        <v>2026</v>
      </c>
      <c r="W116">
        <v>4</v>
      </c>
      <c r="X116" t="s">
        <v>1412</v>
      </c>
      <c r="Y116" s="6">
        <v>46113</v>
      </c>
      <c r="Z116" t="s">
        <v>1418</v>
      </c>
      <c r="AA116" t="s">
        <v>63</v>
      </c>
      <c r="AB116" t="s">
        <v>63</v>
      </c>
      <c r="AC116" t="s">
        <v>23</v>
      </c>
      <c r="AD116">
        <v>1</v>
      </c>
      <c r="AE116">
        <v>0</v>
      </c>
      <c r="AF116">
        <v>1</v>
      </c>
      <c r="AG116">
        <v>1</v>
      </c>
      <c r="AH116">
        <v>0</v>
      </c>
      <c r="AI116">
        <v>1</v>
      </c>
      <c r="AJ116">
        <v>1</v>
      </c>
    </row>
    <row r="117" spans="1:36">
      <c r="A117" t="s">
        <v>199</v>
      </c>
      <c r="B117">
        <v>44.08</v>
      </c>
      <c r="C117" s="7">
        <v>46024.104861111111</v>
      </c>
      <c r="D117" s="7">
        <v>46025.941575046294</v>
      </c>
      <c r="E117" t="s">
        <v>23</v>
      </c>
      <c r="F117" t="s">
        <v>50</v>
      </c>
      <c r="G117" t="s">
        <v>41</v>
      </c>
      <c r="H117" t="s">
        <v>26</v>
      </c>
      <c r="I117" t="s">
        <v>35</v>
      </c>
      <c r="J117" t="s">
        <v>48</v>
      </c>
      <c r="K117" t="s">
        <v>29</v>
      </c>
      <c r="L117" t="s">
        <v>93</v>
      </c>
      <c r="M117">
        <v>82</v>
      </c>
      <c r="N117">
        <v>4</v>
      </c>
      <c r="O117">
        <v>0</v>
      </c>
      <c r="P117">
        <v>4</v>
      </c>
      <c r="Q117" t="s">
        <v>31</v>
      </c>
      <c r="R117">
        <v>120</v>
      </c>
      <c r="S117">
        <v>24</v>
      </c>
      <c r="T117" t="s">
        <v>63</v>
      </c>
      <c r="U117" t="s">
        <v>31</v>
      </c>
      <c r="V117">
        <v>2026</v>
      </c>
      <c r="W117">
        <v>1</v>
      </c>
      <c r="X117" t="s">
        <v>1414</v>
      </c>
      <c r="Y117" s="6">
        <v>46023</v>
      </c>
      <c r="Z117" t="s">
        <v>1413</v>
      </c>
      <c r="AA117" t="s">
        <v>31</v>
      </c>
      <c r="AB117" t="s">
        <v>63</v>
      </c>
      <c r="AC117" t="s">
        <v>23</v>
      </c>
      <c r="AD117">
        <v>1</v>
      </c>
      <c r="AE117">
        <v>0</v>
      </c>
      <c r="AF117">
        <v>1</v>
      </c>
      <c r="AG117">
        <v>0</v>
      </c>
      <c r="AH117">
        <v>0</v>
      </c>
      <c r="AI117">
        <v>1</v>
      </c>
      <c r="AJ117">
        <v>0</v>
      </c>
    </row>
    <row r="118" spans="1:36">
      <c r="A118" t="s">
        <v>200</v>
      </c>
      <c r="B118">
        <v>5.32</v>
      </c>
      <c r="C118" s="7">
        <v>46050.335416666669</v>
      </c>
      <c r="D118" s="7">
        <v>46050.557182199074</v>
      </c>
      <c r="E118" t="s">
        <v>23</v>
      </c>
      <c r="F118" t="s">
        <v>40</v>
      </c>
      <c r="G118" t="s">
        <v>25</v>
      </c>
      <c r="H118" t="s">
        <v>26</v>
      </c>
      <c r="I118" t="s">
        <v>35</v>
      </c>
      <c r="J118" t="s">
        <v>28</v>
      </c>
      <c r="K118" t="s">
        <v>29</v>
      </c>
      <c r="L118" t="s">
        <v>44</v>
      </c>
      <c r="M118">
        <v>33</v>
      </c>
      <c r="N118">
        <v>5</v>
      </c>
      <c r="O118">
        <v>0</v>
      </c>
      <c r="P118">
        <v>3</v>
      </c>
      <c r="Q118" t="s">
        <v>31</v>
      </c>
      <c r="R118">
        <v>30</v>
      </c>
      <c r="S118">
        <v>8</v>
      </c>
      <c r="T118" t="s">
        <v>31</v>
      </c>
      <c r="U118" t="s">
        <v>63</v>
      </c>
      <c r="V118">
        <v>2026</v>
      </c>
      <c r="W118">
        <v>1</v>
      </c>
      <c r="X118" t="s">
        <v>1414</v>
      </c>
      <c r="Y118" s="6">
        <v>46023</v>
      </c>
      <c r="Z118" t="s">
        <v>1413</v>
      </c>
      <c r="AA118" t="s">
        <v>31</v>
      </c>
      <c r="AB118" t="s">
        <v>63</v>
      </c>
      <c r="AC118" t="s">
        <v>23</v>
      </c>
      <c r="AD118">
        <v>1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1</v>
      </c>
    </row>
    <row r="119" spans="1:36">
      <c r="A119" t="s">
        <v>201</v>
      </c>
      <c r="B119">
        <v>33.61</v>
      </c>
      <c r="C119" s="7">
        <v>46153.29791666667</v>
      </c>
      <c r="D119" s="7">
        <v>46154.69834865741</v>
      </c>
      <c r="E119" t="s">
        <v>23</v>
      </c>
      <c r="F119" t="s">
        <v>33</v>
      </c>
      <c r="G119" t="s">
        <v>51</v>
      </c>
      <c r="H119" t="s">
        <v>75</v>
      </c>
      <c r="I119" t="s">
        <v>42</v>
      </c>
      <c r="J119" t="s">
        <v>36</v>
      </c>
      <c r="K119" t="s">
        <v>52</v>
      </c>
      <c r="L119" t="s">
        <v>93</v>
      </c>
      <c r="M119">
        <v>81</v>
      </c>
      <c r="O119">
        <v>0</v>
      </c>
      <c r="P119">
        <v>6</v>
      </c>
      <c r="Q119" t="s">
        <v>31</v>
      </c>
      <c r="R119">
        <v>240</v>
      </c>
      <c r="S119">
        <v>48</v>
      </c>
      <c r="T119" t="s">
        <v>63</v>
      </c>
      <c r="U119" t="s">
        <v>63</v>
      </c>
      <c r="V119">
        <v>2026</v>
      </c>
      <c r="W119">
        <v>5</v>
      </c>
      <c r="X119" t="s">
        <v>1416</v>
      </c>
      <c r="Y119" s="6">
        <v>46143</v>
      </c>
      <c r="Z119" t="s">
        <v>1420</v>
      </c>
      <c r="AA119" t="s">
        <v>31</v>
      </c>
      <c r="AB119" t="s">
        <v>31</v>
      </c>
      <c r="AC119" t="s">
        <v>23</v>
      </c>
      <c r="AD119">
        <v>1</v>
      </c>
      <c r="AE119">
        <v>0</v>
      </c>
      <c r="AF119">
        <v>1</v>
      </c>
      <c r="AG119">
        <v>0</v>
      </c>
      <c r="AH119">
        <v>0</v>
      </c>
      <c r="AI119">
        <v>1</v>
      </c>
      <c r="AJ119">
        <v>1</v>
      </c>
    </row>
    <row r="120" spans="1:36">
      <c r="A120" t="s">
        <v>202</v>
      </c>
      <c r="B120">
        <v>6.96</v>
      </c>
      <c r="C120" s="7">
        <v>46137.035416666666</v>
      </c>
      <c r="D120" s="7">
        <v>46137.32541986111</v>
      </c>
      <c r="E120" t="s">
        <v>23</v>
      </c>
      <c r="F120" t="s">
        <v>40</v>
      </c>
      <c r="G120" t="s">
        <v>51</v>
      </c>
      <c r="H120" t="s">
        <v>34</v>
      </c>
      <c r="I120" t="s">
        <v>35</v>
      </c>
      <c r="J120" t="s">
        <v>28</v>
      </c>
      <c r="K120" t="s">
        <v>67</v>
      </c>
      <c r="L120" t="s">
        <v>101</v>
      </c>
      <c r="M120">
        <v>13</v>
      </c>
      <c r="N120">
        <v>4</v>
      </c>
      <c r="O120">
        <v>0</v>
      </c>
      <c r="P120">
        <v>4</v>
      </c>
      <c r="Q120" t="s">
        <v>31</v>
      </c>
      <c r="R120">
        <v>30</v>
      </c>
      <c r="S120">
        <v>8</v>
      </c>
      <c r="T120" t="s">
        <v>63</v>
      </c>
      <c r="U120" t="s">
        <v>63</v>
      </c>
      <c r="V120">
        <v>2026</v>
      </c>
      <c r="W120">
        <v>4</v>
      </c>
      <c r="X120" t="s">
        <v>1412</v>
      </c>
      <c r="Y120" s="6">
        <v>46113</v>
      </c>
      <c r="Z120" t="s">
        <v>1413</v>
      </c>
      <c r="AA120" t="s">
        <v>31</v>
      </c>
      <c r="AB120" t="s">
        <v>63</v>
      </c>
      <c r="AC120" t="s">
        <v>23</v>
      </c>
      <c r="AD120">
        <v>1</v>
      </c>
      <c r="AE120">
        <v>0</v>
      </c>
      <c r="AF120">
        <v>1</v>
      </c>
      <c r="AG120">
        <v>0</v>
      </c>
      <c r="AH120">
        <v>0</v>
      </c>
      <c r="AI120">
        <v>1</v>
      </c>
      <c r="AJ120">
        <v>1</v>
      </c>
    </row>
    <row r="121" spans="1:36">
      <c r="A121" t="s">
        <v>203</v>
      </c>
      <c r="B121">
        <v>42.21</v>
      </c>
      <c r="C121" s="7">
        <v>46249.200694444444</v>
      </c>
      <c r="D121" s="7">
        <v>46250.959371111108</v>
      </c>
      <c r="E121" t="s">
        <v>23</v>
      </c>
      <c r="F121" t="s">
        <v>33</v>
      </c>
      <c r="G121" t="s">
        <v>41</v>
      </c>
      <c r="H121" t="s">
        <v>26</v>
      </c>
      <c r="I121" t="s">
        <v>35</v>
      </c>
      <c r="J121" t="s">
        <v>43</v>
      </c>
      <c r="K121" t="s">
        <v>67</v>
      </c>
      <c r="L121" t="s">
        <v>85</v>
      </c>
      <c r="M121">
        <v>171</v>
      </c>
      <c r="N121">
        <v>4</v>
      </c>
      <c r="O121">
        <v>0</v>
      </c>
      <c r="P121">
        <v>3</v>
      </c>
      <c r="Q121" t="s">
        <v>31</v>
      </c>
      <c r="R121">
        <v>240</v>
      </c>
      <c r="S121">
        <v>48</v>
      </c>
      <c r="T121" t="s">
        <v>63</v>
      </c>
      <c r="U121" t="s">
        <v>63</v>
      </c>
      <c r="V121">
        <v>2026</v>
      </c>
      <c r="W121">
        <v>8</v>
      </c>
      <c r="X121" t="s">
        <v>1417</v>
      </c>
      <c r="Y121" s="6">
        <v>46235</v>
      </c>
      <c r="Z121" t="s">
        <v>1413</v>
      </c>
      <c r="AA121" t="s">
        <v>31</v>
      </c>
      <c r="AB121" t="s">
        <v>63</v>
      </c>
      <c r="AC121" t="s">
        <v>23</v>
      </c>
      <c r="AD121">
        <v>1</v>
      </c>
      <c r="AE121">
        <v>0</v>
      </c>
      <c r="AF121">
        <v>1</v>
      </c>
      <c r="AG121">
        <v>0</v>
      </c>
      <c r="AH121">
        <v>0</v>
      </c>
      <c r="AI121">
        <v>1</v>
      </c>
      <c r="AJ121">
        <v>1</v>
      </c>
    </row>
    <row r="122" spans="1:36">
      <c r="A122" t="s">
        <v>204</v>
      </c>
      <c r="B122">
        <v>39.340000000000003</v>
      </c>
      <c r="C122" s="7">
        <v>46229.193749999999</v>
      </c>
      <c r="D122" s="7">
        <v>46230.832728634261</v>
      </c>
      <c r="E122" t="s">
        <v>23</v>
      </c>
      <c r="F122" t="s">
        <v>50</v>
      </c>
      <c r="G122" t="s">
        <v>41</v>
      </c>
      <c r="H122" t="s">
        <v>54</v>
      </c>
      <c r="I122" t="s">
        <v>42</v>
      </c>
      <c r="J122" t="s">
        <v>48</v>
      </c>
      <c r="K122" t="s">
        <v>58</v>
      </c>
      <c r="L122" t="s">
        <v>38</v>
      </c>
      <c r="M122">
        <v>116</v>
      </c>
      <c r="N122">
        <v>4</v>
      </c>
      <c r="O122">
        <v>0</v>
      </c>
      <c r="P122">
        <v>7</v>
      </c>
      <c r="Q122" t="s">
        <v>31</v>
      </c>
      <c r="R122">
        <v>120</v>
      </c>
      <c r="S122">
        <v>24</v>
      </c>
      <c r="T122" t="s">
        <v>63</v>
      </c>
      <c r="U122" t="s">
        <v>31</v>
      </c>
      <c r="V122">
        <v>2026</v>
      </c>
      <c r="W122">
        <v>7</v>
      </c>
      <c r="X122" t="s">
        <v>1422</v>
      </c>
      <c r="Y122" s="6">
        <v>46204</v>
      </c>
      <c r="Z122" t="s">
        <v>1413</v>
      </c>
      <c r="AA122" t="s">
        <v>31</v>
      </c>
      <c r="AB122" t="s">
        <v>63</v>
      </c>
      <c r="AC122" t="s">
        <v>23</v>
      </c>
      <c r="AD122">
        <v>1</v>
      </c>
      <c r="AE122">
        <v>0</v>
      </c>
      <c r="AF122">
        <v>1</v>
      </c>
      <c r="AG122">
        <v>0</v>
      </c>
      <c r="AH122">
        <v>0</v>
      </c>
      <c r="AI122">
        <v>1</v>
      </c>
      <c r="AJ122">
        <v>0</v>
      </c>
    </row>
    <row r="123" spans="1:36">
      <c r="A123" t="s">
        <v>206</v>
      </c>
      <c r="B123">
        <v>15.81</v>
      </c>
      <c r="C123" s="7">
        <v>46087.849305555559</v>
      </c>
      <c r="D123" s="7">
        <v>46088.508220254633</v>
      </c>
      <c r="E123" t="s">
        <v>23</v>
      </c>
      <c r="F123" t="s">
        <v>50</v>
      </c>
      <c r="G123" t="s">
        <v>25</v>
      </c>
      <c r="H123" t="s">
        <v>26</v>
      </c>
      <c r="I123" t="s">
        <v>42</v>
      </c>
      <c r="J123" t="s">
        <v>36</v>
      </c>
      <c r="K123" t="s">
        <v>67</v>
      </c>
      <c r="L123" t="s">
        <v>44</v>
      </c>
      <c r="M123">
        <v>81</v>
      </c>
      <c r="N123">
        <v>4</v>
      </c>
      <c r="O123">
        <v>0</v>
      </c>
      <c r="P123">
        <v>3</v>
      </c>
      <c r="Q123" t="s">
        <v>31</v>
      </c>
      <c r="R123">
        <v>120</v>
      </c>
      <c r="S123">
        <v>24</v>
      </c>
      <c r="T123" t="s">
        <v>63</v>
      </c>
      <c r="U123" t="s">
        <v>63</v>
      </c>
      <c r="V123">
        <v>2026</v>
      </c>
      <c r="W123">
        <v>3</v>
      </c>
      <c r="X123" t="s">
        <v>1423</v>
      </c>
      <c r="Y123" s="6">
        <v>46082</v>
      </c>
      <c r="Z123" t="s">
        <v>1413</v>
      </c>
      <c r="AA123" t="s">
        <v>31</v>
      </c>
      <c r="AB123" t="s">
        <v>63</v>
      </c>
      <c r="AC123" t="s">
        <v>23</v>
      </c>
      <c r="AD123">
        <v>1</v>
      </c>
      <c r="AE123">
        <v>0</v>
      </c>
      <c r="AF123">
        <v>1</v>
      </c>
      <c r="AG123">
        <v>0</v>
      </c>
      <c r="AH123">
        <v>0</v>
      </c>
      <c r="AI123">
        <v>1</v>
      </c>
      <c r="AJ123">
        <v>1</v>
      </c>
    </row>
    <row r="124" spans="1:36">
      <c r="A124" t="s">
        <v>208</v>
      </c>
      <c r="B124">
        <v>37.5</v>
      </c>
      <c r="C124" s="7">
        <v>46038.055555555555</v>
      </c>
      <c r="D124" s="7">
        <v>46039.618034236111</v>
      </c>
      <c r="E124" t="s">
        <v>23</v>
      </c>
      <c r="F124" t="s">
        <v>50</v>
      </c>
      <c r="G124" t="s">
        <v>51</v>
      </c>
      <c r="H124" t="s">
        <v>75</v>
      </c>
      <c r="I124" t="s">
        <v>42</v>
      </c>
      <c r="J124" t="s">
        <v>43</v>
      </c>
      <c r="K124" t="s">
        <v>58</v>
      </c>
      <c r="L124" t="s">
        <v>62</v>
      </c>
      <c r="M124">
        <v>127</v>
      </c>
      <c r="N124">
        <v>4</v>
      </c>
      <c r="O124">
        <v>0</v>
      </c>
      <c r="P124">
        <v>7</v>
      </c>
      <c r="Q124" t="s">
        <v>31</v>
      </c>
      <c r="R124">
        <v>120</v>
      </c>
      <c r="S124">
        <v>24</v>
      </c>
      <c r="T124" t="s">
        <v>31</v>
      </c>
      <c r="U124" t="s">
        <v>31</v>
      </c>
      <c r="V124">
        <v>2026</v>
      </c>
      <c r="W124">
        <v>1</v>
      </c>
      <c r="X124" t="s">
        <v>1414</v>
      </c>
      <c r="Y124" s="6">
        <v>46023</v>
      </c>
      <c r="Z124" t="s">
        <v>1413</v>
      </c>
      <c r="AA124" t="s">
        <v>31</v>
      </c>
      <c r="AB124" t="s">
        <v>63</v>
      </c>
      <c r="AC124" t="s">
        <v>23</v>
      </c>
      <c r="AD124">
        <v>1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209</v>
      </c>
      <c r="B125">
        <v>43.31</v>
      </c>
      <c r="C125" s="7">
        <v>46082.082638888889</v>
      </c>
      <c r="D125" s="7">
        <v>46083.887027662036</v>
      </c>
      <c r="E125" t="s">
        <v>23</v>
      </c>
      <c r="F125" t="s">
        <v>33</v>
      </c>
      <c r="G125" t="s">
        <v>41</v>
      </c>
      <c r="H125" t="s">
        <v>66</v>
      </c>
      <c r="I125" t="s">
        <v>35</v>
      </c>
      <c r="J125" t="s">
        <v>48</v>
      </c>
      <c r="K125" t="s">
        <v>52</v>
      </c>
      <c r="L125" t="s">
        <v>62</v>
      </c>
      <c r="M125">
        <v>187</v>
      </c>
      <c r="N125">
        <v>3</v>
      </c>
      <c r="O125">
        <v>0</v>
      </c>
      <c r="P125">
        <v>5</v>
      </c>
      <c r="Q125" t="s">
        <v>31</v>
      </c>
      <c r="R125">
        <v>240</v>
      </c>
      <c r="S125">
        <v>48</v>
      </c>
      <c r="T125" t="s">
        <v>63</v>
      </c>
      <c r="U125" t="s">
        <v>63</v>
      </c>
      <c r="V125">
        <v>2026</v>
      </c>
      <c r="W125">
        <v>3</v>
      </c>
      <c r="X125" t="s">
        <v>1423</v>
      </c>
      <c r="Y125" s="6">
        <v>46082</v>
      </c>
      <c r="Z125" t="s">
        <v>1418</v>
      </c>
      <c r="AA125" t="s">
        <v>31</v>
      </c>
      <c r="AB125" t="s">
        <v>63</v>
      </c>
      <c r="AC125" t="s">
        <v>23</v>
      </c>
      <c r="AD125">
        <v>1</v>
      </c>
      <c r="AE125">
        <v>0</v>
      </c>
      <c r="AF125">
        <v>1</v>
      </c>
      <c r="AG125">
        <v>0</v>
      </c>
      <c r="AH125">
        <v>0</v>
      </c>
      <c r="AI125">
        <v>1</v>
      </c>
      <c r="AJ125">
        <v>1</v>
      </c>
    </row>
    <row r="126" spans="1:36">
      <c r="A126" t="s">
        <v>211</v>
      </c>
      <c r="B126">
        <v>100.54</v>
      </c>
      <c r="C126" s="7">
        <v>46173.48541666667</v>
      </c>
      <c r="D126" s="7">
        <v>46177.674655046299</v>
      </c>
      <c r="E126" t="s">
        <v>23</v>
      </c>
      <c r="F126" t="s">
        <v>33</v>
      </c>
      <c r="G126" t="s">
        <v>41</v>
      </c>
      <c r="H126" t="s">
        <v>75</v>
      </c>
      <c r="I126" t="s">
        <v>35</v>
      </c>
      <c r="J126" t="s">
        <v>48</v>
      </c>
      <c r="K126" t="s">
        <v>76</v>
      </c>
      <c r="L126" t="s">
        <v>30</v>
      </c>
      <c r="M126">
        <v>139</v>
      </c>
      <c r="N126">
        <v>3</v>
      </c>
      <c r="O126">
        <v>0</v>
      </c>
      <c r="P126">
        <v>3</v>
      </c>
      <c r="Q126" t="s">
        <v>31</v>
      </c>
      <c r="R126">
        <v>240</v>
      </c>
      <c r="S126">
        <v>48</v>
      </c>
      <c r="T126" t="s">
        <v>63</v>
      </c>
      <c r="U126" t="s">
        <v>31</v>
      </c>
      <c r="V126">
        <v>2026</v>
      </c>
      <c r="W126">
        <v>5</v>
      </c>
      <c r="X126" t="s">
        <v>1416</v>
      </c>
      <c r="Y126" s="6">
        <v>46143</v>
      </c>
      <c r="Z126" t="s">
        <v>1418</v>
      </c>
      <c r="AA126" t="s">
        <v>31</v>
      </c>
      <c r="AB126" t="s">
        <v>63</v>
      </c>
      <c r="AC126" t="s">
        <v>23</v>
      </c>
      <c r="AD126">
        <v>1</v>
      </c>
      <c r="AE126">
        <v>0</v>
      </c>
      <c r="AF126">
        <v>1</v>
      </c>
      <c r="AG126">
        <v>0</v>
      </c>
      <c r="AH126">
        <v>0</v>
      </c>
      <c r="AI126">
        <v>1</v>
      </c>
      <c r="AJ126">
        <v>0</v>
      </c>
    </row>
    <row r="127" spans="1:36">
      <c r="A127" t="s">
        <v>213</v>
      </c>
      <c r="B127">
        <v>27.52</v>
      </c>
      <c r="C127" s="7">
        <v>46138.795138888891</v>
      </c>
      <c r="D127" s="7">
        <v>46139.941671157409</v>
      </c>
      <c r="E127" t="s">
        <v>23</v>
      </c>
      <c r="F127" t="s">
        <v>33</v>
      </c>
      <c r="G127" t="s">
        <v>25</v>
      </c>
      <c r="H127" t="s">
        <v>54</v>
      </c>
      <c r="I127" t="s">
        <v>42</v>
      </c>
      <c r="J127" t="s">
        <v>36</v>
      </c>
      <c r="K127" t="s">
        <v>37</v>
      </c>
      <c r="L127" t="s">
        <v>85</v>
      </c>
      <c r="M127">
        <v>152</v>
      </c>
      <c r="N127">
        <v>4</v>
      </c>
      <c r="O127">
        <v>0</v>
      </c>
      <c r="P127">
        <v>6</v>
      </c>
      <c r="Q127" t="s">
        <v>31</v>
      </c>
      <c r="R127">
        <v>240</v>
      </c>
      <c r="S127">
        <v>48</v>
      </c>
      <c r="T127" t="s">
        <v>63</v>
      </c>
      <c r="U127" t="s">
        <v>63</v>
      </c>
      <c r="V127">
        <v>2026</v>
      </c>
      <c r="W127">
        <v>4</v>
      </c>
      <c r="X127" t="s">
        <v>1412</v>
      </c>
      <c r="Y127" s="6">
        <v>46113</v>
      </c>
      <c r="Z127" t="s">
        <v>1413</v>
      </c>
      <c r="AA127" t="s">
        <v>31</v>
      </c>
      <c r="AB127" t="s">
        <v>63</v>
      </c>
      <c r="AC127" t="s">
        <v>23</v>
      </c>
      <c r="AD127">
        <v>1</v>
      </c>
      <c r="AE127">
        <v>0</v>
      </c>
      <c r="AF127">
        <v>1</v>
      </c>
      <c r="AG127">
        <v>0</v>
      </c>
      <c r="AH127">
        <v>0</v>
      </c>
      <c r="AI127">
        <v>1</v>
      </c>
      <c r="AJ127">
        <v>1</v>
      </c>
    </row>
    <row r="128" spans="1:36">
      <c r="A128" t="s">
        <v>214</v>
      </c>
      <c r="B128">
        <v>35.369999999999997</v>
      </c>
      <c r="C128" s="7">
        <v>46251.45</v>
      </c>
      <c r="D128" s="7">
        <v>46252.923815138885</v>
      </c>
      <c r="E128" t="s">
        <v>23</v>
      </c>
      <c r="F128" t="s">
        <v>33</v>
      </c>
      <c r="G128" t="s">
        <v>51</v>
      </c>
      <c r="H128" t="s">
        <v>34</v>
      </c>
      <c r="I128" t="s">
        <v>42</v>
      </c>
      <c r="J128" t="s">
        <v>48</v>
      </c>
      <c r="K128" t="s">
        <v>37</v>
      </c>
      <c r="L128" t="s">
        <v>68</v>
      </c>
      <c r="M128">
        <v>153</v>
      </c>
      <c r="N128">
        <v>4</v>
      </c>
      <c r="O128">
        <v>0</v>
      </c>
      <c r="P128">
        <v>5</v>
      </c>
      <c r="Q128" t="s">
        <v>31</v>
      </c>
      <c r="R128">
        <v>240</v>
      </c>
      <c r="S128">
        <v>48</v>
      </c>
      <c r="T128" t="s">
        <v>63</v>
      </c>
      <c r="U128" t="s">
        <v>63</v>
      </c>
      <c r="V128">
        <v>2026</v>
      </c>
      <c r="W128">
        <v>8</v>
      </c>
      <c r="X128" t="s">
        <v>1417</v>
      </c>
      <c r="Y128" s="6">
        <v>46235</v>
      </c>
      <c r="Z128" t="s">
        <v>1413</v>
      </c>
      <c r="AA128" t="s">
        <v>31</v>
      </c>
      <c r="AB128" t="s">
        <v>63</v>
      </c>
      <c r="AC128" t="s">
        <v>23</v>
      </c>
      <c r="AD128">
        <v>1</v>
      </c>
      <c r="AE128">
        <v>0</v>
      </c>
      <c r="AF128">
        <v>1</v>
      </c>
      <c r="AG128">
        <v>0</v>
      </c>
      <c r="AH128">
        <v>0</v>
      </c>
      <c r="AI128">
        <v>1</v>
      </c>
      <c r="AJ128">
        <v>1</v>
      </c>
    </row>
    <row r="129" spans="1:36">
      <c r="A129" t="s">
        <v>215</v>
      </c>
      <c r="B129">
        <v>25.83</v>
      </c>
      <c r="C129" s="7">
        <v>46084.315972222219</v>
      </c>
      <c r="D129" s="7">
        <v>46085.39225527778</v>
      </c>
      <c r="E129" t="s">
        <v>23</v>
      </c>
      <c r="F129" t="s">
        <v>33</v>
      </c>
      <c r="G129" t="s">
        <v>41</v>
      </c>
      <c r="H129" t="s">
        <v>26</v>
      </c>
      <c r="I129" t="s">
        <v>27</v>
      </c>
      <c r="J129" t="s">
        <v>36</v>
      </c>
      <c r="K129" t="s">
        <v>37</v>
      </c>
      <c r="L129" t="s">
        <v>71</v>
      </c>
      <c r="M129">
        <v>241</v>
      </c>
      <c r="N129">
        <v>4</v>
      </c>
      <c r="O129">
        <v>0</v>
      </c>
      <c r="P129">
        <v>3</v>
      </c>
      <c r="Q129" t="s">
        <v>31</v>
      </c>
      <c r="R129">
        <v>240</v>
      </c>
      <c r="S129">
        <v>48</v>
      </c>
      <c r="T129" t="s">
        <v>31</v>
      </c>
      <c r="U129" t="s">
        <v>63</v>
      </c>
      <c r="V129">
        <v>2026</v>
      </c>
      <c r="W129">
        <v>3</v>
      </c>
      <c r="X129" t="s">
        <v>1423</v>
      </c>
      <c r="Y129" s="6">
        <v>46082</v>
      </c>
      <c r="Z129" t="s">
        <v>1413</v>
      </c>
      <c r="AA129" t="s">
        <v>31</v>
      </c>
      <c r="AB129" t="s">
        <v>63</v>
      </c>
      <c r="AC129" t="s">
        <v>23</v>
      </c>
      <c r="AD129">
        <v>1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1</v>
      </c>
    </row>
    <row r="130" spans="1:36">
      <c r="A130" t="s">
        <v>216</v>
      </c>
      <c r="B130">
        <v>11.42</v>
      </c>
      <c r="C130" s="7">
        <v>46090.652777777781</v>
      </c>
      <c r="D130" s="7">
        <v>46091.128402939816</v>
      </c>
      <c r="E130" t="s">
        <v>23</v>
      </c>
      <c r="F130" t="s">
        <v>33</v>
      </c>
      <c r="G130" t="s">
        <v>51</v>
      </c>
      <c r="H130" t="s">
        <v>26</v>
      </c>
      <c r="I130" t="s">
        <v>35</v>
      </c>
      <c r="J130" t="s">
        <v>48</v>
      </c>
      <c r="K130" t="s">
        <v>29</v>
      </c>
      <c r="L130" t="s">
        <v>93</v>
      </c>
      <c r="M130">
        <v>136</v>
      </c>
      <c r="N130">
        <v>4</v>
      </c>
      <c r="O130">
        <v>0</v>
      </c>
      <c r="P130">
        <v>6</v>
      </c>
      <c r="Q130" t="s">
        <v>31</v>
      </c>
      <c r="R130">
        <v>240</v>
      </c>
      <c r="S130">
        <v>48</v>
      </c>
      <c r="T130" t="s">
        <v>63</v>
      </c>
      <c r="U130" t="s">
        <v>63</v>
      </c>
      <c r="V130">
        <v>2026</v>
      </c>
      <c r="W130">
        <v>3</v>
      </c>
      <c r="X130" t="s">
        <v>1423</v>
      </c>
      <c r="Y130" s="6">
        <v>46082</v>
      </c>
      <c r="Z130" t="s">
        <v>1413</v>
      </c>
      <c r="AA130" t="s">
        <v>31</v>
      </c>
      <c r="AB130" t="s">
        <v>63</v>
      </c>
      <c r="AC130" t="s">
        <v>23</v>
      </c>
      <c r="AD130">
        <v>1</v>
      </c>
      <c r="AE130">
        <v>0</v>
      </c>
      <c r="AF130">
        <v>1</v>
      </c>
      <c r="AG130">
        <v>0</v>
      </c>
      <c r="AH130">
        <v>0</v>
      </c>
      <c r="AI130">
        <v>1</v>
      </c>
      <c r="AJ130">
        <v>1</v>
      </c>
    </row>
    <row r="131" spans="1:36">
      <c r="A131" t="s">
        <v>217</v>
      </c>
      <c r="B131">
        <v>10.58</v>
      </c>
      <c r="C131" s="7">
        <v>46187.199999999997</v>
      </c>
      <c r="D131" s="7">
        <v>46187.640843113426</v>
      </c>
      <c r="E131" t="s">
        <v>23</v>
      </c>
      <c r="F131" t="s">
        <v>50</v>
      </c>
      <c r="G131" t="s">
        <v>65</v>
      </c>
      <c r="H131" t="s">
        <v>26</v>
      </c>
      <c r="I131" t="s">
        <v>42</v>
      </c>
      <c r="J131" t="s">
        <v>28</v>
      </c>
      <c r="K131" t="s">
        <v>52</v>
      </c>
      <c r="L131" t="s">
        <v>71</v>
      </c>
      <c r="M131">
        <v>58</v>
      </c>
      <c r="N131">
        <v>4</v>
      </c>
      <c r="O131">
        <v>0</v>
      </c>
      <c r="P131">
        <v>4</v>
      </c>
      <c r="Q131" t="s">
        <v>31</v>
      </c>
      <c r="R131">
        <v>120</v>
      </c>
      <c r="S131">
        <v>24</v>
      </c>
      <c r="T131" t="s">
        <v>63</v>
      </c>
      <c r="U131" t="s">
        <v>63</v>
      </c>
      <c r="V131">
        <v>2026</v>
      </c>
      <c r="W131">
        <v>6</v>
      </c>
      <c r="X131" t="s">
        <v>1421</v>
      </c>
      <c r="Y131" s="6">
        <v>46174</v>
      </c>
      <c r="Z131" t="s">
        <v>1413</v>
      </c>
      <c r="AA131" t="s">
        <v>31</v>
      </c>
      <c r="AB131" t="s">
        <v>63</v>
      </c>
      <c r="AC131" t="s">
        <v>23</v>
      </c>
      <c r="AD131">
        <v>1</v>
      </c>
      <c r="AE131">
        <v>0</v>
      </c>
      <c r="AF131">
        <v>1</v>
      </c>
      <c r="AG131">
        <v>0</v>
      </c>
      <c r="AH131">
        <v>0</v>
      </c>
      <c r="AI131">
        <v>1</v>
      </c>
      <c r="AJ131">
        <v>1</v>
      </c>
    </row>
    <row r="132" spans="1:36">
      <c r="A132" t="s">
        <v>218</v>
      </c>
      <c r="B132">
        <v>46.73</v>
      </c>
      <c r="C132" s="7">
        <v>46189.34375</v>
      </c>
      <c r="D132" s="7">
        <v>46191.290923981484</v>
      </c>
      <c r="E132" t="s">
        <v>23</v>
      </c>
      <c r="F132" t="s">
        <v>50</v>
      </c>
      <c r="G132" t="s">
        <v>25</v>
      </c>
      <c r="H132" t="s">
        <v>54</v>
      </c>
      <c r="I132" t="s">
        <v>27</v>
      </c>
      <c r="J132" t="s">
        <v>36</v>
      </c>
      <c r="K132" t="s">
        <v>52</v>
      </c>
      <c r="L132" t="s">
        <v>71</v>
      </c>
      <c r="M132">
        <v>60</v>
      </c>
      <c r="N132">
        <v>4</v>
      </c>
      <c r="O132">
        <v>0</v>
      </c>
      <c r="P132">
        <v>3</v>
      </c>
      <c r="Q132" t="s">
        <v>31</v>
      </c>
      <c r="R132">
        <v>120</v>
      </c>
      <c r="S132">
        <v>24</v>
      </c>
      <c r="T132" t="s">
        <v>63</v>
      </c>
      <c r="U132" t="s">
        <v>31</v>
      </c>
      <c r="V132">
        <v>2026</v>
      </c>
      <c r="W132">
        <v>6</v>
      </c>
      <c r="X132" t="s">
        <v>1421</v>
      </c>
      <c r="Y132" s="6">
        <v>46174</v>
      </c>
      <c r="Z132" t="s">
        <v>1413</v>
      </c>
      <c r="AA132" t="s">
        <v>31</v>
      </c>
      <c r="AB132" t="s">
        <v>63</v>
      </c>
      <c r="AC132" t="s">
        <v>23</v>
      </c>
      <c r="AD132">
        <v>1</v>
      </c>
      <c r="AE132">
        <v>0</v>
      </c>
      <c r="AF132">
        <v>1</v>
      </c>
      <c r="AG132">
        <v>0</v>
      </c>
      <c r="AH132">
        <v>0</v>
      </c>
      <c r="AI132">
        <v>1</v>
      </c>
      <c r="AJ132">
        <v>0</v>
      </c>
    </row>
    <row r="133" spans="1:36">
      <c r="A133" t="s">
        <v>219</v>
      </c>
      <c r="B133">
        <v>42.3</v>
      </c>
      <c r="C133" s="7">
        <v>46180.176388888889</v>
      </c>
      <c r="D133" s="7">
        <v>46181.938823657409</v>
      </c>
      <c r="E133" t="s">
        <v>23</v>
      </c>
      <c r="F133" t="s">
        <v>33</v>
      </c>
      <c r="G133" t="s">
        <v>25</v>
      </c>
      <c r="H133" t="s">
        <v>66</v>
      </c>
      <c r="I133" t="s">
        <v>27</v>
      </c>
      <c r="J133" t="s">
        <v>43</v>
      </c>
      <c r="K133" t="s">
        <v>67</v>
      </c>
      <c r="L133" t="s">
        <v>85</v>
      </c>
      <c r="M133">
        <v>801</v>
      </c>
      <c r="O133">
        <v>0</v>
      </c>
      <c r="P133">
        <v>7</v>
      </c>
      <c r="Q133" t="s">
        <v>31</v>
      </c>
      <c r="R133">
        <v>240</v>
      </c>
      <c r="S133">
        <v>48</v>
      </c>
      <c r="T133" t="s">
        <v>31</v>
      </c>
      <c r="U133" t="s">
        <v>63</v>
      </c>
      <c r="V133">
        <v>2026</v>
      </c>
      <c r="W133">
        <v>6</v>
      </c>
      <c r="X133" t="s">
        <v>1421</v>
      </c>
      <c r="Y133" s="6">
        <v>46174</v>
      </c>
      <c r="Z133" t="s">
        <v>1420</v>
      </c>
      <c r="AA133" t="s">
        <v>31</v>
      </c>
      <c r="AB133" t="s">
        <v>31</v>
      </c>
      <c r="AC133" t="s">
        <v>23</v>
      </c>
      <c r="AD133">
        <v>1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1</v>
      </c>
    </row>
    <row r="134" spans="1:36">
      <c r="A134" t="s">
        <v>220</v>
      </c>
      <c r="B134">
        <v>35.54</v>
      </c>
      <c r="C134" s="7">
        <v>46254.029861111114</v>
      </c>
      <c r="D134" s="7">
        <v>46255.510882106479</v>
      </c>
      <c r="E134" t="s">
        <v>23</v>
      </c>
      <c r="F134" t="s">
        <v>50</v>
      </c>
      <c r="G134" t="s">
        <v>25</v>
      </c>
      <c r="H134" t="s">
        <v>75</v>
      </c>
      <c r="I134" t="s">
        <v>42</v>
      </c>
      <c r="J134" t="s">
        <v>48</v>
      </c>
      <c r="K134" t="s">
        <v>58</v>
      </c>
      <c r="L134" t="s">
        <v>44</v>
      </c>
      <c r="M134">
        <v>221</v>
      </c>
      <c r="N134">
        <v>4</v>
      </c>
      <c r="O134">
        <v>0</v>
      </c>
      <c r="P134">
        <v>7</v>
      </c>
      <c r="Q134" t="s">
        <v>31</v>
      </c>
      <c r="R134">
        <v>120</v>
      </c>
      <c r="S134">
        <v>24</v>
      </c>
      <c r="T134" t="s">
        <v>31</v>
      </c>
      <c r="U134" t="s">
        <v>31</v>
      </c>
      <c r="V134">
        <v>2026</v>
      </c>
      <c r="W134">
        <v>8</v>
      </c>
      <c r="X134" t="s">
        <v>1417</v>
      </c>
      <c r="Y134" s="6">
        <v>46235</v>
      </c>
      <c r="Z134" t="s">
        <v>1413</v>
      </c>
      <c r="AA134" t="s">
        <v>31</v>
      </c>
      <c r="AB134" t="s">
        <v>63</v>
      </c>
      <c r="AC134" t="s">
        <v>23</v>
      </c>
      <c r="AD134">
        <v>1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</row>
    <row r="135" spans="1:36">
      <c r="A135" t="s">
        <v>221</v>
      </c>
      <c r="B135">
        <v>9.43</v>
      </c>
      <c r="C135" s="7">
        <v>46237.418055555558</v>
      </c>
      <c r="D135" s="7">
        <v>46237.810975451386</v>
      </c>
      <c r="E135" t="s">
        <v>23</v>
      </c>
      <c r="F135" t="s">
        <v>40</v>
      </c>
      <c r="G135" t="s">
        <v>25</v>
      </c>
      <c r="H135" t="s">
        <v>75</v>
      </c>
      <c r="I135" t="s">
        <v>35</v>
      </c>
      <c r="J135" t="s">
        <v>43</v>
      </c>
      <c r="K135" t="s">
        <v>37</v>
      </c>
      <c r="L135" t="s">
        <v>93</v>
      </c>
      <c r="M135">
        <v>32</v>
      </c>
      <c r="N135">
        <v>4</v>
      </c>
      <c r="O135">
        <v>0</v>
      </c>
      <c r="P135">
        <v>5</v>
      </c>
      <c r="Q135" t="s">
        <v>31</v>
      </c>
      <c r="R135">
        <v>30</v>
      </c>
      <c r="S135">
        <v>8</v>
      </c>
      <c r="T135" t="s">
        <v>31</v>
      </c>
      <c r="U135" t="s">
        <v>31</v>
      </c>
      <c r="V135">
        <v>2026</v>
      </c>
      <c r="W135">
        <v>8</v>
      </c>
      <c r="X135" t="s">
        <v>1417</v>
      </c>
      <c r="Y135" s="6">
        <v>46235</v>
      </c>
      <c r="Z135" t="s">
        <v>1413</v>
      </c>
      <c r="AA135" t="s">
        <v>31</v>
      </c>
      <c r="AB135" t="s">
        <v>63</v>
      </c>
      <c r="AC135" t="s">
        <v>23</v>
      </c>
      <c r="AD135">
        <v>1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</row>
    <row r="136" spans="1:36">
      <c r="A136" t="s">
        <v>223</v>
      </c>
      <c r="B136">
        <v>14.74</v>
      </c>
      <c r="C136" s="7">
        <v>46049.872916666667</v>
      </c>
      <c r="D136" s="7">
        <v>46050.487061458334</v>
      </c>
      <c r="E136" t="s">
        <v>23</v>
      </c>
      <c r="F136" t="s">
        <v>40</v>
      </c>
      <c r="G136" t="s">
        <v>25</v>
      </c>
      <c r="H136" t="s">
        <v>54</v>
      </c>
      <c r="I136" t="s">
        <v>35</v>
      </c>
      <c r="J136" t="s">
        <v>43</v>
      </c>
      <c r="K136" t="s">
        <v>37</v>
      </c>
      <c r="L136" t="s">
        <v>71</v>
      </c>
      <c r="M136">
        <v>22</v>
      </c>
      <c r="N136">
        <v>5</v>
      </c>
      <c r="O136">
        <v>0</v>
      </c>
      <c r="P136">
        <v>7</v>
      </c>
      <c r="Q136" t="s">
        <v>31</v>
      </c>
      <c r="R136">
        <v>30</v>
      </c>
      <c r="S136">
        <v>8</v>
      </c>
      <c r="T136" t="s">
        <v>63</v>
      </c>
      <c r="U136" t="s">
        <v>31</v>
      </c>
      <c r="V136">
        <v>2026</v>
      </c>
      <c r="W136">
        <v>1</v>
      </c>
      <c r="X136" t="s">
        <v>1414</v>
      </c>
      <c r="Y136" s="6">
        <v>46023</v>
      </c>
      <c r="Z136" t="s">
        <v>1413</v>
      </c>
      <c r="AA136" t="s">
        <v>31</v>
      </c>
      <c r="AB136" t="s">
        <v>63</v>
      </c>
      <c r="AC136" t="s">
        <v>23</v>
      </c>
      <c r="AD136">
        <v>1</v>
      </c>
      <c r="AE136">
        <v>0</v>
      </c>
      <c r="AF136">
        <v>1</v>
      </c>
      <c r="AG136">
        <v>0</v>
      </c>
      <c r="AH136">
        <v>0</v>
      </c>
      <c r="AI136">
        <v>1</v>
      </c>
      <c r="AJ136">
        <v>0</v>
      </c>
    </row>
    <row r="137" spans="1:36">
      <c r="A137" t="s">
        <v>224</v>
      </c>
      <c r="B137">
        <v>32.159999999999997</v>
      </c>
      <c r="C137" s="7">
        <v>46183.270138888889</v>
      </c>
      <c r="D137" s="7">
        <v>46184.610153252317</v>
      </c>
      <c r="E137" t="s">
        <v>23</v>
      </c>
      <c r="F137" t="s">
        <v>33</v>
      </c>
      <c r="G137" t="s">
        <v>41</v>
      </c>
      <c r="H137" t="s">
        <v>34</v>
      </c>
      <c r="I137" t="s">
        <v>27</v>
      </c>
      <c r="J137" t="s">
        <v>48</v>
      </c>
      <c r="K137" t="s">
        <v>76</v>
      </c>
      <c r="L137" t="s">
        <v>44</v>
      </c>
      <c r="M137">
        <v>108</v>
      </c>
      <c r="N137">
        <v>4</v>
      </c>
      <c r="O137">
        <v>0</v>
      </c>
      <c r="P137">
        <v>4</v>
      </c>
      <c r="Q137" t="s">
        <v>31</v>
      </c>
      <c r="R137">
        <v>240</v>
      </c>
      <c r="S137">
        <v>48</v>
      </c>
      <c r="T137" t="s">
        <v>63</v>
      </c>
      <c r="U137" t="s">
        <v>63</v>
      </c>
      <c r="V137">
        <v>2026</v>
      </c>
      <c r="W137">
        <v>6</v>
      </c>
      <c r="X137" t="s">
        <v>1421</v>
      </c>
      <c r="Y137" s="6">
        <v>46174</v>
      </c>
      <c r="Z137" t="s">
        <v>1413</v>
      </c>
      <c r="AA137" t="s">
        <v>31</v>
      </c>
      <c r="AB137" t="s">
        <v>63</v>
      </c>
      <c r="AC137" t="s">
        <v>23</v>
      </c>
      <c r="AD137">
        <v>1</v>
      </c>
      <c r="AE137">
        <v>0</v>
      </c>
      <c r="AF137">
        <v>1</v>
      </c>
      <c r="AG137">
        <v>0</v>
      </c>
      <c r="AH137">
        <v>0</v>
      </c>
      <c r="AI137">
        <v>1</v>
      </c>
      <c r="AJ137">
        <v>1</v>
      </c>
    </row>
    <row r="138" spans="1:36">
      <c r="A138" t="s">
        <v>225</v>
      </c>
      <c r="B138">
        <v>18.809999999999999</v>
      </c>
      <c r="C138" s="7">
        <v>46177.706250000003</v>
      </c>
      <c r="D138" s="7">
        <v>46178.489966851848</v>
      </c>
      <c r="E138" t="s">
        <v>23</v>
      </c>
      <c r="F138" t="s">
        <v>33</v>
      </c>
      <c r="G138" t="s">
        <v>25</v>
      </c>
      <c r="H138" t="s">
        <v>26</v>
      </c>
      <c r="I138" t="s">
        <v>42</v>
      </c>
      <c r="J138" t="s">
        <v>43</v>
      </c>
      <c r="K138" t="s">
        <v>37</v>
      </c>
      <c r="L138" t="s">
        <v>71</v>
      </c>
      <c r="M138">
        <v>88</v>
      </c>
      <c r="N138">
        <v>4</v>
      </c>
      <c r="O138">
        <v>0</v>
      </c>
      <c r="P138">
        <v>4</v>
      </c>
      <c r="Q138" t="s">
        <v>31</v>
      </c>
      <c r="R138">
        <v>240</v>
      </c>
      <c r="S138">
        <v>48</v>
      </c>
      <c r="T138" t="s">
        <v>63</v>
      </c>
      <c r="U138" t="s">
        <v>63</v>
      </c>
      <c r="V138">
        <v>2026</v>
      </c>
      <c r="W138">
        <v>6</v>
      </c>
      <c r="X138" t="s">
        <v>1421</v>
      </c>
      <c r="Y138" s="6">
        <v>46174</v>
      </c>
      <c r="Z138" t="s">
        <v>1413</v>
      </c>
      <c r="AA138" t="s">
        <v>31</v>
      </c>
      <c r="AB138" t="s">
        <v>63</v>
      </c>
      <c r="AC138" t="s">
        <v>23</v>
      </c>
      <c r="AD138">
        <v>1</v>
      </c>
      <c r="AE138">
        <v>0</v>
      </c>
      <c r="AF138">
        <v>1</v>
      </c>
      <c r="AG138">
        <v>0</v>
      </c>
      <c r="AH138">
        <v>0</v>
      </c>
      <c r="AI138">
        <v>1</v>
      </c>
      <c r="AJ138">
        <v>1</v>
      </c>
    </row>
    <row r="139" spans="1:36">
      <c r="A139" t="s">
        <v>226</v>
      </c>
      <c r="B139">
        <v>18.07</v>
      </c>
      <c r="C139" s="7">
        <v>46169.777777777781</v>
      </c>
      <c r="D139" s="7">
        <v>46170.530507615738</v>
      </c>
      <c r="E139" t="s">
        <v>23</v>
      </c>
      <c r="F139" t="s">
        <v>40</v>
      </c>
      <c r="G139" t="s">
        <v>65</v>
      </c>
      <c r="H139" t="s">
        <v>26</v>
      </c>
      <c r="I139" t="s">
        <v>42</v>
      </c>
      <c r="J139" t="s">
        <v>36</v>
      </c>
      <c r="K139" t="s">
        <v>37</v>
      </c>
      <c r="L139" t="s">
        <v>44</v>
      </c>
      <c r="M139">
        <v>136</v>
      </c>
      <c r="N139">
        <v>4</v>
      </c>
      <c r="O139">
        <v>0</v>
      </c>
      <c r="P139">
        <v>7</v>
      </c>
      <c r="Q139" t="s">
        <v>31</v>
      </c>
      <c r="R139">
        <v>30</v>
      </c>
      <c r="S139">
        <v>8</v>
      </c>
      <c r="T139" t="s">
        <v>31</v>
      </c>
      <c r="U139" t="s">
        <v>31</v>
      </c>
      <c r="V139">
        <v>2026</v>
      </c>
      <c r="W139">
        <v>5</v>
      </c>
      <c r="X139" t="s">
        <v>1416</v>
      </c>
      <c r="Y139" s="6">
        <v>46143</v>
      </c>
      <c r="Z139" t="s">
        <v>1413</v>
      </c>
      <c r="AA139" t="s">
        <v>31</v>
      </c>
      <c r="AB139" t="s">
        <v>63</v>
      </c>
      <c r="AC139" t="s">
        <v>23</v>
      </c>
      <c r="AD139">
        <v>1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</row>
    <row r="140" spans="1:36">
      <c r="A140" t="s">
        <v>227</v>
      </c>
      <c r="B140">
        <v>11.59</v>
      </c>
      <c r="C140" s="7">
        <v>46207.839583333334</v>
      </c>
      <c r="D140" s="7">
        <v>46208.322389988425</v>
      </c>
      <c r="E140" t="s">
        <v>23</v>
      </c>
      <c r="F140" t="s">
        <v>50</v>
      </c>
      <c r="G140" t="s">
        <v>41</v>
      </c>
      <c r="H140" t="s">
        <v>26</v>
      </c>
      <c r="I140" t="s">
        <v>35</v>
      </c>
      <c r="J140" t="s">
        <v>36</v>
      </c>
      <c r="K140" t="s">
        <v>29</v>
      </c>
      <c r="L140" t="s">
        <v>38</v>
      </c>
      <c r="M140">
        <v>171</v>
      </c>
      <c r="N140">
        <v>4</v>
      </c>
      <c r="O140">
        <v>0</v>
      </c>
      <c r="P140">
        <v>4</v>
      </c>
      <c r="Q140" t="s">
        <v>31</v>
      </c>
      <c r="R140">
        <v>120</v>
      </c>
      <c r="S140">
        <v>24</v>
      </c>
      <c r="T140" t="s">
        <v>31</v>
      </c>
      <c r="U140" t="s">
        <v>63</v>
      </c>
      <c r="V140">
        <v>2026</v>
      </c>
      <c r="W140">
        <v>7</v>
      </c>
      <c r="X140" t="s">
        <v>1422</v>
      </c>
      <c r="Y140" s="6">
        <v>46204</v>
      </c>
      <c r="Z140" t="s">
        <v>1413</v>
      </c>
      <c r="AA140" t="s">
        <v>31</v>
      </c>
      <c r="AB140" t="s">
        <v>63</v>
      </c>
      <c r="AC140" t="s">
        <v>23</v>
      </c>
      <c r="AD140">
        <v>1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1</v>
      </c>
    </row>
    <row r="141" spans="1:36">
      <c r="A141" t="s">
        <v>228</v>
      </c>
      <c r="B141">
        <v>81.569999999999993</v>
      </c>
      <c r="C141" s="7">
        <v>46168.578472222223</v>
      </c>
      <c r="D141" s="7">
        <v>46171.977052337963</v>
      </c>
      <c r="E141" t="s">
        <v>23</v>
      </c>
      <c r="F141" t="s">
        <v>50</v>
      </c>
      <c r="G141" t="s">
        <v>41</v>
      </c>
      <c r="H141" t="s">
        <v>54</v>
      </c>
      <c r="I141" t="s">
        <v>35</v>
      </c>
      <c r="J141" t="s">
        <v>28</v>
      </c>
      <c r="K141" t="s">
        <v>76</v>
      </c>
      <c r="L141" t="s">
        <v>71</v>
      </c>
      <c r="M141">
        <v>44</v>
      </c>
      <c r="N141">
        <v>4</v>
      </c>
      <c r="O141">
        <v>0</v>
      </c>
      <c r="P141">
        <v>4</v>
      </c>
      <c r="Q141" t="s">
        <v>31</v>
      </c>
      <c r="R141">
        <v>120</v>
      </c>
      <c r="S141">
        <v>24</v>
      </c>
      <c r="T141" t="s">
        <v>63</v>
      </c>
      <c r="U141" t="s">
        <v>31</v>
      </c>
      <c r="V141">
        <v>2026</v>
      </c>
      <c r="W141">
        <v>5</v>
      </c>
      <c r="X141" t="s">
        <v>1416</v>
      </c>
      <c r="Y141" s="6">
        <v>46143</v>
      </c>
      <c r="Z141" t="s">
        <v>1413</v>
      </c>
      <c r="AA141" t="s">
        <v>31</v>
      </c>
      <c r="AB141" t="s">
        <v>63</v>
      </c>
      <c r="AC141" t="s">
        <v>23</v>
      </c>
      <c r="AD141">
        <v>1</v>
      </c>
      <c r="AE141">
        <v>0</v>
      </c>
      <c r="AF141">
        <v>1</v>
      </c>
      <c r="AG141">
        <v>0</v>
      </c>
      <c r="AH141">
        <v>0</v>
      </c>
      <c r="AI141">
        <v>1</v>
      </c>
      <c r="AJ141">
        <v>0</v>
      </c>
    </row>
    <row r="142" spans="1:36">
      <c r="A142" t="s">
        <v>229</v>
      </c>
      <c r="B142">
        <v>7.74</v>
      </c>
      <c r="C142" s="7">
        <v>46174.130555555559</v>
      </c>
      <c r="D142" s="7">
        <v>46174.452895844908</v>
      </c>
      <c r="E142" t="s">
        <v>23</v>
      </c>
      <c r="F142" t="s">
        <v>50</v>
      </c>
      <c r="G142" t="s">
        <v>25</v>
      </c>
      <c r="H142" t="s">
        <v>66</v>
      </c>
      <c r="I142" t="s">
        <v>35</v>
      </c>
      <c r="J142" t="s">
        <v>28</v>
      </c>
      <c r="K142" t="s">
        <v>37</v>
      </c>
      <c r="L142" t="s">
        <v>38</v>
      </c>
      <c r="M142">
        <v>66</v>
      </c>
      <c r="N142">
        <v>5</v>
      </c>
      <c r="O142">
        <v>0</v>
      </c>
      <c r="P142">
        <v>3</v>
      </c>
      <c r="Q142" t="s">
        <v>31</v>
      </c>
      <c r="R142">
        <v>120</v>
      </c>
      <c r="S142">
        <v>24</v>
      </c>
      <c r="T142" t="s">
        <v>63</v>
      </c>
      <c r="U142" t="s">
        <v>63</v>
      </c>
      <c r="V142">
        <v>2026</v>
      </c>
      <c r="W142">
        <v>6</v>
      </c>
      <c r="X142" t="s">
        <v>1421</v>
      </c>
      <c r="Y142" s="6">
        <v>46174</v>
      </c>
      <c r="Z142" t="s">
        <v>1413</v>
      </c>
      <c r="AA142" t="s">
        <v>31</v>
      </c>
      <c r="AB142" t="s">
        <v>63</v>
      </c>
      <c r="AC142" t="s">
        <v>23</v>
      </c>
      <c r="AD142">
        <v>1</v>
      </c>
      <c r="AE142">
        <v>0</v>
      </c>
      <c r="AF142">
        <v>1</v>
      </c>
      <c r="AG142">
        <v>0</v>
      </c>
      <c r="AH142">
        <v>0</v>
      </c>
      <c r="AI142">
        <v>1</v>
      </c>
      <c r="AJ142">
        <v>1</v>
      </c>
    </row>
    <row r="143" spans="1:36">
      <c r="A143" t="s">
        <v>230</v>
      </c>
      <c r="B143">
        <v>8.49</v>
      </c>
      <c r="C143" s="7">
        <v>46048.128472222219</v>
      </c>
      <c r="D143" s="7">
        <v>46048.482263530095</v>
      </c>
      <c r="E143" t="s">
        <v>23</v>
      </c>
      <c r="F143" t="s">
        <v>50</v>
      </c>
      <c r="G143" t="s">
        <v>25</v>
      </c>
      <c r="H143" t="s">
        <v>26</v>
      </c>
      <c r="I143" t="s">
        <v>35</v>
      </c>
      <c r="J143" t="s">
        <v>36</v>
      </c>
      <c r="K143" t="s">
        <v>67</v>
      </c>
      <c r="L143" t="s">
        <v>62</v>
      </c>
      <c r="M143">
        <v>66</v>
      </c>
      <c r="N143">
        <v>5</v>
      </c>
      <c r="O143">
        <v>0</v>
      </c>
      <c r="P143">
        <v>4</v>
      </c>
      <c r="Q143" t="s">
        <v>31</v>
      </c>
      <c r="R143">
        <v>120</v>
      </c>
      <c r="S143">
        <v>24</v>
      </c>
      <c r="T143" t="s">
        <v>63</v>
      </c>
      <c r="U143" t="s">
        <v>63</v>
      </c>
      <c r="V143">
        <v>2026</v>
      </c>
      <c r="W143">
        <v>1</v>
      </c>
      <c r="X143" t="s">
        <v>1414</v>
      </c>
      <c r="Y143" s="6">
        <v>46023</v>
      </c>
      <c r="Z143" t="s">
        <v>1413</v>
      </c>
      <c r="AA143" t="s">
        <v>31</v>
      </c>
      <c r="AB143" t="s">
        <v>63</v>
      </c>
      <c r="AC143" t="s">
        <v>23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1</v>
      </c>
      <c r="AJ143">
        <v>1</v>
      </c>
    </row>
    <row r="144" spans="1:36">
      <c r="A144" t="s">
        <v>231</v>
      </c>
      <c r="B144">
        <v>7.07</v>
      </c>
      <c r="C144" s="7">
        <v>46074.291666666664</v>
      </c>
      <c r="D144" s="7">
        <v>46074.586273310182</v>
      </c>
      <c r="E144" t="s">
        <v>23</v>
      </c>
      <c r="F144" t="s">
        <v>40</v>
      </c>
      <c r="G144" t="s">
        <v>51</v>
      </c>
      <c r="H144" t="s">
        <v>26</v>
      </c>
      <c r="I144" t="s">
        <v>35</v>
      </c>
      <c r="J144" t="s">
        <v>48</v>
      </c>
      <c r="K144" t="s">
        <v>29</v>
      </c>
      <c r="L144" t="s">
        <v>85</v>
      </c>
      <c r="M144">
        <v>23</v>
      </c>
      <c r="N144">
        <v>4</v>
      </c>
      <c r="O144">
        <v>0</v>
      </c>
      <c r="P144">
        <v>7</v>
      </c>
      <c r="Q144" t="s">
        <v>31</v>
      </c>
      <c r="R144">
        <v>30</v>
      </c>
      <c r="S144">
        <v>8</v>
      </c>
      <c r="T144" t="s">
        <v>63</v>
      </c>
      <c r="U144" t="s">
        <v>63</v>
      </c>
      <c r="V144">
        <v>2026</v>
      </c>
      <c r="W144">
        <v>2</v>
      </c>
      <c r="X144" t="s">
        <v>1419</v>
      </c>
      <c r="Y144" s="6">
        <v>46054</v>
      </c>
      <c r="Z144" t="s">
        <v>1413</v>
      </c>
      <c r="AA144" t="s">
        <v>31</v>
      </c>
      <c r="AB144" t="s">
        <v>63</v>
      </c>
      <c r="AC144" t="s">
        <v>23</v>
      </c>
      <c r="AD144">
        <v>1</v>
      </c>
      <c r="AE144">
        <v>0</v>
      </c>
      <c r="AF144">
        <v>1</v>
      </c>
      <c r="AG144">
        <v>0</v>
      </c>
      <c r="AH144">
        <v>0</v>
      </c>
      <c r="AI144">
        <v>1</v>
      </c>
      <c r="AJ144">
        <v>1</v>
      </c>
    </row>
    <row r="145" spans="1:36">
      <c r="A145" t="s">
        <v>233</v>
      </c>
      <c r="B145">
        <v>20.04</v>
      </c>
      <c r="C145" s="7">
        <v>46198.366666666669</v>
      </c>
      <c r="D145" s="7">
        <v>46199.201561284724</v>
      </c>
      <c r="E145" t="s">
        <v>23</v>
      </c>
      <c r="F145" t="s">
        <v>50</v>
      </c>
      <c r="G145" t="s">
        <v>65</v>
      </c>
      <c r="H145" t="s">
        <v>66</v>
      </c>
      <c r="I145" t="s">
        <v>35</v>
      </c>
      <c r="J145" t="s">
        <v>36</v>
      </c>
      <c r="K145" t="s">
        <v>29</v>
      </c>
      <c r="L145" t="s">
        <v>71</v>
      </c>
      <c r="M145">
        <v>131</v>
      </c>
      <c r="N145">
        <v>3</v>
      </c>
      <c r="O145">
        <v>2</v>
      </c>
      <c r="P145">
        <v>10</v>
      </c>
      <c r="Q145" t="s">
        <v>31</v>
      </c>
      <c r="R145">
        <v>120</v>
      </c>
      <c r="S145">
        <v>24</v>
      </c>
      <c r="T145" t="s">
        <v>31</v>
      </c>
      <c r="U145" t="s">
        <v>63</v>
      </c>
      <c r="V145">
        <v>2026</v>
      </c>
      <c r="W145">
        <v>6</v>
      </c>
      <c r="X145" t="s">
        <v>1421</v>
      </c>
      <c r="Y145" s="6">
        <v>46174</v>
      </c>
      <c r="Z145" t="s">
        <v>1418</v>
      </c>
      <c r="AA145" t="s">
        <v>63</v>
      </c>
      <c r="AB145" t="s">
        <v>63</v>
      </c>
      <c r="AC145" t="s">
        <v>23</v>
      </c>
      <c r="AD145">
        <v>1</v>
      </c>
      <c r="AE145">
        <v>0</v>
      </c>
      <c r="AF145">
        <v>1</v>
      </c>
      <c r="AG145">
        <v>1</v>
      </c>
      <c r="AH145">
        <v>0</v>
      </c>
      <c r="AI145">
        <v>0</v>
      </c>
      <c r="AJ145">
        <v>1</v>
      </c>
    </row>
    <row r="146" spans="1:36">
      <c r="A146" t="s">
        <v>235</v>
      </c>
      <c r="B146">
        <v>3.78</v>
      </c>
      <c r="C146" s="7">
        <v>46210.112500000003</v>
      </c>
      <c r="D146" s="7">
        <v>46210.270166956019</v>
      </c>
      <c r="E146" t="s">
        <v>23</v>
      </c>
      <c r="F146" t="s">
        <v>24</v>
      </c>
      <c r="G146" t="s">
        <v>51</v>
      </c>
      <c r="H146" t="s">
        <v>54</v>
      </c>
      <c r="I146" t="s">
        <v>42</v>
      </c>
      <c r="J146" t="s">
        <v>48</v>
      </c>
      <c r="K146" t="s">
        <v>52</v>
      </c>
      <c r="L146" t="s">
        <v>1401</v>
      </c>
      <c r="M146">
        <v>20</v>
      </c>
      <c r="N146">
        <v>4</v>
      </c>
      <c r="O146">
        <v>2</v>
      </c>
      <c r="P146">
        <v>12</v>
      </c>
      <c r="Q146" t="s">
        <v>31</v>
      </c>
      <c r="R146">
        <v>15</v>
      </c>
      <c r="S146">
        <v>4</v>
      </c>
      <c r="T146" t="s">
        <v>31</v>
      </c>
      <c r="U146" t="s">
        <v>63</v>
      </c>
      <c r="V146">
        <v>2026</v>
      </c>
      <c r="W146">
        <v>7</v>
      </c>
      <c r="X146" t="s">
        <v>1422</v>
      </c>
      <c r="Y146" s="6">
        <v>46204</v>
      </c>
      <c r="Z146" t="s">
        <v>1413</v>
      </c>
      <c r="AA146" t="s">
        <v>63</v>
      </c>
      <c r="AB146" t="s">
        <v>63</v>
      </c>
      <c r="AC146" t="s">
        <v>23</v>
      </c>
      <c r="AD146">
        <v>1</v>
      </c>
      <c r="AE146">
        <v>0</v>
      </c>
      <c r="AF146">
        <v>1</v>
      </c>
      <c r="AG146">
        <v>1</v>
      </c>
      <c r="AH146">
        <v>0</v>
      </c>
      <c r="AI146">
        <v>0</v>
      </c>
      <c r="AJ146">
        <v>1</v>
      </c>
    </row>
    <row r="147" spans="1:36">
      <c r="A147" t="s">
        <v>236</v>
      </c>
      <c r="B147">
        <v>39.07</v>
      </c>
      <c r="C147" s="7">
        <v>46103.205555555556</v>
      </c>
      <c r="D147" s="7">
        <v>46104.833560208332</v>
      </c>
      <c r="E147" t="s">
        <v>23</v>
      </c>
      <c r="F147" t="s">
        <v>50</v>
      </c>
      <c r="G147" t="s">
        <v>51</v>
      </c>
      <c r="H147" t="s">
        <v>26</v>
      </c>
      <c r="I147" t="s">
        <v>42</v>
      </c>
      <c r="J147" t="s">
        <v>28</v>
      </c>
      <c r="K147" t="s">
        <v>58</v>
      </c>
      <c r="L147" t="s">
        <v>62</v>
      </c>
      <c r="M147">
        <v>61</v>
      </c>
      <c r="N147">
        <v>4</v>
      </c>
      <c r="O147">
        <v>0</v>
      </c>
      <c r="P147">
        <v>5</v>
      </c>
      <c r="Q147" t="s">
        <v>31</v>
      </c>
      <c r="R147">
        <v>120</v>
      </c>
      <c r="S147">
        <v>24</v>
      </c>
      <c r="T147" t="s">
        <v>63</v>
      </c>
      <c r="U147" t="s">
        <v>31</v>
      </c>
      <c r="V147">
        <v>2026</v>
      </c>
      <c r="W147">
        <v>3</v>
      </c>
      <c r="X147" t="s">
        <v>1423</v>
      </c>
      <c r="Y147" s="6">
        <v>46082</v>
      </c>
      <c r="Z147" t="s">
        <v>1413</v>
      </c>
      <c r="AA147" t="s">
        <v>31</v>
      </c>
      <c r="AB147" t="s">
        <v>63</v>
      </c>
      <c r="AC147" t="s">
        <v>23</v>
      </c>
      <c r="AD147">
        <v>1</v>
      </c>
      <c r="AE147">
        <v>0</v>
      </c>
      <c r="AF147">
        <v>1</v>
      </c>
      <c r="AG147">
        <v>0</v>
      </c>
      <c r="AH147">
        <v>0</v>
      </c>
      <c r="AI147">
        <v>1</v>
      </c>
      <c r="AJ147">
        <v>0</v>
      </c>
    </row>
    <row r="148" spans="1:36">
      <c r="A148" t="s">
        <v>237</v>
      </c>
      <c r="B148">
        <v>70.849999999999994</v>
      </c>
      <c r="C148" s="7">
        <v>46183.309027777781</v>
      </c>
      <c r="D148" s="7">
        <v>46186.260928067131</v>
      </c>
      <c r="E148" t="s">
        <v>23</v>
      </c>
      <c r="F148" t="s">
        <v>50</v>
      </c>
      <c r="G148" t="s">
        <v>41</v>
      </c>
      <c r="H148" t="s">
        <v>75</v>
      </c>
      <c r="I148" t="s">
        <v>35</v>
      </c>
      <c r="J148" t="s">
        <v>48</v>
      </c>
      <c r="K148" t="s">
        <v>37</v>
      </c>
      <c r="L148" t="s">
        <v>68</v>
      </c>
      <c r="M148">
        <v>79</v>
      </c>
      <c r="N148">
        <v>4</v>
      </c>
      <c r="O148">
        <v>0</v>
      </c>
      <c r="P148">
        <v>7</v>
      </c>
      <c r="Q148" t="s">
        <v>31</v>
      </c>
      <c r="R148">
        <v>120</v>
      </c>
      <c r="S148">
        <v>24</v>
      </c>
      <c r="T148" t="s">
        <v>63</v>
      </c>
      <c r="U148" t="s">
        <v>31</v>
      </c>
      <c r="V148">
        <v>2026</v>
      </c>
      <c r="W148">
        <v>6</v>
      </c>
      <c r="X148" t="s">
        <v>1421</v>
      </c>
      <c r="Y148" s="6">
        <v>46174</v>
      </c>
      <c r="Z148" t="s">
        <v>1413</v>
      </c>
      <c r="AA148" t="s">
        <v>31</v>
      </c>
      <c r="AB148" t="s">
        <v>63</v>
      </c>
      <c r="AC148" t="s">
        <v>23</v>
      </c>
      <c r="AD148">
        <v>1</v>
      </c>
      <c r="AE148">
        <v>0</v>
      </c>
      <c r="AF148">
        <v>1</v>
      </c>
      <c r="AG148">
        <v>0</v>
      </c>
      <c r="AH148">
        <v>0</v>
      </c>
      <c r="AI148">
        <v>1</v>
      </c>
      <c r="AJ148">
        <v>0</v>
      </c>
    </row>
    <row r="149" spans="1:36">
      <c r="A149" t="s">
        <v>238</v>
      </c>
      <c r="B149">
        <v>12.39</v>
      </c>
      <c r="C149" s="7">
        <v>46231.926388888889</v>
      </c>
      <c r="D149" s="7">
        <v>46232.442453611111</v>
      </c>
      <c r="E149" t="s">
        <v>23</v>
      </c>
      <c r="F149" t="s">
        <v>40</v>
      </c>
      <c r="G149" t="s">
        <v>51</v>
      </c>
      <c r="H149" t="s">
        <v>26</v>
      </c>
      <c r="I149" t="s">
        <v>35</v>
      </c>
      <c r="J149" t="s">
        <v>36</v>
      </c>
      <c r="K149" t="s">
        <v>67</v>
      </c>
      <c r="L149" t="s">
        <v>68</v>
      </c>
      <c r="M149">
        <v>54</v>
      </c>
      <c r="N149">
        <v>4</v>
      </c>
      <c r="O149">
        <v>0</v>
      </c>
      <c r="P149">
        <v>9</v>
      </c>
      <c r="Q149" t="s">
        <v>63</v>
      </c>
      <c r="R149">
        <v>30</v>
      </c>
      <c r="S149">
        <v>8</v>
      </c>
      <c r="T149" t="s">
        <v>31</v>
      </c>
      <c r="U149" t="s">
        <v>31</v>
      </c>
      <c r="V149">
        <v>2026</v>
      </c>
      <c r="W149">
        <v>7</v>
      </c>
      <c r="X149" t="s">
        <v>1422</v>
      </c>
      <c r="Y149" s="6">
        <v>46204</v>
      </c>
      <c r="Z149" t="s">
        <v>1413</v>
      </c>
      <c r="AA149" t="s">
        <v>31</v>
      </c>
      <c r="AB149" t="s">
        <v>63</v>
      </c>
      <c r="AC149" t="s">
        <v>23</v>
      </c>
      <c r="AD149">
        <v>1</v>
      </c>
      <c r="AE149">
        <v>0</v>
      </c>
      <c r="AF149">
        <v>1</v>
      </c>
      <c r="AG149">
        <v>0</v>
      </c>
      <c r="AH149">
        <v>1</v>
      </c>
      <c r="AI149">
        <v>0</v>
      </c>
      <c r="AJ149">
        <v>0</v>
      </c>
    </row>
    <row r="150" spans="1:36">
      <c r="A150" t="s">
        <v>239</v>
      </c>
      <c r="B150">
        <v>30.85</v>
      </c>
      <c r="C150" s="7">
        <v>46038.47152777778</v>
      </c>
      <c r="D150" s="7">
        <v>46039.756944444445</v>
      </c>
      <c r="E150" t="s">
        <v>23</v>
      </c>
      <c r="F150" t="s">
        <v>40</v>
      </c>
      <c r="G150" t="s">
        <v>65</v>
      </c>
      <c r="H150" t="s">
        <v>34</v>
      </c>
      <c r="I150" t="s">
        <v>42</v>
      </c>
      <c r="J150" t="s">
        <v>28</v>
      </c>
      <c r="K150" t="s">
        <v>76</v>
      </c>
      <c r="L150" t="s">
        <v>38</v>
      </c>
      <c r="M150">
        <v>19</v>
      </c>
      <c r="N150">
        <v>4</v>
      </c>
      <c r="O150">
        <v>0</v>
      </c>
      <c r="P150">
        <v>5</v>
      </c>
      <c r="Q150" t="s">
        <v>63</v>
      </c>
      <c r="R150">
        <v>30</v>
      </c>
      <c r="S150">
        <v>8</v>
      </c>
      <c r="T150" t="s">
        <v>63</v>
      </c>
      <c r="U150" t="s">
        <v>31</v>
      </c>
      <c r="V150">
        <v>2026</v>
      </c>
      <c r="W150">
        <v>1</v>
      </c>
      <c r="X150" t="s">
        <v>1414</v>
      </c>
      <c r="Y150" s="6">
        <v>46023</v>
      </c>
      <c r="Z150" t="s">
        <v>1413</v>
      </c>
      <c r="AA150" t="s">
        <v>31</v>
      </c>
      <c r="AB150" t="s">
        <v>63</v>
      </c>
      <c r="AC150" t="s">
        <v>23</v>
      </c>
      <c r="AD150">
        <v>1</v>
      </c>
      <c r="AE150">
        <v>0</v>
      </c>
      <c r="AF150">
        <v>1</v>
      </c>
      <c r="AG150">
        <v>0</v>
      </c>
      <c r="AH150">
        <v>1</v>
      </c>
      <c r="AI150">
        <v>1</v>
      </c>
      <c r="AJ150">
        <v>0</v>
      </c>
    </row>
    <row r="151" spans="1:36">
      <c r="A151" t="s">
        <v>241</v>
      </c>
      <c r="B151">
        <v>11.35</v>
      </c>
      <c r="C151" s="7">
        <v>46157.884722222225</v>
      </c>
      <c r="D151" s="7">
        <v>46158.357527326392</v>
      </c>
      <c r="E151" t="s">
        <v>23</v>
      </c>
      <c r="F151" t="s">
        <v>40</v>
      </c>
      <c r="G151" t="s">
        <v>51</v>
      </c>
      <c r="H151" t="s">
        <v>66</v>
      </c>
      <c r="I151" t="s">
        <v>35</v>
      </c>
      <c r="J151" t="s">
        <v>43</v>
      </c>
      <c r="K151" t="s">
        <v>58</v>
      </c>
      <c r="L151" t="s">
        <v>68</v>
      </c>
      <c r="M151">
        <v>64</v>
      </c>
      <c r="N151">
        <v>4</v>
      </c>
      <c r="O151">
        <v>0</v>
      </c>
      <c r="P151">
        <v>3</v>
      </c>
      <c r="Q151" t="s">
        <v>31</v>
      </c>
      <c r="R151">
        <v>30</v>
      </c>
      <c r="S151">
        <v>8</v>
      </c>
      <c r="T151" t="s">
        <v>31</v>
      </c>
      <c r="U151" t="s">
        <v>31</v>
      </c>
      <c r="V151">
        <v>2026</v>
      </c>
      <c r="W151">
        <v>5</v>
      </c>
      <c r="X151" t="s">
        <v>1416</v>
      </c>
      <c r="Y151" s="6">
        <v>46143</v>
      </c>
      <c r="Z151" t="s">
        <v>1413</v>
      </c>
      <c r="AA151" t="s">
        <v>31</v>
      </c>
      <c r="AB151" t="s">
        <v>63</v>
      </c>
      <c r="AC151" t="s">
        <v>23</v>
      </c>
      <c r="AD151">
        <v>1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</row>
    <row r="152" spans="1:36">
      <c r="A152" t="s">
        <v>242</v>
      </c>
      <c r="B152">
        <v>14.55</v>
      </c>
      <c r="C152" s="7">
        <v>46265.212500000001</v>
      </c>
      <c r="D152" s="7">
        <v>46265.81867753472</v>
      </c>
      <c r="E152" t="s">
        <v>23</v>
      </c>
      <c r="F152" t="s">
        <v>50</v>
      </c>
      <c r="G152" t="s">
        <v>25</v>
      </c>
      <c r="H152" t="s">
        <v>66</v>
      </c>
      <c r="I152" t="s">
        <v>35</v>
      </c>
      <c r="J152" t="s">
        <v>28</v>
      </c>
      <c r="K152" t="s">
        <v>58</v>
      </c>
      <c r="L152" t="s">
        <v>85</v>
      </c>
      <c r="M152">
        <v>49</v>
      </c>
      <c r="N152">
        <v>4</v>
      </c>
      <c r="O152">
        <v>0</v>
      </c>
      <c r="P152">
        <v>3</v>
      </c>
      <c r="Q152" t="s">
        <v>31</v>
      </c>
      <c r="R152">
        <v>120</v>
      </c>
      <c r="S152">
        <v>24</v>
      </c>
      <c r="T152" t="s">
        <v>63</v>
      </c>
      <c r="U152" t="s">
        <v>63</v>
      </c>
      <c r="V152">
        <v>2026</v>
      </c>
      <c r="W152">
        <v>8</v>
      </c>
      <c r="X152" t="s">
        <v>1417</v>
      </c>
      <c r="Y152" s="6">
        <v>46235</v>
      </c>
      <c r="Z152" t="s">
        <v>1413</v>
      </c>
      <c r="AA152" t="s">
        <v>31</v>
      </c>
      <c r="AB152" t="s">
        <v>63</v>
      </c>
      <c r="AC152" t="s">
        <v>23</v>
      </c>
      <c r="AD152">
        <v>1</v>
      </c>
      <c r="AE152">
        <v>0</v>
      </c>
      <c r="AF152">
        <v>1</v>
      </c>
      <c r="AG152">
        <v>0</v>
      </c>
      <c r="AH152">
        <v>0</v>
      </c>
      <c r="AI152">
        <v>1</v>
      </c>
      <c r="AJ152">
        <v>1</v>
      </c>
    </row>
    <row r="153" spans="1:36">
      <c r="A153" t="s">
        <v>243</v>
      </c>
      <c r="B153">
        <v>37.299999999999997</v>
      </c>
      <c r="C153" s="7">
        <v>46197.400694444441</v>
      </c>
      <c r="D153" s="7">
        <v>46198.954757106483</v>
      </c>
      <c r="E153" t="s">
        <v>23</v>
      </c>
      <c r="F153" t="s">
        <v>33</v>
      </c>
      <c r="G153" t="s">
        <v>25</v>
      </c>
      <c r="H153" t="s">
        <v>34</v>
      </c>
      <c r="I153" t="s">
        <v>42</v>
      </c>
      <c r="J153" t="s">
        <v>43</v>
      </c>
      <c r="K153" t="s">
        <v>29</v>
      </c>
      <c r="L153" t="s">
        <v>62</v>
      </c>
      <c r="M153">
        <v>293</v>
      </c>
      <c r="N153">
        <v>4</v>
      </c>
      <c r="O153">
        <v>0</v>
      </c>
      <c r="P153">
        <v>3</v>
      </c>
      <c r="Q153" t="s">
        <v>31</v>
      </c>
      <c r="R153">
        <v>240</v>
      </c>
      <c r="S153">
        <v>48</v>
      </c>
      <c r="T153" t="s">
        <v>31</v>
      </c>
      <c r="U153" t="s">
        <v>63</v>
      </c>
      <c r="V153">
        <v>2026</v>
      </c>
      <c r="W153">
        <v>6</v>
      </c>
      <c r="X153" t="s">
        <v>1421</v>
      </c>
      <c r="Y153" s="6">
        <v>46174</v>
      </c>
      <c r="Z153" t="s">
        <v>1413</v>
      </c>
      <c r="AA153" t="s">
        <v>31</v>
      </c>
      <c r="AB153" t="s">
        <v>63</v>
      </c>
      <c r="AC153" t="s">
        <v>23</v>
      </c>
      <c r="AD153">
        <v>1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1</v>
      </c>
    </row>
    <row r="154" spans="1:36">
      <c r="A154" t="s">
        <v>244</v>
      </c>
      <c r="B154">
        <v>14.97</v>
      </c>
      <c r="C154" s="7">
        <v>46028.227083333331</v>
      </c>
      <c r="D154" s="7">
        <v>46028.850803090281</v>
      </c>
      <c r="E154" t="s">
        <v>23</v>
      </c>
      <c r="F154" t="s">
        <v>33</v>
      </c>
      <c r="G154" t="s">
        <v>41</v>
      </c>
      <c r="H154" t="s">
        <v>75</v>
      </c>
      <c r="I154" t="s">
        <v>35</v>
      </c>
      <c r="J154" t="s">
        <v>48</v>
      </c>
      <c r="K154" t="s">
        <v>52</v>
      </c>
      <c r="L154" t="s">
        <v>68</v>
      </c>
      <c r="M154">
        <v>156</v>
      </c>
      <c r="N154">
        <v>4</v>
      </c>
      <c r="O154">
        <v>0</v>
      </c>
      <c r="P154">
        <v>6</v>
      </c>
      <c r="Q154" t="s">
        <v>31</v>
      </c>
      <c r="R154">
        <v>240</v>
      </c>
      <c r="S154">
        <v>48</v>
      </c>
      <c r="T154" t="s">
        <v>63</v>
      </c>
      <c r="U154" t="s">
        <v>63</v>
      </c>
      <c r="V154">
        <v>2026</v>
      </c>
      <c r="W154">
        <v>1</v>
      </c>
      <c r="X154" t="s">
        <v>1414</v>
      </c>
      <c r="Y154" s="6">
        <v>46023</v>
      </c>
      <c r="Z154" t="s">
        <v>1413</v>
      </c>
      <c r="AA154" t="s">
        <v>31</v>
      </c>
      <c r="AB154" t="s">
        <v>63</v>
      </c>
      <c r="AC154" t="s">
        <v>23</v>
      </c>
      <c r="AD154">
        <v>1</v>
      </c>
      <c r="AE154">
        <v>0</v>
      </c>
      <c r="AF154">
        <v>1</v>
      </c>
      <c r="AG154">
        <v>0</v>
      </c>
      <c r="AH154">
        <v>0</v>
      </c>
      <c r="AI154">
        <v>1</v>
      </c>
      <c r="AJ154">
        <v>1</v>
      </c>
    </row>
    <row r="155" spans="1:36">
      <c r="A155" t="s">
        <v>245</v>
      </c>
      <c r="B155">
        <v>11.45</v>
      </c>
      <c r="C155" s="7">
        <v>46219.318749999999</v>
      </c>
      <c r="D155" s="7">
        <v>46219.795744247684</v>
      </c>
      <c r="E155" t="s">
        <v>23</v>
      </c>
      <c r="F155" t="s">
        <v>50</v>
      </c>
      <c r="G155" t="s">
        <v>51</v>
      </c>
      <c r="H155" t="s">
        <v>54</v>
      </c>
      <c r="I155" t="s">
        <v>27</v>
      </c>
      <c r="J155" t="s">
        <v>36</v>
      </c>
      <c r="K155" t="s">
        <v>52</v>
      </c>
      <c r="L155" t="s">
        <v>101</v>
      </c>
      <c r="M155">
        <v>66</v>
      </c>
      <c r="N155">
        <v>4</v>
      </c>
      <c r="O155">
        <v>0</v>
      </c>
      <c r="P155">
        <v>7</v>
      </c>
      <c r="Q155" t="s">
        <v>31</v>
      </c>
      <c r="R155">
        <v>120</v>
      </c>
      <c r="S155">
        <v>24</v>
      </c>
      <c r="T155" t="s">
        <v>63</v>
      </c>
      <c r="U155" t="s">
        <v>63</v>
      </c>
      <c r="V155">
        <v>2026</v>
      </c>
      <c r="W155">
        <v>7</v>
      </c>
      <c r="X155" t="s">
        <v>1422</v>
      </c>
      <c r="Y155" s="6">
        <v>46204</v>
      </c>
      <c r="Z155" t="s">
        <v>1413</v>
      </c>
      <c r="AA155" t="s">
        <v>31</v>
      </c>
      <c r="AB155" t="s">
        <v>63</v>
      </c>
      <c r="AC155" t="s">
        <v>23</v>
      </c>
      <c r="AD155">
        <v>1</v>
      </c>
      <c r="AE155">
        <v>0</v>
      </c>
      <c r="AF155">
        <v>1</v>
      </c>
      <c r="AG155">
        <v>0</v>
      </c>
      <c r="AH155">
        <v>0</v>
      </c>
      <c r="AI155">
        <v>1</v>
      </c>
      <c r="AJ155">
        <v>1</v>
      </c>
    </row>
    <row r="156" spans="1:36">
      <c r="A156" t="s">
        <v>246</v>
      </c>
      <c r="B156">
        <v>7.3</v>
      </c>
      <c r="C156" s="7">
        <v>46259.509722222225</v>
      </c>
      <c r="D156" s="7">
        <v>46259.813962233799</v>
      </c>
      <c r="E156" t="s">
        <v>23</v>
      </c>
      <c r="F156" t="s">
        <v>24</v>
      </c>
      <c r="G156" t="s">
        <v>65</v>
      </c>
      <c r="H156" t="s">
        <v>54</v>
      </c>
      <c r="I156" t="s">
        <v>35</v>
      </c>
      <c r="J156" t="s">
        <v>43</v>
      </c>
      <c r="K156" t="s">
        <v>76</v>
      </c>
      <c r="L156" t="s">
        <v>71</v>
      </c>
      <c r="M156">
        <v>7</v>
      </c>
      <c r="N156">
        <v>4</v>
      </c>
      <c r="O156">
        <v>0</v>
      </c>
      <c r="P156">
        <v>7</v>
      </c>
      <c r="Q156" t="s">
        <v>31</v>
      </c>
      <c r="R156">
        <v>15</v>
      </c>
      <c r="S156">
        <v>4</v>
      </c>
      <c r="T156" t="s">
        <v>63</v>
      </c>
      <c r="U156" t="s">
        <v>31</v>
      </c>
      <c r="V156">
        <v>2026</v>
      </c>
      <c r="W156">
        <v>8</v>
      </c>
      <c r="X156" t="s">
        <v>1417</v>
      </c>
      <c r="Y156" s="6">
        <v>46235</v>
      </c>
      <c r="Z156" t="s">
        <v>1413</v>
      </c>
      <c r="AA156" t="s">
        <v>31</v>
      </c>
      <c r="AB156" t="s">
        <v>63</v>
      </c>
      <c r="AC156" t="s">
        <v>23</v>
      </c>
      <c r="AD156">
        <v>1</v>
      </c>
      <c r="AE156">
        <v>0</v>
      </c>
      <c r="AF156">
        <v>1</v>
      </c>
      <c r="AG156">
        <v>0</v>
      </c>
      <c r="AH156">
        <v>0</v>
      </c>
      <c r="AI156">
        <v>1</v>
      </c>
      <c r="AJ156">
        <v>0</v>
      </c>
    </row>
    <row r="157" spans="1:36">
      <c r="A157" t="s">
        <v>247</v>
      </c>
      <c r="B157">
        <v>21.65</v>
      </c>
      <c r="C157" s="7">
        <v>46163.009027777778</v>
      </c>
      <c r="D157" s="7">
        <v>46163.911161770833</v>
      </c>
      <c r="E157" t="s">
        <v>23</v>
      </c>
      <c r="F157" t="s">
        <v>50</v>
      </c>
      <c r="G157" t="s">
        <v>41</v>
      </c>
      <c r="H157" t="s">
        <v>34</v>
      </c>
      <c r="I157" t="s">
        <v>42</v>
      </c>
      <c r="J157" t="s">
        <v>36</v>
      </c>
      <c r="K157" t="s">
        <v>37</v>
      </c>
      <c r="L157" t="s">
        <v>44</v>
      </c>
      <c r="M157">
        <v>185</v>
      </c>
      <c r="N157">
        <v>4</v>
      </c>
      <c r="O157">
        <v>0</v>
      </c>
      <c r="P157">
        <v>3</v>
      </c>
      <c r="Q157" t="s">
        <v>31</v>
      </c>
      <c r="R157">
        <v>120</v>
      </c>
      <c r="S157">
        <v>24</v>
      </c>
      <c r="T157" t="s">
        <v>31</v>
      </c>
      <c r="U157" t="s">
        <v>63</v>
      </c>
      <c r="V157">
        <v>2026</v>
      </c>
      <c r="W157">
        <v>5</v>
      </c>
      <c r="X157" t="s">
        <v>1416</v>
      </c>
      <c r="Y157" s="6">
        <v>46143</v>
      </c>
      <c r="Z157" t="s">
        <v>1413</v>
      </c>
      <c r="AA157" t="s">
        <v>31</v>
      </c>
      <c r="AB157" t="s">
        <v>63</v>
      </c>
      <c r="AC157" t="s">
        <v>23</v>
      </c>
      <c r="AD157">
        <v>1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1</v>
      </c>
    </row>
    <row r="158" spans="1:36">
      <c r="A158" t="s">
        <v>248</v>
      </c>
      <c r="B158">
        <v>98.34</v>
      </c>
      <c r="C158" s="7">
        <v>46196.036805555559</v>
      </c>
      <c r="D158" s="7">
        <v>46200.134224201392</v>
      </c>
      <c r="E158" t="s">
        <v>23</v>
      </c>
      <c r="F158" t="s">
        <v>33</v>
      </c>
      <c r="G158" t="s">
        <v>25</v>
      </c>
      <c r="H158" t="s">
        <v>34</v>
      </c>
      <c r="I158" t="s">
        <v>35</v>
      </c>
      <c r="J158" t="s">
        <v>48</v>
      </c>
      <c r="K158" t="s">
        <v>76</v>
      </c>
      <c r="L158" t="s">
        <v>71</v>
      </c>
      <c r="M158">
        <v>163</v>
      </c>
      <c r="N158">
        <v>3</v>
      </c>
      <c r="O158">
        <v>0</v>
      </c>
      <c r="P158">
        <v>4</v>
      </c>
      <c r="Q158" t="s">
        <v>31</v>
      </c>
      <c r="R158">
        <v>240</v>
      </c>
      <c r="S158">
        <v>48</v>
      </c>
      <c r="T158" t="s">
        <v>63</v>
      </c>
      <c r="U158" t="s">
        <v>31</v>
      </c>
      <c r="V158">
        <v>2026</v>
      </c>
      <c r="W158">
        <v>6</v>
      </c>
      <c r="X158" t="s">
        <v>1421</v>
      </c>
      <c r="Y158" s="6">
        <v>46174</v>
      </c>
      <c r="Z158" t="s">
        <v>1418</v>
      </c>
      <c r="AA158" t="s">
        <v>31</v>
      </c>
      <c r="AB158" t="s">
        <v>63</v>
      </c>
      <c r="AC158" t="s">
        <v>23</v>
      </c>
      <c r="AD158">
        <v>1</v>
      </c>
      <c r="AE158">
        <v>0</v>
      </c>
      <c r="AF158">
        <v>1</v>
      </c>
      <c r="AG158">
        <v>0</v>
      </c>
      <c r="AH158">
        <v>0</v>
      </c>
      <c r="AI158">
        <v>1</v>
      </c>
      <c r="AJ158">
        <v>0</v>
      </c>
    </row>
    <row r="159" spans="1:36">
      <c r="A159" t="s">
        <v>249</v>
      </c>
      <c r="C159" s="7">
        <v>46240.605555555558</v>
      </c>
      <c r="D159" s="7"/>
      <c r="E159" t="s">
        <v>74</v>
      </c>
      <c r="F159" t="s">
        <v>33</v>
      </c>
      <c r="G159" t="s">
        <v>41</v>
      </c>
      <c r="H159" t="s">
        <v>26</v>
      </c>
      <c r="I159" t="s">
        <v>42</v>
      </c>
      <c r="J159" t="s">
        <v>36</v>
      </c>
      <c r="K159" t="s">
        <v>67</v>
      </c>
      <c r="L159" t="s">
        <v>101</v>
      </c>
      <c r="M159">
        <v>261</v>
      </c>
      <c r="O159">
        <v>0</v>
      </c>
      <c r="P159">
        <v>2</v>
      </c>
      <c r="Q159" t="s">
        <v>31</v>
      </c>
      <c r="R159">
        <v>240</v>
      </c>
      <c r="S159">
        <v>48</v>
      </c>
      <c r="T159" t="s">
        <v>31</v>
      </c>
      <c r="U159" t="s">
        <v>74</v>
      </c>
      <c r="V159">
        <v>2026</v>
      </c>
      <c r="W159">
        <v>8</v>
      </c>
      <c r="X159" t="s">
        <v>1417</v>
      </c>
      <c r="Y159" s="6">
        <v>46235</v>
      </c>
      <c r="Z159" t="s">
        <v>1420</v>
      </c>
      <c r="AA159" t="s">
        <v>31</v>
      </c>
      <c r="AB159" t="s">
        <v>31</v>
      </c>
      <c r="AC159" t="s">
        <v>74</v>
      </c>
      <c r="AD159">
        <v>1</v>
      </c>
      <c r="AE159">
        <v>1</v>
      </c>
      <c r="AF159">
        <v>0</v>
      </c>
      <c r="AG159">
        <v>0</v>
      </c>
      <c r="AH159">
        <v>0</v>
      </c>
      <c r="AI159">
        <v>0</v>
      </c>
    </row>
    <row r="160" spans="1:36">
      <c r="A160" t="s">
        <v>250</v>
      </c>
      <c r="B160">
        <v>36.01</v>
      </c>
      <c r="C160" s="7">
        <v>46154.211111111108</v>
      </c>
      <c r="D160" s="7">
        <v>46155.711405868053</v>
      </c>
      <c r="E160" t="s">
        <v>23</v>
      </c>
      <c r="F160" t="s">
        <v>33</v>
      </c>
      <c r="G160" t="s">
        <v>51</v>
      </c>
      <c r="H160" t="s">
        <v>26</v>
      </c>
      <c r="I160" t="s">
        <v>35</v>
      </c>
      <c r="J160" t="s">
        <v>36</v>
      </c>
      <c r="K160" t="s">
        <v>29</v>
      </c>
      <c r="L160" t="s">
        <v>93</v>
      </c>
      <c r="M160">
        <v>235</v>
      </c>
      <c r="N160">
        <v>3</v>
      </c>
      <c r="O160">
        <v>0</v>
      </c>
      <c r="P160">
        <v>5</v>
      </c>
      <c r="Q160" t="s">
        <v>31</v>
      </c>
      <c r="R160">
        <v>240</v>
      </c>
      <c r="S160">
        <v>48</v>
      </c>
      <c r="T160" t="s">
        <v>63</v>
      </c>
      <c r="U160" t="s">
        <v>63</v>
      </c>
      <c r="V160">
        <v>2026</v>
      </c>
      <c r="W160">
        <v>5</v>
      </c>
      <c r="X160" t="s">
        <v>1416</v>
      </c>
      <c r="Y160" s="6">
        <v>46143</v>
      </c>
      <c r="Z160" t="s">
        <v>1418</v>
      </c>
      <c r="AA160" t="s">
        <v>31</v>
      </c>
      <c r="AB160" t="s">
        <v>63</v>
      </c>
      <c r="AC160" t="s">
        <v>23</v>
      </c>
      <c r="AD160">
        <v>1</v>
      </c>
      <c r="AE160">
        <v>0</v>
      </c>
      <c r="AF160">
        <v>1</v>
      </c>
      <c r="AG160">
        <v>0</v>
      </c>
      <c r="AH160">
        <v>0</v>
      </c>
      <c r="AI160">
        <v>1</v>
      </c>
      <c r="AJ160">
        <v>1</v>
      </c>
    </row>
    <row r="161" spans="1:36">
      <c r="A161" t="s">
        <v>252</v>
      </c>
      <c r="B161">
        <v>9.7200000000000006</v>
      </c>
      <c r="C161" s="7">
        <v>46066.136805555558</v>
      </c>
      <c r="D161" s="7">
        <v>46066.541666666664</v>
      </c>
      <c r="E161" t="s">
        <v>23</v>
      </c>
      <c r="F161" t="s">
        <v>40</v>
      </c>
      <c r="G161" t="s">
        <v>25</v>
      </c>
      <c r="H161" t="s">
        <v>66</v>
      </c>
      <c r="I161" t="s">
        <v>35</v>
      </c>
      <c r="J161" t="s">
        <v>28</v>
      </c>
      <c r="K161" t="s">
        <v>37</v>
      </c>
      <c r="L161" t="s">
        <v>55</v>
      </c>
      <c r="M161">
        <v>36</v>
      </c>
      <c r="N161">
        <v>5</v>
      </c>
      <c r="O161">
        <v>0</v>
      </c>
      <c r="P161">
        <v>3</v>
      </c>
      <c r="Q161" t="s">
        <v>31</v>
      </c>
      <c r="R161">
        <v>30</v>
      </c>
      <c r="S161">
        <v>8</v>
      </c>
      <c r="T161" t="s">
        <v>31</v>
      </c>
      <c r="U161" t="s">
        <v>31</v>
      </c>
      <c r="V161">
        <v>2026</v>
      </c>
      <c r="W161">
        <v>2</v>
      </c>
      <c r="X161" t="s">
        <v>1419</v>
      </c>
      <c r="Y161" s="6">
        <v>46054</v>
      </c>
      <c r="Z161" t="s">
        <v>1413</v>
      </c>
      <c r="AA161" t="s">
        <v>31</v>
      </c>
      <c r="AB161" t="s">
        <v>63</v>
      </c>
      <c r="AC161" t="s">
        <v>23</v>
      </c>
      <c r="AD161">
        <v>1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</row>
    <row r="162" spans="1:36">
      <c r="A162" t="s">
        <v>254</v>
      </c>
      <c r="B162">
        <v>21.21</v>
      </c>
      <c r="C162" s="7">
        <v>46201.512499999997</v>
      </c>
      <c r="D162" s="7">
        <v>46202.396090925926</v>
      </c>
      <c r="E162" t="s">
        <v>23</v>
      </c>
      <c r="F162" t="s">
        <v>33</v>
      </c>
      <c r="G162" t="s">
        <v>25</v>
      </c>
      <c r="H162" t="s">
        <v>66</v>
      </c>
      <c r="I162" t="s">
        <v>27</v>
      </c>
      <c r="J162" t="s">
        <v>36</v>
      </c>
      <c r="K162" t="s">
        <v>58</v>
      </c>
      <c r="L162" t="s">
        <v>44</v>
      </c>
      <c r="M162">
        <v>301</v>
      </c>
      <c r="N162">
        <v>3</v>
      </c>
      <c r="O162">
        <v>0</v>
      </c>
      <c r="P162">
        <v>7</v>
      </c>
      <c r="Q162" t="s">
        <v>31</v>
      </c>
      <c r="R162">
        <v>240</v>
      </c>
      <c r="S162">
        <v>48</v>
      </c>
      <c r="T162" t="s">
        <v>31</v>
      </c>
      <c r="U162" t="s">
        <v>63</v>
      </c>
      <c r="V162">
        <v>2026</v>
      </c>
      <c r="W162">
        <v>6</v>
      </c>
      <c r="X162" t="s">
        <v>1421</v>
      </c>
      <c r="Y162" s="6">
        <v>46174</v>
      </c>
      <c r="Z162" t="s">
        <v>1418</v>
      </c>
      <c r="AA162" t="s">
        <v>31</v>
      </c>
      <c r="AB162" t="s">
        <v>63</v>
      </c>
      <c r="AC162" t="s">
        <v>23</v>
      </c>
      <c r="AD162">
        <v>1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1</v>
      </c>
    </row>
    <row r="163" spans="1:36">
      <c r="A163" t="s">
        <v>255</v>
      </c>
      <c r="B163">
        <v>32.43</v>
      </c>
      <c r="C163" s="7">
        <v>46114.463888888888</v>
      </c>
      <c r="D163" s="7">
        <v>46115.815316273147</v>
      </c>
      <c r="E163" t="s">
        <v>23</v>
      </c>
      <c r="F163" t="s">
        <v>50</v>
      </c>
      <c r="G163" t="s">
        <v>41</v>
      </c>
      <c r="H163" t="s">
        <v>75</v>
      </c>
      <c r="I163" t="s">
        <v>27</v>
      </c>
      <c r="J163" t="s">
        <v>48</v>
      </c>
      <c r="K163" t="s">
        <v>37</v>
      </c>
      <c r="L163" t="s">
        <v>101</v>
      </c>
      <c r="M163">
        <v>121</v>
      </c>
      <c r="N163">
        <v>3</v>
      </c>
      <c r="O163">
        <v>1</v>
      </c>
      <c r="P163">
        <v>8</v>
      </c>
      <c r="Q163" t="s">
        <v>31</v>
      </c>
      <c r="R163">
        <v>120</v>
      </c>
      <c r="S163">
        <v>24</v>
      </c>
      <c r="T163" t="s">
        <v>31</v>
      </c>
      <c r="U163" t="s">
        <v>31</v>
      </c>
      <c r="V163">
        <v>2026</v>
      </c>
      <c r="W163">
        <v>4</v>
      </c>
      <c r="X163" t="s">
        <v>1412</v>
      </c>
      <c r="Y163" s="6">
        <v>46113</v>
      </c>
      <c r="Z163" t="s">
        <v>1418</v>
      </c>
      <c r="AA163" t="s">
        <v>63</v>
      </c>
      <c r="AB163" t="s">
        <v>63</v>
      </c>
      <c r="AC163" t="s">
        <v>23</v>
      </c>
      <c r="AD163">
        <v>1</v>
      </c>
      <c r="AE163">
        <v>0</v>
      </c>
      <c r="AF163">
        <v>1</v>
      </c>
      <c r="AG163">
        <v>1</v>
      </c>
      <c r="AH163">
        <v>0</v>
      </c>
      <c r="AI163">
        <v>0</v>
      </c>
      <c r="AJ163">
        <v>0</v>
      </c>
    </row>
    <row r="164" spans="1:36">
      <c r="A164" t="s">
        <v>256</v>
      </c>
      <c r="B164">
        <v>21.32</v>
      </c>
      <c r="C164" s="7">
        <v>46060.4375</v>
      </c>
      <c r="D164" s="7">
        <v>46061.325893425928</v>
      </c>
      <c r="E164" t="s">
        <v>23</v>
      </c>
      <c r="F164" t="s">
        <v>50</v>
      </c>
      <c r="G164" t="s">
        <v>25</v>
      </c>
      <c r="H164" t="s">
        <v>34</v>
      </c>
      <c r="I164" t="s">
        <v>35</v>
      </c>
      <c r="J164" t="s">
        <v>28</v>
      </c>
      <c r="K164" t="s">
        <v>37</v>
      </c>
      <c r="L164" t="s">
        <v>93</v>
      </c>
      <c r="M164">
        <v>117</v>
      </c>
      <c r="N164">
        <v>4</v>
      </c>
      <c r="O164">
        <v>0</v>
      </c>
      <c r="P164">
        <v>7</v>
      </c>
      <c r="Q164" t="s">
        <v>31</v>
      </c>
      <c r="R164">
        <v>120</v>
      </c>
      <c r="S164">
        <v>24</v>
      </c>
      <c r="T164" t="s">
        <v>63</v>
      </c>
      <c r="U164" t="s">
        <v>63</v>
      </c>
      <c r="V164">
        <v>2026</v>
      </c>
      <c r="W164">
        <v>2</v>
      </c>
      <c r="X164" t="s">
        <v>1419</v>
      </c>
      <c r="Y164" s="6">
        <v>46054</v>
      </c>
      <c r="Z164" t="s">
        <v>1413</v>
      </c>
      <c r="AA164" t="s">
        <v>31</v>
      </c>
      <c r="AB164" t="s">
        <v>63</v>
      </c>
      <c r="AC164" t="s">
        <v>23</v>
      </c>
      <c r="AD164">
        <v>1</v>
      </c>
      <c r="AE164">
        <v>0</v>
      </c>
      <c r="AF164">
        <v>1</v>
      </c>
      <c r="AG164">
        <v>0</v>
      </c>
      <c r="AH164">
        <v>0</v>
      </c>
      <c r="AI164">
        <v>1</v>
      </c>
      <c r="AJ164">
        <v>1</v>
      </c>
    </row>
    <row r="165" spans="1:36">
      <c r="A165" t="s">
        <v>257</v>
      </c>
      <c r="B165">
        <v>26.02</v>
      </c>
      <c r="C165" s="7">
        <v>46260.649305555555</v>
      </c>
      <c r="D165" s="7">
        <v>46261.733376469907</v>
      </c>
      <c r="E165" t="s">
        <v>23</v>
      </c>
      <c r="F165" t="s">
        <v>50</v>
      </c>
      <c r="G165" t="s">
        <v>51</v>
      </c>
      <c r="H165" t="s">
        <v>66</v>
      </c>
      <c r="I165" t="s">
        <v>42</v>
      </c>
      <c r="J165" t="s">
        <v>28</v>
      </c>
      <c r="K165" t="s">
        <v>37</v>
      </c>
      <c r="L165" t="s">
        <v>93</v>
      </c>
      <c r="M165">
        <v>164</v>
      </c>
      <c r="N165">
        <v>4</v>
      </c>
      <c r="O165">
        <v>0</v>
      </c>
      <c r="P165">
        <v>7</v>
      </c>
      <c r="Q165" t="s">
        <v>31</v>
      </c>
      <c r="R165">
        <v>120</v>
      </c>
      <c r="S165">
        <v>24</v>
      </c>
      <c r="T165" t="s">
        <v>31</v>
      </c>
      <c r="U165" t="s">
        <v>31</v>
      </c>
      <c r="V165">
        <v>2026</v>
      </c>
      <c r="W165">
        <v>8</v>
      </c>
      <c r="X165" t="s">
        <v>1417</v>
      </c>
      <c r="Y165" s="6">
        <v>46235</v>
      </c>
      <c r="Z165" t="s">
        <v>1413</v>
      </c>
      <c r="AA165" t="s">
        <v>31</v>
      </c>
      <c r="AB165" t="s">
        <v>63</v>
      </c>
      <c r="AC165" t="s">
        <v>23</v>
      </c>
      <c r="AD165">
        <v>1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</row>
    <row r="166" spans="1:36">
      <c r="A166" t="s">
        <v>258</v>
      </c>
      <c r="B166">
        <v>52.32</v>
      </c>
      <c r="C166" s="7">
        <v>46046.600694444445</v>
      </c>
      <c r="D166" s="7">
        <v>46048.780564837965</v>
      </c>
      <c r="E166" t="s">
        <v>23</v>
      </c>
      <c r="F166" t="s">
        <v>33</v>
      </c>
      <c r="G166" t="s">
        <v>51</v>
      </c>
      <c r="H166" t="s">
        <v>26</v>
      </c>
      <c r="I166" t="s">
        <v>35</v>
      </c>
      <c r="J166" t="s">
        <v>43</v>
      </c>
      <c r="K166" t="s">
        <v>29</v>
      </c>
      <c r="L166" t="s">
        <v>85</v>
      </c>
      <c r="M166">
        <v>214</v>
      </c>
      <c r="N166">
        <v>2</v>
      </c>
      <c r="O166">
        <v>3</v>
      </c>
      <c r="P166">
        <v>13</v>
      </c>
      <c r="Q166" t="s">
        <v>31</v>
      </c>
      <c r="R166">
        <v>240</v>
      </c>
      <c r="S166">
        <v>48</v>
      </c>
      <c r="T166" t="s">
        <v>63</v>
      </c>
      <c r="U166" t="s">
        <v>31</v>
      </c>
      <c r="V166">
        <v>2026</v>
      </c>
      <c r="W166">
        <v>1</v>
      </c>
      <c r="X166" t="s">
        <v>1414</v>
      </c>
      <c r="Y166" s="6">
        <v>46023</v>
      </c>
      <c r="Z166" t="s">
        <v>1415</v>
      </c>
      <c r="AA166" t="s">
        <v>63</v>
      </c>
      <c r="AB166" t="s">
        <v>63</v>
      </c>
      <c r="AC166" t="s">
        <v>23</v>
      </c>
      <c r="AD166">
        <v>1</v>
      </c>
      <c r="AE166">
        <v>0</v>
      </c>
      <c r="AF166">
        <v>1</v>
      </c>
      <c r="AG166">
        <v>1</v>
      </c>
      <c r="AH166">
        <v>0</v>
      </c>
      <c r="AI166">
        <v>1</v>
      </c>
      <c r="AJ166">
        <v>0</v>
      </c>
    </row>
    <row r="167" spans="1:36">
      <c r="A167" t="s">
        <v>260</v>
      </c>
      <c r="B167">
        <v>21.4</v>
      </c>
      <c r="C167" s="7">
        <v>46262.56527777778</v>
      </c>
      <c r="D167" s="7">
        <v>46263.457069502314</v>
      </c>
      <c r="E167" t="s">
        <v>23</v>
      </c>
      <c r="F167" t="s">
        <v>50</v>
      </c>
      <c r="G167" t="s">
        <v>25</v>
      </c>
      <c r="H167" t="s">
        <v>54</v>
      </c>
      <c r="I167" t="s">
        <v>42</v>
      </c>
      <c r="J167" t="s">
        <v>28</v>
      </c>
      <c r="K167" t="s">
        <v>29</v>
      </c>
      <c r="L167" t="s">
        <v>68</v>
      </c>
      <c r="M167">
        <v>183</v>
      </c>
      <c r="N167">
        <v>3</v>
      </c>
      <c r="O167">
        <v>1</v>
      </c>
      <c r="P167">
        <v>12</v>
      </c>
      <c r="Q167" t="s">
        <v>31</v>
      </c>
      <c r="R167">
        <v>120</v>
      </c>
      <c r="S167">
        <v>24</v>
      </c>
      <c r="T167" t="s">
        <v>31</v>
      </c>
      <c r="U167" t="s">
        <v>63</v>
      </c>
      <c r="V167">
        <v>2026</v>
      </c>
      <c r="W167">
        <v>8</v>
      </c>
      <c r="X167" t="s">
        <v>1417</v>
      </c>
      <c r="Y167" s="6">
        <v>46235</v>
      </c>
      <c r="Z167" t="s">
        <v>1418</v>
      </c>
      <c r="AA167" t="s">
        <v>63</v>
      </c>
      <c r="AB167" t="s">
        <v>63</v>
      </c>
      <c r="AC167" t="s">
        <v>23</v>
      </c>
      <c r="AD167">
        <v>1</v>
      </c>
      <c r="AE167">
        <v>0</v>
      </c>
      <c r="AF167">
        <v>1</v>
      </c>
      <c r="AG167">
        <v>1</v>
      </c>
      <c r="AH167">
        <v>0</v>
      </c>
      <c r="AI167">
        <v>0</v>
      </c>
      <c r="AJ167">
        <v>1</v>
      </c>
    </row>
    <row r="168" spans="1:36">
      <c r="A168" t="s">
        <v>261</v>
      </c>
      <c r="B168">
        <v>29.96</v>
      </c>
      <c r="C168" s="7">
        <v>46201.988888888889</v>
      </c>
      <c r="D168" s="7">
        <v>46203.23725366898</v>
      </c>
      <c r="E168" t="s">
        <v>23</v>
      </c>
      <c r="F168" t="s">
        <v>50</v>
      </c>
      <c r="G168" t="s">
        <v>51</v>
      </c>
      <c r="H168" t="s">
        <v>34</v>
      </c>
      <c r="I168" t="s">
        <v>35</v>
      </c>
      <c r="J168" t="s">
        <v>28</v>
      </c>
      <c r="K168" t="s">
        <v>37</v>
      </c>
      <c r="L168" t="s">
        <v>55</v>
      </c>
      <c r="M168">
        <v>234</v>
      </c>
      <c r="N168">
        <v>3</v>
      </c>
      <c r="O168">
        <v>1</v>
      </c>
      <c r="P168">
        <v>8</v>
      </c>
      <c r="Q168" t="s">
        <v>31</v>
      </c>
      <c r="R168">
        <v>120</v>
      </c>
      <c r="S168">
        <v>24</v>
      </c>
      <c r="T168" t="s">
        <v>31</v>
      </c>
      <c r="U168" t="s">
        <v>31</v>
      </c>
      <c r="V168">
        <v>2026</v>
      </c>
      <c r="W168">
        <v>6</v>
      </c>
      <c r="X168" t="s">
        <v>1421</v>
      </c>
      <c r="Y168" s="6">
        <v>46174</v>
      </c>
      <c r="Z168" t="s">
        <v>1418</v>
      </c>
      <c r="AA168" t="s">
        <v>63</v>
      </c>
      <c r="AB168" t="s">
        <v>63</v>
      </c>
      <c r="AC168" t="s">
        <v>23</v>
      </c>
      <c r="AD168">
        <v>1</v>
      </c>
      <c r="AE168">
        <v>0</v>
      </c>
      <c r="AF168">
        <v>1</v>
      </c>
      <c r="AG168">
        <v>1</v>
      </c>
      <c r="AH168">
        <v>0</v>
      </c>
      <c r="AI168">
        <v>0</v>
      </c>
      <c r="AJ168">
        <v>0</v>
      </c>
    </row>
    <row r="169" spans="1:36">
      <c r="A169" t="s">
        <v>262</v>
      </c>
      <c r="B169">
        <v>19.010000000000002</v>
      </c>
      <c r="C169" s="7">
        <v>46178.045138888891</v>
      </c>
      <c r="D169" s="7">
        <v>46178.837115057868</v>
      </c>
      <c r="E169" t="s">
        <v>23</v>
      </c>
      <c r="F169" t="s">
        <v>40</v>
      </c>
      <c r="G169" t="s">
        <v>51</v>
      </c>
      <c r="H169" t="s">
        <v>75</v>
      </c>
      <c r="I169" t="s">
        <v>35</v>
      </c>
      <c r="J169" t="s">
        <v>28</v>
      </c>
      <c r="K169" t="s">
        <v>76</v>
      </c>
      <c r="L169" t="s">
        <v>101</v>
      </c>
      <c r="M169">
        <v>30</v>
      </c>
      <c r="N169">
        <v>5</v>
      </c>
      <c r="O169">
        <v>0</v>
      </c>
      <c r="P169">
        <v>5</v>
      </c>
      <c r="Q169" t="s">
        <v>31</v>
      </c>
      <c r="R169">
        <v>30</v>
      </c>
      <c r="S169">
        <v>8</v>
      </c>
      <c r="T169" t="s">
        <v>63</v>
      </c>
      <c r="U169" t="s">
        <v>31</v>
      </c>
      <c r="V169">
        <v>2026</v>
      </c>
      <c r="W169">
        <v>6</v>
      </c>
      <c r="X169" t="s">
        <v>1421</v>
      </c>
      <c r="Y169" s="6">
        <v>46174</v>
      </c>
      <c r="Z169" t="s">
        <v>1413</v>
      </c>
      <c r="AA169" t="s">
        <v>31</v>
      </c>
      <c r="AB169" t="s">
        <v>63</v>
      </c>
      <c r="AC169" t="s">
        <v>23</v>
      </c>
      <c r="AD169">
        <v>1</v>
      </c>
      <c r="AE169">
        <v>0</v>
      </c>
      <c r="AF169">
        <v>1</v>
      </c>
      <c r="AG169">
        <v>0</v>
      </c>
      <c r="AH169">
        <v>0</v>
      </c>
      <c r="AI169">
        <v>1</v>
      </c>
      <c r="AJ169">
        <v>0</v>
      </c>
    </row>
    <row r="170" spans="1:36">
      <c r="A170" t="s">
        <v>263</v>
      </c>
      <c r="B170">
        <v>20.39</v>
      </c>
      <c r="C170" s="7">
        <v>46073.98333333333</v>
      </c>
      <c r="D170" s="7">
        <v>46074.832886018521</v>
      </c>
      <c r="E170" t="s">
        <v>23</v>
      </c>
      <c r="F170" t="s">
        <v>50</v>
      </c>
      <c r="G170" t="s">
        <v>65</v>
      </c>
      <c r="H170" t="s">
        <v>26</v>
      </c>
      <c r="I170" t="s">
        <v>42</v>
      </c>
      <c r="J170" t="s">
        <v>36</v>
      </c>
      <c r="K170" t="s">
        <v>29</v>
      </c>
      <c r="L170" t="s">
        <v>30</v>
      </c>
      <c r="M170">
        <v>216</v>
      </c>
      <c r="N170">
        <v>4</v>
      </c>
      <c r="O170">
        <v>0</v>
      </c>
      <c r="P170">
        <v>5</v>
      </c>
      <c r="Q170" t="s">
        <v>31</v>
      </c>
      <c r="R170">
        <v>120</v>
      </c>
      <c r="S170">
        <v>24</v>
      </c>
      <c r="T170" t="s">
        <v>31</v>
      </c>
      <c r="U170" t="s">
        <v>63</v>
      </c>
      <c r="V170">
        <v>2026</v>
      </c>
      <c r="W170">
        <v>2</v>
      </c>
      <c r="X170" t="s">
        <v>1419</v>
      </c>
      <c r="Y170" s="6">
        <v>46054</v>
      </c>
      <c r="Z170" t="s">
        <v>1413</v>
      </c>
      <c r="AA170" t="s">
        <v>31</v>
      </c>
      <c r="AB170" t="s">
        <v>63</v>
      </c>
      <c r="AC170" t="s">
        <v>23</v>
      </c>
      <c r="AD170">
        <v>1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1</v>
      </c>
    </row>
    <row r="171" spans="1:36">
      <c r="A171" t="s">
        <v>264</v>
      </c>
      <c r="B171">
        <v>46.71</v>
      </c>
      <c r="C171" s="7">
        <v>46109.222916666666</v>
      </c>
      <c r="D171" s="7">
        <v>46111.169276307868</v>
      </c>
      <c r="E171" t="s">
        <v>23</v>
      </c>
      <c r="F171" t="s">
        <v>50</v>
      </c>
      <c r="G171" t="s">
        <v>51</v>
      </c>
      <c r="H171" t="s">
        <v>75</v>
      </c>
      <c r="I171" t="s">
        <v>35</v>
      </c>
      <c r="J171" t="s">
        <v>43</v>
      </c>
      <c r="K171" t="s">
        <v>67</v>
      </c>
      <c r="L171" t="s">
        <v>44</v>
      </c>
      <c r="M171">
        <v>542</v>
      </c>
      <c r="N171">
        <v>3</v>
      </c>
      <c r="O171">
        <v>0</v>
      </c>
      <c r="P171">
        <v>8</v>
      </c>
      <c r="Q171" t="s">
        <v>63</v>
      </c>
      <c r="R171">
        <v>120</v>
      </c>
      <c r="S171">
        <v>24</v>
      </c>
      <c r="T171" t="s">
        <v>31</v>
      </c>
      <c r="U171" t="s">
        <v>31</v>
      </c>
      <c r="V171">
        <v>2026</v>
      </c>
      <c r="W171">
        <v>3</v>
      </c>
      <c r="X171" t="s">
        <v>1423</v>
      </c>
      <c r="Y171" s="6">
        <v>46082</v>
      </c>
      <c r="Z171" t="s">
        <v>1418</v>
      </c>
      <c r="AA171" t="s">
        <v>31</v>
      </c>
      <c r="AB171" t="s">
        <v>63</v>
      </c>
      <c r="AC171" t="s">
        <v>23</v>
      </c>
      <c r="AD171">
        <v>1</v>
      </c>
      <c r="AE171">
        <v>0</v>
      </c>
      <c r="AF171">
        <v>1</v>
      </c>
      <c r="AG171">
        <v>0</v>
      </c>
      <c r="AH171">
        <v>1</v>
      </c>
      <c r="AI171">
        <v>0</v>
      </c>
      <c r="AJ171">
        <v>0</v>
      </c>
    </row>
    <row r="172" spans="1:36">
      <c r="A172" t="s">
        <v>265</v>
      </c>
      <c r="B172">
        <v>31.99</v>
      </c>
      <c r="C172" s="7">
        <v>46138.917361111111</v>
      </c>
      <c r="D172" s="7">
        <v>46140.250442962963</v>
      </c>
      <c r="E172" t="s">
        <v>23</v>
      </c>
      <c r="F172" t="s">
        <v>50</v>
      </c>
      <c r="G172" t="s">
        <v>51</v>
      </c>
      <c r="H172" t="s">
        <v>26</v>
      </c>
      <c r="I172" t="s">
        <v>27</v>
      </c>
      <c r="J172" t="s">
        <v>48</v>
      </c>
      <c r="K172" t="s">
        <v>58</v>
      </c>
      <c r="L172" t="s">
        <v>30</v>
      </c>
      <c r="M172">
        <v>61</v>
      </c>
      <c r="N172">
        <v>4</v>
      </c>
      <c r="O172">
        <v>0</v>
      </c>
      <c r="P172">
        <v>6</v>
      </c>
      <c r="Q172" t="s">
        <v>31</v>
      </c>
      <c r="R172">
        <v>120</v>
      </c>
      <c r="S172">
        <v>24</v>
      </c>
      <c r="T172" t="s">
        <v>63</v>
      </c>
      <c r="U172" t="s">
        <v>31</v>
      </c>
      <c r="V172">
        <v>2026</v>
      </c>
      <c r="W172">
        <v>4</v>
      </c>
      <c r="X172" t="s">
        <v>1412</v>
      </c>
      <c r="Y172" s="6">
        <v>46113</v>
      </c>
      <c r="Z172" t="s">
        <v>1413</v>
      </c>
      <c r="AA172" t="s">
        <v>31</v>
      </c>
      <c r="AB172" t="s">
        <v>63</v>
      </c>
      <c r="AC172" t="s">
        <v>23</v>
      </c>
      <c r="AD172">
        <v>1</v>
      </c>
      <c r="AE172">
        <v>0</v>
      </c>
      <c r="AF172">
        <v>1</v>
      </c>
      <c r="AG172">
        <v>0</v>
      </c>
      <c r="AH172">
        <v>0</v>
      </c>
      <c r="AI172">
        <v>1</v>
      </c>
      <c r="AJ172">
        <v>0</v>
      </c>
    </row>
    <row r="173" spans="1:36">
      <c r="A173" t="s">
        <v>266</v>
      </c>
      <c r="B173">
        <v>34.340000000000003</v>
      </c>
      <c r="C173" s="7">
        <v>46225.862500000003</v>
      </c>
      <c r="D173" s="7">
        <v>46227.293213136574</v>
      </c>
      <c r="E173" t="s">
        <v>23</v>
      </c>
      <c r="F173" t="s">
        <v>50</v>
      </c>
      <c r="G173" t="s">
        <v>25</v>
      </c>
      <c r="H173" t="s">
        <v>34</v>
      </c>
      <c r="I173" t="s">
        <v>27</v>
      </c>
      <c r="J173" t="s">
        <v>28</v>
      </c>
      <c r="K173" t="s">
        <v>37</v>
      </c>
      <c r="L173" t="s">
        <v>55</v>
      </c>
      <c r="M173">
        <v>340</v>
      </c>
      <c r="N173">
        <v>3</v>
      </c>
      <c r="O173">
        <v>0</v>
      </c>
      <c r="P173">
        <v>4</v>
      </c>
      <c r="Q173" t="s">
        <v>31</v>
      </c>
      <c r="R173">
        <v>120</v>
      </c>
      <c r="S173">
        <v>24</v>
      </c>
      <c r="T173" t="s">
        <v>31</v>
      </c>
      <c r="U173" t="s">
        <v>31</v>
      </c>
      <c r="V173">
        <v>2026</v>
      </c>
      <c r="W173">
        <v>7</v>
      </c>
      <c r="X173" t="s">
        <v>1422</v>
      </c>
      <c r="Y173" s="6">
        <v>46204</v>
      </c>
      <c r="Z173" t="s">
        <v>1418</v>
      </c>
      <c r="AA173" t="s">
        <v>31</v>
      </c>
      <c r="AB173" t="s">
        <v>63</v>
      </c>
      <c r="AC173" t="s">
        <v>23</v>
      </c>
      <c r="AD173">
        <v>1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</row>
    <row r="174" spans="1:36">
      <c r="A174" t="s">
        <v>267</v>
      </c>
      <c r="B174">
        <v>21.16</v>
      </c>
      <c r="C174" s="7">
        <v>46101.531944444447</v>
      </c>
      <c r="D174" s="7">
        <v>46102.41348664352</v>
      </c>
      <c r="E174" t="s">
        <v>23</v>
      </c>
      <c r="F174" t="s">
        <v>40</v>
      </c>
      <c r="G174" t="s">
        <v>41</v>
      </c>
      <c r="H174" t="s">
        <v>34</v>
      </c>
      <c r="I174" t="s">
        <v>42</v>
      </c>
      <c r="J174" t="s">
        <v>48</v>
      </c>
      <c r="K174" t="s">
        <v>37</v>
      </c>
      <c r="L174" t="s">
        <v>30</v>
      </c>
      <c r="M174">
        <v>13</v>
      </c>
      <c r="N174">
        <v>5</v>
      </c>
      <c r="O174">
        <v>0</v>
      </c>
      <c r="P174">
        <v>4</v>
      </c>
      <c r="Q174" t="s">
        <v>31</v>
      </c>
      <c r="R174">
        <v>30</v>
      </c>
      <c r="S174">
        <v>8</v>
      </c>
      <c r="T174" t="s">
        <v>63</v>
      </c>
      <c r="U174" t="s">
        <v>31</v>
      </c>
      <c r="V174">
        <v>2026</v>
      </c>
      <c r="W174">
        <v>3</v>
      </c>
      <c r="X174" t="s">
        <v>1423</v>
      </c>
      <c r="Y174" s="6">
        <v>46082</v>
      </c>
      <c r="Z174" t="s">
        <v>1413</v>
      </c>
      <c r="AA174" t="s">
        <v>31</v>
      </c>
      <c r="AB174" t="s">
        <v>63</v>
      </c>
      <c r="AC174" t="s">
        <v>23</v>
      </c>
      <c r="AD174">
        <v>1</v>
      </c>
      <c r="AE174">
        <v>0</v>
      </c>
      <c r="AF174">
        <v>1</v>
      </c>
      <c r="AG174">
        <v>0</v>
      </c>
      <c r="AH174">
        <v>0</v>
      </c>
      <c r="AI174">
        <v>1</v>
      </c>
      <c r="AJ174">
        <v>0</v>
      </c>
    </row>
    <row r="175" spans="1:36">
      <c r="A175" t="s">
        <v>268</v>
      </c>
      <c r="B175">
        <v>10.41</v>
      </c>
      <c r="C175" s="7">
        <v>46141.25277777778</v>
      </c>
      <c r="D175" s="7">
        <v>46141.686474236114</v>
      </c>
      <c r="E175" t="s">
        <v>23</v>
      </c>
      <c r="F175" t="s">
        <v>50</v>
      </c>
      <c r="G175" t="s">
        <v>25</v>
      </c>
      <c r="H175" t="s">
        <v>34</v>
      </c>
      <c r="I175" t="s">
        <v>35</v>
      </c>
      <c r="J175" t="s">
        <v>36</v>
      </c>
      <c r="K175" t="s">
        <v>29</v>
      </c>
      <c r="L175" t="s">
        <v>68</v>
      </c>
      <c r="M175">
        <v>184</v>
      </c>
      <c r="N175">
        <v>4</v>
      </c>
      <c r="O175">
        <v>0</v>
      </c>
      <c r="P175">
        <v>5</v>
      </c>
      <c r="Q175" t="s">
        <v>31</v>
      </c>
      <c r="R175">
        <v>120</v>
      </c>
      <c r="S175">
        <v>24</v>
      </c>
      <c r="T175" t="s">
        <v>31</v>
      </c>
      <c r="U175" t="s">
        <v>63</v>
      </c>
      <c r="V175">
        <v>2026</v>
      </c>
      <c r="W175">
        <v>4</v>
      </c>
      <c r="X175" t="s">
        <v>1412</v>
      </c>
      <c r="Y175" s="6">
        <v>46113</v>
      </c>
      <c r="Z175" t="s">
        <v>1413</v>
      </c>
      <c r="AA175" t="s">
        <v>31</v>
      </c>
      <c r="AB175" t="s">
        <v>63</v>
      </c>
      <c r="AC175" t="s">
        <v>23</v>
      </c>
      <c r="AD175">
        <v>1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1</v>
      </c>
    </row>
    <row r="176" spans="1:36">
      <c r="A176" t="s">
        <v>269</v>
      </c>
      <c r="B176">
        <v>28.72</v>
      </c>
      <c r="C176" s="7">
        <v>46151.802777777775</v>
      </c>
      <c r="D176" s="7">
        <v>46152.999588506944</v>
      </c>
      <c r="E176" t="s">
        <v>23</v>
      </c>
      <c r="F176" t="s">
        <v>50</v>
      </c>
      <c r="G176" t="s">
        <v>41</v>
      </c>
      <c r="H176" t="s">
        <v>75</v>
      </c>
      <c r="I176" t="s">
        <v>35</v>
      </c>
      <c r="J176" t="s">
        <v>36</v>
      </c>
      <c r="K176" t="s">
        <v>37</v>
      </c>
      <c r="L176" t="s">
        <v>62</v>
      </c>
      <c r="M176">
        <v>164</v>
      </c>
      <c r="N176">
        <v>4</v>
      </c>
      <c r="O176">
        <v>0</v>
      </c>
      <c r="P176">
        <v>7</v>
      </c>
      <c r="Q176" t="s">
        <v>31</v>
      </c>
      <c r="R176">
        <v>120</v>
      </c>
      <c r="S176">
        <v>24</v>
      </c>
      <c r="T176" t="s">
        <v>31</v>
      </c>
      <c r="U176" t="s">
        <v>31</v>
      </c>
      <c r="V176">
        <v>2026</v>
      </c>
      <c r="W176">
        <v>5</v>
      </c>
      <c r="X176" t="s">
        <v>1416</v>
      </c>
      <c r="Y176" s="6">
        <v>46143</v>
      </c>
      <c r="Z176" t="s">
        <v>1413</v>
      </c>
      <c r="AA176" t="s">
        <v>31</v>
      </c>
      <c r="AB176" t="s">
        <v>63</v>
      </c>
      <c r="AC176" t="s">
        <v>23</v>
      </c>
      <c r="AD176">
        <v>1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</row>
    <row r="177" spans="1:36">
      <c r="A177" t="s">
        <v>270</v>
      </c>
      <c r="B177">
        <v>47.94</v>
      </c>
      <c r="C177" s="7">
        <v>46036.390972222223</v>
      </c>
      <c r="D177" s="7">
        <v>46038.388410439817</v>
      </c>
      <c r="E177" t="s">
        <v>23</v>
      </c>
      <c r="F177" t="s">
        <v>33</v>
      </c>
      <c r="G177" t="s">
        <v>51</v>
      </c>
      <c r="H177" t="s">
        <v>66</v>
      </c>
      <c r="I177" t="s">
        <v>35</v>
      </c>
      <c r="J177" t="s">
        <v>28</v>
      </c>
      <c r="K177" t="s">
        <v>37</v>
      </c>
      <c r="L177" t="s">
        <v>55</v>
      </c>
      <c r="M177">
        <v>50</v>
      </c>
      <c r="N177">
        <v>4</v>
      </c>
      <c r="O177">
        <v>0</v>
      </c>
      <c r="P177">
        <v>4</v>
      </c>
      <c r="Q177" t="s">
        <v>31</v>
      </c>
      <c r="R177">
        <v>240</v>
      </c>
      <c r="S177">
        <v>48</v>
      </c>
      <c r="T177" t="s">
        <v>63</v>
      </c>
      <c r="U177" t="s">
        <v>63</v>
      </c>
      <c r="V177">
        <v>2026</v>
      </c>
      <c r="W177">
        <v>1</v>
      </c>
      <c r="X177" t="s">
        <v>1414</v>
      </c>
      <c r="Y177" s="6">
        <v>46023</v>
      </c>
      <c r="Z177" t="s">
        <v>1413</v>
      </c>
      <c r="AA177" t="s">
        <v>31</v>
      </c>
      <c r="AB177" t="s">
        <v>63</v>
      </c>
      <c r="AC177" t="s">
        <v>23</v>
      </c>
      <c r="AD177">
        <v>1</v>
      </c>
      <c r="AE177">
        <v>0</v>
      </c>
      <c r="AF177">
        <v>1</v>
      </c>
      <c r="AG177">
        <v>0</v>
      </c>
      <c r="AH177">
        <v>0</v>
      </c>
      <c r="AI177">
        <v>1</v>
      </c>
      <c r="AJ177">
        <v>1</v>
      </c>
    </row>
    <row r="178" spans="1:36">
      <c r="A178" t="s">
        <v>271</v>
      </c>
      <c r="B178">
        <v>19.350000000000001</v>
      </c>
      <c r="C178" s="7">
        <v>46229.834027777775</v>
      </c>
      <c r="D178" s="7">
        <v>46230.640277777777</v>
      </c>
      <c r="E178" t="s">
        <v>23</v>
      </c>
      <c r="F178" t="s">
        <v>50</v>
      </c>
      <c r="G178" t="s">
        <v>41</v>
      </c>
      <c r="H178" t="s">
        <v>26</v>
      </c>
      <c r="I178" t="s">
        <v>42</v>
      </c>
      <c r="J178" t="s">
        <v>48</v>
      </c>
      <c r="K178" t="s">
        <v>37</v>
      </c>
      <c r="L178" t="s">
        <v>68</v>
      </c>
      <c r="M178">
        <v>67</v>
      </c>
      <c r="N178">
        <v>4</v>
      </c>
      <c r="O178">
        <v>0</v>
      </c>
      <c r="P178">
        <v>7</v>
      </c>
      <c r="Q178" t="s">
        <v>31</v>
      </c>
      <c r="R178">
        <v>120</v>
      </c>
      <c r="S178">
        <v>24</v>
      </c>
      <c r="T178" t="s">
        <v>63</v>
      </c>
      <c r="U178" t="s">
        <v>63</v>
      </c>
      <c r="V178">
        <v>2026</v>
      </c>
      <c r="W178">
        <v>7</v>
      </c>
      <c r="X178" t="s">
        <v>1422</v>
      </c>
      <c r="Y178" s="6">
        <v>46204</v>
      </c>
      <c r="Z178" t="s">
        <v>1413</v>
      </c>
      <c r="AA178" t="s">
        <v>31</v>
      </c>
      <c r="AB178" t="s">
        <v>63</v>
      </c>
      <c r="AC178" t="s">
        <v>23</v>
      </c>
      <c r="AD178">
        <v>1</v>
      </c>
      <c r="AE178">
        <v>0</v>
      </c>
      <c r="AF178">
        <v>1</v>
      </c>
      <c r="AG178">
        <v>0</v>
      </c>
      <c r="AH178">
        <v>0</v>
      </c>
      <c r="AI178">
        <v>1</v>
      </c>
      <c r="AJ178">
        <v>1</v>
      </c>
    </row>
    <row r="179" spans="1:36">
      <c r="A179" t="s">
        <v>274</v>
      </c>
      <c r="B179">
        <v>26.43</v>
      </c>
      <c r="C179" s="7">
        <v>46121.025000000001</v>
      </c>
      <c r="D179" s="7">
        <v>46122.126243321756</v>
      </c>
      <c r="E179" t="s">
        <v>23</v>
      </c>
      <c r="F179" t="s">
        <v>33</v>
      </c>
      <c r="G179" t="s">
        <v>41</v>
      </c>
      <c r="H179" t="s">
        <v>26</v>
      </c>
      <c r="I179" t="s">
        <v>35</v>
      </c>
      <c r="J179" t="s">
        <v>36</v>
      </c>
      <c r="K179" t="s">
        <v>37</v>
      </c>
      <c r="L179" t="s">
        <v>68</v>
      </c>
      <c r="M179">
        <v>111</v>
      </c>
      <c r="N179">
        <v>3</v>
      </c>
      <c r="O179">
        <v>2</v>
      </c>
      <c r="P179">
        <v>10</v>
      </c>
      <c r="Q179" t="s">
        <v>31</v>
      </c>
      <c r="R179">
        <v>240</v>
      </c>
      <c r="S179">
        <v>48</v>
      </c>
      <c r="T179" t="s">
        <v>63</v>
      </c>
      <c r="U179" t="s">
        <v>63</v>
      </c>
      <c r="V179">
        <v>2026</v>
      </c>
      <c r="W179">
        <v>4</v>
      </c>
      <c r="X179" t="s">
        <v>1412</v>
      </c>
      <c r="Y179" s="6">
        <v>46113</v>
      </c>
      <c r="Z179" t="s">
        <v>1418</v>
      </c>
      <c r="AA179" t="s">
        <v>63</v>
      </c>
      <c r="AB179" t="s">
        <v>63</v>
      </c>
      <c r="AC179" t="s">
        <v>23</v>
      </c>
      <c r="AD179">
        <v>1</v>
      </c>
      <c r="AE179">
        <v>0</v>
      </c>
      <c r="AF179">
        <v>1</v>
      </c>
      <c r="AG179">
        <v>1</v>
      </c>
      <c r="AH179">
        <v>0</v>
      </c>
      <c r="AI179">
        <v>1</v>
      </c>
      <c r="AJ179">
        <v>1</v>
      </c>
    </row>
    <row r="180" spans="1:36">
      <c r="A180" t="s">
        <v>275</v>
      </c>
      <c r="B180">
        <v>18.75</v>
      </c>
      <c r="C180" s="7">
        <v>46049.17083333333</v>
      </c>
      <c r="D180" s="7">
        <v>46049.952068796294</v>
      </c>
      <c r="E180" t="s">
        <v>23</v>
      </c>
      <c r="F180" t="s">
        <v>40</v>
      </c>
      <c r="G180" t="s">
        <v>25</v>
      </c>
      <c r="H180" t="s">
        <v>54</v>
      </c>
      <c r="I180" t="s">
        <v>35</v>
      </c>
      <c r="J180" t="s">
        <v>48</v>
      </c>
      <c r="K180" t="s">
        <v>67</v>
      </c>
      <c r="L180" t="s">
        <v>71</v>
      </c>
      <c r="M180">
        <v>21</v>
      </c>
      <c r="N180">
        <v>4</v>
      </c>
      <c r="O180">
        <v>0</v>
      </c>
      <c r="P180">
        <v>10</v>
      </c>
      <c r="Q180" t="s">
        <v>63</v>
      </c>
      <c r="R180">
        <v>30</v>
      </c>
      <c r="S180">
        <v>8</v>
      </c>
      <c r="T180" t="s">
        <v>63</v>
      </c>
      <c r="U180" t="s">
        <v>31</v>
      </c>
      <c r="V180">
        <v>2026</v>
      </c>
      <c r="W180">
        <v>1</v>
      </c>
      <c r="X180" t="s">
        <v>1414</v>
      </c>
      <c r="Y180" s="6">
        <v>46023</v>
      </c>
      <c r="Z180" t="s">
        <v>1413</v>
      </c>
      <c r="AA180" t="s">
        <v>31</v>
      </c>
      <c r="AB180" t="s">
        <v>63</v>
      </c>
      <c r="AC180" t="s">
        <v>23</v>
      </c>
      <c r="AD180">
        <v>1</v>
      </c>
      <c r="AE180">
        <v>0</v>
      </c>
      <c r="AF180">
        <v>1</v>
      </c>
      <c r="AG180">
        <v>0</v>
      </c>
      <c r="AH180">
        <v>1</v>
      </c>
      <c r="AI180">
        <v>1</v>
      </c>
      <c r="AJ180">
        <v>0</v>
      </c>
    </row>
    <row r="181" spans="1:36">
      <c r="A181" t="s">
        <v>277</v>
      </c>
      <c r="B181">
        <v>17.28</v>
      </c>
      <c r="C181" s="7">
        <v>46084.374305555553</v>
      </c>
      <c r="D181" s="7">
        <v>46085.094296921299</v>
      </c>
      <c r="E181" t="s">
        <v>23</v>
      </c>
      <c r="F181" t="s">
        <v>50</v>
      </c>
      <c r="G181" t="s">
        <v>25</v>
      </c>
      <c r="H181" t="s">
        <v>66</v>
      </c>
      <c r="I181" t="s">
        <v>35</v>
      </c>
      <c r="J181" t="s">
        <v>36</v>
      </c>
      <c r="K181" t="s">
        <v>52</v>
      </c>
      <c r="L181" t="s">
        <v>68</v>
      </c>
      <c r="M181">
        <v>56</v>
      </c>
      <c r="N181">
        <v>4</v>
      </c>
      <c r="O181">
        <v>0</v>
      </c>
      <c r="P181">
        <v>3</v>
      </c>
      <c r="Q181" t="s">
        <v>31</v>
      </c>
      <c r="R181">
        <v>120</v>
      </c>
      <c r="S181">
        <v>24</v>
      </c>
      <c r="T181" t="s">
        <v>63</v>
      </c>
      <c r="U181" t="s">
        <v>63</v>
      </c>
      <c r="V181">
        <v>2026</v>
      </c>
      <c r="W181">
        <v>3</v>
      </c>
      <c r="X181" t="s">
        <v>1423</v>
      </c>
      <c r="Y181" s="6">
        <v>46082</v>
      </c>
      <c r="Z181" t="s">
        <v>1413</v>
      </c>
      <c r="AA181" t="s">
        <v>31</v>
      </c>
      <c r="AB181" t="s">
        <v>63</v>
      </c>
      <c r="AC181" t="s">
        <v>23</v>
      </c>
      <c r="AD181">
        <v>1</v>
      </c>
      <c r="AE181">
        <v>0</v>
      </c>
      <c r="AF181">
        <v>1</v>
      </c>
      <c r="AG181">
        <v>0</v>
      </c>
      <c r="AH181">
        <v>0</v>
      </c>
      <c r="AI181">
        <v>1</v>
      </c>
      <c r="AJ181">
        <v>1</v>
      </c>
    </row>
    <row r="182" spans="1:36">
      <c r="A182" t="s">
        <v>278</v>
      </c>
      <c r="B182">
        <v>35.299999999999997</v>
      </c>
      <c r="C182" s="7">
        <v>46109.301388888889</v>
      </c>
      <c r="D182" s="7">
        <v>46110.772360266201</v>
      </c>
      <c r="E182" t="s">
        <v>23</v>
      </c>
      <c r="F182" t="s">
        <v>33</v>
      </c>
      <c r="G182" t="s">
        <v>41</v>
      </c>
      <c r="H182" t="s">
        <v>34</v>
      </c>
      <c r="I182" t="s">
        <v>42</v>
      </c>
      <c r="J182" t="s">
        <v>28</v>
      </c>
      <c r="K182" t="s">
        <v>37</v>
      </c>
      <c r="L182" t="s">
        <v>93</v>
      </c>
      <c r="M182">
        <v>247</v>
      </c>
      <c r="N182">
        <v>4</v>
      </c>
      <c r="O182">
        <v>0</v>
      </c>
      <c r="P182">
        <v>7</v>
      </c>
      <c r="Q182" t="s">
        <v>31</v>
      </c>
      <c r="R182">
        <v>240</v>
      </c>
      <c r="S182">
        <v>48</v>
      </c>
      <c r="T182" t="s">
        <v>31</v>
      </c>
      <c r="U182" t="s">
        <v>63</v>
      </c>
      <c r="V182">
        <v>2026</v>
      </c>
      <c r="W182">
        <v>3</v>
      </c>
      <c r="X182" t="s">
        <v>1423</v>
      </c>
      <c r="Y182" s="6">
        <v>46082</v>
      </c>
      <c r="Z182" t="s">
        <v>1413</v>
      </c>
      <c r="AA182" t="s">
        <v>31</v>
      </c>
      <c r="AB182" t="s">
        <v>63</v>
      </c>
      <c r="AC182" t="s">
        <v>23</v>
      </c>
      <c r="AD182">
        <v>1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1</v>
      </c>
    </row>
    <row r="183" spans="1:36">
      <c r="A183" t="s">
        <v>279</v>
      </c>
      <c r="B183">
        <v>5.35</v>
      </c>
      <c r="C183" s="7">
        <v>46228.665277777778</v>
      </c>
      <c r="D183" s="7">
        <v>46228.888173101848</v>
      </c>
      <c r="E183" t="s">
        <v>23</v>
      </c>
      <c r="F183" t="s">
        <v>24</v>
      </c>
      <c r="G183" t="s">
        <v>41</v>
      </c>
      <c r="H183" t="s">
        <v>34</v>
      </c>
      <c r="I183" t="s">
        <v>42</v>
      </c>
      <c r="J183" t="s">
        <v>36</v>
      </c>
      <c r="K183" t="s">
        <v>67</v>
      </c>
      <c r="L183" t="s">
        <v>71</v>
      </c>
      <c r="M183">
        <v>32</v>
      </c>
      <c r="N183">
        <v>4</v>
      </c>
      <c r="O183">
        <v>0</v>
      </c>
      <c r="P183">
        <v>6</v>
      </c>
      <c r="Q183" t="s">
        <v>31</v>
      </c>
      <c r="R183">
        <v>15</v>
      </c>
      <c r="S183">
        <v>4</v>
      </c>
      <c r="T183" t="s">
        <v>31</v>
      </c>
      <c r="U183" t="s">
        <v>31</v>
      </c>
      <c r="V183">
        <v>2026</v>
      </c>
      <c r="W183">
        <v>7</v>
      </c>
      <c r="X183" t="s">
        <v>1422</v>
      </c>
      <c r="Y183" s="6">
        <v>46204</v>
      </c>
      <c r="Z183" t="s">
        <v>1413</v>
      </c>
      <c r="AA183" t="s">
        <v>31</v>
      </c>
      <c r="AB183" t="s">
        <v>63</v>
      </c>
      <c r="AC183" t="s">
        <v>23</v>
      </c>
      <c r="AD183">
        <v>1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</row>
    <row r="184" spans="1:36">
      <c r="A184" t="s">
        <v>280</v>
      </c>
      <c r="B184">
        <v>25.37</v>
      </c>
      <c r="C184" s="7">
        <v>46065.527777777781</v>
      </c>
      <c r="D184" s="7">
        <v>46066.584897685185</v>
      </c>
      <c r="E184" t="s">
        <v>23</v>
      </c>
      <c r="F184" t="s">
        <v>33</v>
      </c>
      <c r="G184" t="s">
        <v>51</v>
      </c>
      <c r="H184" t="s">
        <v>66</v>
      </c>
      <c r="I184" t="s">
        <v>35</v>
      </c>
      <c r="J184" t="s">
        <v>48</v>
      </c>
      <c r="K184" t="s">
        <v>52</v>
      </c>
      <c r="L184" t="s">
        <v>101</v>
      </c>
      <c r="M184">
        <v>416</v>
      </c>
      <c r="N184">
        <v>3</v>
      </c>
      <c r="O184">
        <v>0</v>
      </c>
      <c r="P184">
        <v>4</v>
      </c>
      <c r="Q184" t="s">
        <v>31</v>
      </c>
      <c r="R184">
        <v>240</v>
      </c>
      <c r="S184">
        <v>48</v>
      </c>
      <c r="T184" t="s">
        <v>31</v>
      </c>
      <c r="U184" t="s">
        <v>63</v>
      </c>
      <c r="V184">
        <v>2026</v>
      </c>
      <c r="W184">
        <v>2</v>
      </c>
      <c r="X184" t="s">
        <v>1419</v>
      </c>
      <c r="Y184" s="6">
        <v>46054</v>
      </c>
      <c r="Z184" t="s">
        <v>1418</v>
      </c>
      <c r="AA184" t="s">
        <v>31</v>
      </c>
      <c r="AB184" t="s">
        <v>63</v>
      </c>
      <c r="AC184" t="s">
        <v>23</v>
      </c>
      <c r="AD184">
        <v>1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1</v>
      </c>
    </row>
    <row r="185" spans="1:36">
      <c r="A185" t="s">
        <v>281</v>
      </c>
      <c r="B185">
        <v>7.72</v>
      </c>
      <c r="C185" s="7">
        <v>46054.794444444444</v>
      </c>
      <c r="D185" s="7">
        <v>46055.115905509258</v>
      </c>
      <c r="E185" t="s">
        <v>23</v>
      </c>
      <c r="F185" t="s">
        <v>33</v>
      </c>
      <c r="G185" t="s">
        <v>51</v>
      </c>
      <c r="H185" t="s">
        <v>26</v>
      </c>
      <c r="I185" t="s">
        <v>35</v>
      </c>
      <c r="J185" t="s">
        <v>48</v>
      </c>
      <c r="K185" t="s">
        <v>29</v>
      </c>
      <c r="L185" t="s">
        <v>93</v>
      </c>
      <c r="M185">
        <v>158</v>
      </c>
      <c r="N185">
        <v>3</v>
      </c>
      <c r="O185">
        <v>1</v>
      </c>
      <c r="P185">
        <v>8</v>
      </c>
      <c r="Q185" t="s">
        <v>31</v>
      </c>
      <c r="R185">
        <v>240</v>
      </c>
      <c r="S185">
        <v>48</v>
      </c>
      <c r="T185" t="s">
        <v>63</v>
      </c>
      <c r="U185" t="s">
        <v>63</v>
      </c>
      <c r="V185">
        <v>2026</v>
      </c>
      <c r="W185">
        <v>2</v>
      </c>
      <c r="X185" t="s">
        <v>1419</v>
      </c>
      <c r="Y185" s="6">
        <v>46054</v>
      </c>
      <c r="Z185" t="s">
        <v>1418</v>
      </c>
      <c r="AA185" t="s">
        <v>63</v>
      </c>
      <c r="AB185" t="s">
        <v>63</v>
      </c>
      <c r="AC185" t="s">
        <v>23</v>
      </c>
      <c r="AD185">
        <v>1</v>
      </c>
      <c r="AE185">
        <v>0</v>
      </c>
      <c r="AF185">
        <v>1</v>
      </c>
      <c r="AG185">
        <v>1</v>
      </c>
      <c r="AH185">
        <v>0</v>
      </c>
      <c r="AI185">
        <v>1</v>
      </c>
      <c r="AJ185">
        <v>1</v>
      </c>
    </row>
    <row r="186" spans="1:36">
      <c r="A186" t="s">
        <v>283</v>
      </c>
      <c r="B186">
        <v>32.94</v>
      </c>
      <c r="C186" s="7">
        <v>46222.003472222219</v>
      </c>
      <c r="D186" s="7">
        <v>46223.375981076388</v>
      </c>
      <c r="E186" t="s">
        <v>23</v>
      </c>
      <c r="F186" t="s">
        <v>33</v>
      </c>
      <c r="G186" t="s">
        <v>41</v>
      </c>
      <c r="H186" t="s">
        <v>26</v>
      </c>
      <c r="I186" t="s">
        <v>42</v>
      </c>
      <c r="J186" t="s">
        <v>36</v>
      </c>
      <c r="K186" t="s">
        <v>37</v>
      </c>
      <c r="L186" t="s">
        <v>1401</v>
      </c>
      <c r="M186">
        <v>179</v>
      </c>
      <c r="N186">
        <v>3</v>
      </c>
      <c r="O186">
        <v>0</v>
      </c>
      <c r="P186">
        <v>3</v>
      </c>
      <c r="Q186" t="s">
        <v>31</v>
      </c>
      <c r="R186">
        <v>240</v>
      </c>
      <c r="S186">
        <v>48</v>
      </c>
      <c r="T186" t="s">
        <v>63</v>
      </c>
      <c r="U186" t="s">
        <v>63</v>
      </c>
      <c r="V186">
        <v>2026</v>
      </c>
      <c r="W186">
        <v>7</v>
      </c>
      <c r="X186" t="s">
        <v>1422</v>
      </c>
      <c r="Y186" s="6">
        <v>46204</v>
      </c>
      <c r="Z186" t="s">
        <v>1418</v>
      </c>
      <c r="AA186" t="s">
        <v>31</v>
      </c>
      <c r="AB186" t="s">
        <v>63</v>
      </c>
      <c r="AC186" t="s">
        <v>23</v>
      </c>
      <c r="AD186">
        <v>1</v>
      </c>
      <c r="AE186">
        <v>0</v>
      </c>
      <c r="AF186">
        <v>1</v>
      </c>
      <c r="AG186">
        <v>0</v>
      </c>
      <c r="AH186">
        <v>0</v>
      </c>
      <c r="AI186">
        <v>1</v>
      </c>
      <c r="AJ186">
        <v>1</v>
      </c>
    </row>
    <row r="187" spans="1:36">
      <c r="A187" t="s">
        <v>284</v>
      </c>
      <c r="B187">
        <v>14.37</v>
      </c>
      <c r="C187" s="7">
        <v>46127.933333333334</v>
      </c>
      <c r="D187" s="7">
        <v>46128.532019965278</v>
      </c>
      <c r="E187" t="s">
        <v>23</v>
      </c>
      <c r="F187" t="s">
        <v>50</v>
      </c>
      <c r="G187" t="s">
        <v>25</v>
      </c>
      <c r="H187" t="s">
        <v>34</v>
      </c>
      <c r="I187" t="s">
        <v>35</v>
      </c>
      <c r="J187" t="s">
        <v>43</v>
      </c>
      <c r="K187" t="s">
        <v>67</v>
      </c>
      <c r="L187" t="s">
        <v>93</v>
      </c>
      <c r="M187">
        <v>98</v>
      </c>
      <c r="N187">
        <v>4</v>
      </c>
      <c r="O187">
        <v>0</v>
      </c>
      <c r="P187">
        <v>3</v>
      </c>
      <c r="Q187" t="s">
        <v>31</v>
      </c>
      <c r="R187">
        <v>120</v>
      </c>
      <c r="S187">
        <v>24</v>
      </c>
      <c r="T187" t="s">
        <v>63</v>
      </c>
      <c r="U187" t="s">
        <v>63</v>
      </c>
      <c r="V187">
        <v>2026</v>
      </c>
      <c r="W187">
        <v>4</v>
      </c>
      <c r="X187" t="s">
        <v>1412</v>
      </c>
      <c r="Y187" s="6">
        <v>46113</v>
      </c>
      <c r="Z187" t="s">
        <v>1413</v>
      </c>
      <c r="AA187" t="s">
        <v>31</v>
      </c>
      <c r="AB187" t="s">
        <v>63</v>
      </c>
      <c r="AC187" t="s">
        <v>23</v>
      </c>
      <c r="AD187">
        <v>1</v>
      </c>
      <c r="AE187">
        <v>0</v>
      </c>
      <c r="AF187">
        <v>1</v>
      </c>
      <c r="AG187">
        <v>0</v>
      </c>
      <c r="AH187">
        <v>0</v>
      </c>
      <c r="AI187">
        <v>1</v>
      </c>
      <c r="AJ187">
        <v>1</v>
      </c>
    </row>
    <row r="188" spans="1:36">
      <c r="A188" t="s">
        <v>285</v>
      </c>
      <c r="B188">
        <v>10.17</v>
      </c>
      <c r="C188" s="7">
        <v>46208.079861111109</v>
      </c>
      <c r="D188" s="7">
        <v>46208.503448344905</v>
      </c>
      <c r="E188" t="s">
        <v>23</v>
      </c>
      <c r="F188" t="s">
        <v>1402</v>
      </c>
      <c r="G188" t="s">
        <v>25</v>
      </c>
      <c r="H188" t="s">
        <v>75</v>
      </c>
      <c r="I188" t="s">
        <v>35</v>
      </c>
      <c r="J188" t="s">
        <v>36</v>
      </c>
      <c r="K188" t="s">
        <v>52</v>
      </c>
      <c r="L188" t="s">
        <v>93</v>
      </c>
      <c r="M188">
        <v>114</v>
      </c>
      <c r="N188">
        <v>4</v>
      </c>
      <c r="O188">
        <v>0</v>
      </c>
      <c r="P188">
        <v>4</v>
      </c>
      <c r="Q188" t="s">
        <v>31</v>
      </c>
      <c r="V188">
        <v>2026</v>
      </c>
      <c r="W188">
        <v>7</v>
      </c>
      <c r="X188" t="s">
        <v>1422</v>
      </c>
      <c r="Y188" s="6">
        <v>46204</v>
      </c>
      <c r="Z188" t="s">
        <v>1413</v>
      </c>
      <c r="AA188" t="s">
        <v>31</v>
      </c>
      <c r="AB188" t="s">
        <v>63</v>
      </c>
      <c r="AC188" t="s">
        <v>23</v>
      </c>
      <c r="AD188">
        <v>1</v>
      </c>
      <c r="AE188">
        <v>0</v>
      </c>
      <c r="AF188">
        <v>1</v>
      </c>
      <c r="AG188">
        <v>0</v>
      </c>
      <c r="AH188">
        <v>0</v>
      </c>
    </row>
    <row r="189" spans="1:36">
      <c r="A189" t="s">
        <v>286</v>
      </c>
      <c r="B189">
        <v>45.22</v>
      </c>
      <c r="C189" s="7">
        <v>46238.647222222222</v>
      </c>
      <c r="D189" s="7">
        <v>46240.531285335652</v>
      </c>
      <c r="E189" t="s">
        <v>23</v>
      </c>
      <c r="F189" t="s">
        <v>50</v>
      </c>
      <c r="G189" t="s">
        <v>51</v>
      </c>
      <c r="H189" t="s">
        <v>34</v>
      </c>
      <c r="I189" t="s">
        <v>27</v>
      </c>
      <c r="J189" t="s">
        <v>36</v>
      </c>
      <c r="K189" t="s">
        <v>37</v>
      </c>
      <c r="L189" t="s">
        <v>30</v>
      </c>
      <c r="M189">
        <v>77</v>
      </c>
      <c r="N189">
        <v>4</v>
      </c>
      <c r="O189">
        <v>0</v>
      </c>
      <c r="P189">
        <v>7</v>
      </c>
      <c r="Q189" t="s">
        <v>31</v>
      </c>
      <c r="R189">
        <v>120</v>
      </c>
      <c r="S189">
        <v>24</v>
      </c>
      <c r="T189" t="s">
        <v>63</v>
      </c>
      <c r="U189" t="s">
        <v>31</v>
      </c>
      <c r="V189">
        <v>2026</v>
      </c>
      <c r="W189">
        <v>8</v>
      </c>
      <c r="X189" t="s">
        <v>1417</v>
      </c>
      <c r="Y189" s="6">
        <v>46235</v>
      </c>
      <c r="Z189" t="s">
        <v>1413</v>
      </c>
      <c r="AA189" t="s">
        <v>31</v>
      </c>
      <c r="AB189" t="s">
        <v>63</v>
      </c>
      <c r="AC189" t="s">
        <v>23</v>
      </c>
      <c r="AD189">
        <v>1</v>
      </c>
      <c r="AE189">
        <v>0</v>
      </c>
      <c r="AF189">
        <v>1</v>
      </c>
      <c r="AG189">
        <v>0</v>
      </c>
      <c r="AH189">
        <v>0</v>
      </c>
      <c r="AI189">
        <v>1</v>
      </c>
      <c r="AJ189">
        <v>0</v>
      </c>
    </row>
    <row r="190" spans="1:36">
      <c r="A190" t="s">
        <v>287</v>
      </c>
      <c r="B190">
        <v>33.15</v>
      </c>
      <c r="C190" s="7">
        <v>46254.948611111111</v>
      </c>
      <c r="D190" s="7">
        <v>46256.329670092593</v>
      </c>
      <c r="E190" t="s">
        <v>23</v>
      </c>
      <c r="F190" t="s">
        <v>50</v>
      </c>
      <c r="G190" t="s">
        <v>41</v>
      </c>
      <c r="H190" t="s">
        <v>26</v>
      </c>
      <c r="I190" t="s">
        <v>35</v>
      </c>
      <c r="J190" t="s">
        <v>36</v>
      </c>
      <c r="K190" t="s">
        <v>67</v>
      </c>
      <c r="L190" t="s">
        <v>68</v>
      </c>
      <c r="M190">
        <v>64</v>
      </c>
      <c r="N190">
        <v>4</v>
      </c>
      <c r="O190">
        <v>0</v>
      </c>
      <c r="P190">
        <v>6</v>
      </c>
      <c r="Q190" t="s">
        <v>31</v>
      </c>
      <c r="R190">
        <v>120</v>
      </c>
      <c r="S190">
        <v>24</v>
      </c>
      <c r="T190" t="s">
        <v>63</v>
      </c>
      <c r="U190" t="s">
        <v>31</v>
      </c>
      <c r="V190">
        <v>2026</v>
      </c>
      <c r="W190">
        <v>8</v>
      </c>
      <c r="X190" t="s">
        <v>1417</v>
      </c>
      <c r="Y190" s="6">
        <v>46235</v>
      </c>
      <c r="Z190" t="s">
        <v>1413</v>
      </c>
      <c r="AA190" t="s">
        <v>31</v>
      </c>
      <c r="AB190" t="s">
        <v>63</v>
      </c>
      <c r="AC190" t="s">
        <v>23</v>
      </c>
      <c r="AD190">
        <v>1</v>
      </c>
      <c r="AE190">
        <v>0</v>
      </c>
      <c r="AF190">
        <v>1</v>
      </c>
      <c r="AG190">
        <v>0</v>
      </c>
      <c r="AH190">
        <v>0</v>
      </c>
      <c r="AI190">
        <v>1</v>
      </c>
      <c r="AJ190">
        <v>0</v>
      </c>
    </row>
    <row r="191" spans="1:36">
      <c r="A191" t="s">
        <v>289</v>
      </c>
      <c r="B191">
        <v>12.68</v>
      </c>
      <c r="C191" s="7">
        <v>46139.925000000003</v>
      </c>
      <c r="D191" s="7">
        <v>46140.45341829861</v>
      </c>
      <c r="E191" t="s">
        <v>23</v>
      </c>
      <c r="F191" t="s">
        <v>40</v>
      </c>
      <c r="G191" t="s">
        <v>25</v>
      </c>
      <c r="H191" t="s">
        <v>26</v>
      </c>
      <c r="I191" t="s">
        <v>42</v>
      </c>
      <c r="J191" t="s">
        <v>28</v>
      </c>
      <c r="K191" t="s">
        <v>67</v>
      </c>
      <c r="L191" t="s">
        <v>101</v>
      </c>
      <c r="M191">
        <v>79</v>
      </c>
      <c r="N191">
        <v>4</v>
      </c>
      <c r="O191">
        <v>0</v>
      </c>
      <c r="P191">
        <v>4</v>
      </c>
      <c r="Q191" t="s">
        <v>63</v>
      </c>
      <c r="R191">
        <v>30</v>
      </c>
      <c r="S191">
        <v>8</v>
      </c>
      <c r="T191" t="s">
        <v>31</v>
      </c>
      <c r="U191" t="s">
        <v>31</v>
      </c>
      <c r="V191">
        <v>2026</v>
      </c>
      <c r="W191">
        <v>4</v>
      </c>
      <c r="X191" t="s">
        <v>1412</v>
      </c>
      <c r="Y191" s="6">
        <v>46113</v>
      </c>
      <c r="Z191" t="s">
        <v>1413</v>
      </c>
      <c r="AA191" t="s">
        <v>31</v>
      </c>
      <c r="AB191" t="s">
        <v>63</v>
      </c>
      <c r="AC191" t="s">
        <v>23</v>
      </c>
      <c r="AD191">
        <v>1</v>
      </c>
      <c r="AE191">
        <v>0</v>
      </c>
      <c r="AF191">
        <v>1</v>
      </c>
      <c r="AG191">
        <v>0</v>
      </c>
      <c r="AH191">
        <v>1</v>
      </c>
      <c r="AI191">
        <v>0</v>
      </c>
      <c r="AJ191">
        <v>0</v>
      </c>
    </row>
    <row r="192" spans="1:36">
      <c r="A192" t="s">
        <v>291</v>
      </c>
      <c r="B192">
        <v>56.26</v>
      </c>
      <c r="C192" s="7">
        <v>46111.370833333334</v>
      </c>
      <c r="D192" s="7">
        <v>46113.715130671299</v>
      </c>
      <c r="E192" t="s">
        <v>23</v>
      </c>
      <c r="F192" t="s">
        <v>33</v>
      </c>
      <c r="G192" t="s">
        <v>51</v>
      </c>
      <c r="H192" t="s">
        <v>26</v>
      </c>
      <c r="I192" t="s">
        <v>35</v>
      </c>
      <c r="J192" t="s">
        <v>28</v>
      </c>
      <c r="K192" t="s">
        <v>58</v>
      </c>
      <c r="L192" t="s">
        <v>38</v>
      </c>
      <c r="M192">
        <v>171</v>
      </c>
      <c r="N192">
        <v>3</v>
      </c>
      <c r="O192">
        <v>0</v>
      </c>
      <c r="P192">
        <v>7</v>
      </c>
      <c r="Q192" t="s">
        <v>31</v>
      </c>
      <c r="R192">
        <v>240</v>
      </c>
      <c r="S192">
        <v>48</v>
      </c>
      <c r="T192" t="s">
        <v>63</v>
      </c>
      <c r="U192" t="s">
        <v>31</v>
      </c>
      <c r="V192">
        <v>2026</v>
      </c>
      <c r="W192">
        <v>3</v>
      </c>
      <c r="X192" t="s">
        <v>1423</v>
      </c>
      <c r="Y192" s="6">
        <v>46082</v>
      </c>
      <c r="Z192" t="s">
        <v>1418</v>
      </c>
      <c r="AA192" t="s">
        <v>31</v>
      </c>
      <c r="AB192" t="s">
        <v>63</v>
      </c>
      <c r="AC192" t="s">
        <v>23</v>
      </c>
      <c r="AD192">
        <v>1</v>
      </c>
      <c r="AE192">
        <v>0</v>
      </c>
      <c r="AF192">
        <v>1</v>
      </c>
      <c r="AG192">
        <v>0</v>
      </c>
      <c r="AH192">
        <v>0</v>
      </c>
      <c r="AI192">
        <v>1</v>
      </c>
      <c r="AJ192">
        <v>0</v>
      </c>
    </row>
    <row r="193" spans="1:36">
      <c r="A193" t="s">
        <v>292</v>
      </c>
      <c r="B193">
        <v>30.69</v>
      </c>
      <c r="C193" s="7">
        <v>46088.632638888892</v>
      </c>
      <c r="D193" s="7">
        <v>46089.911296076389</v>
      </c>
      <c r="E193" t="s">
        <v>23</v>
      </c>
      <c r="F193" t="s">
        <v>50</v>
      </c>
      <c r="G193" t="s">
        <v>51</v>
      </c>
      <c r="H193" t="s">
        <v>34</v>
      </c>
      <c r="I193" t="s">
        <v>27</v>
      </c>
      <c r="J193" t="s">
        <v>48</v>
      </c>
      <c r="K193" t="s">
        <v>76</v>
      </c>
      <c r="L193" t="s">
        <v>1401</v>
      </c>
      <c r="M193">
        <v>103</v>
      </c>
      <c r="N193">
        <v>4</v>
      </c>
      <c r="O193">
        <v>0</v>
      </c>
      <c r="P193">
        <v>7</v>
      </c>
      <c r="Q193" t="s">
        <v>31</v>
      </c>
      <c r="R193">
        <v>120</v>
      </c>
      <c r="S193">
        <v>24</v>
      </c>
      <c r="T193" t="s">
        <v>63</v>
      </c>
      <c r="U193" t="s">
        <v>31</v>
      </c>
      <c r="V193">
        <v>2026</v>
      </c>
      <c r="W193">
        <v>3</v>
      </c>
      <c r="X193" t="s">
        <v>1423</v>
      </c>
      <c r="Y193" s="6">
        <v>46082</v>
      </c>
      <c r="Z193" t="s">
        <v>1413</v>
      </c>
      <c r="AA193" t="s">
        <v>31</v>
      </c>
      <c r="AB193" t="s">
        <v>63</v>
      </c>
      <c r="AC193" t="s">
        <v>23</v>
      </c>
      <c r="AD193">
        <v>1</v>
      </c>
      <c r="AE193">
        <v>0</v>
      </c>
      <c r="AF193">
        <v>1</v>
      </c>
      <c r="AG193">
        <v>0</v>
      </c>
      <c r="AH193">
        <v>0</v>
      </c>
      <c r="AI193">
        <v>1</v>
      </c>
      <c r="AJ193">
        <v>0</v>
      </c>
    </row>
    <row r="194" spans="1:36">
      <c r="A194" t="s">
        <v>293</v>
      </c>
      <c r="B194">
        <v>100.76</v>
      </c>
      <c r="C194" s="7">
        <v>46259.397916666669</v>
      </c>
      <c r="D194" s="7">
        <v>46263.596077939816</v>
      </c>
      <c r="E194" t="s">
        <v>23</v>
      </c>
      <c r="F194" t="s">
        <v>33</v>
      </c>
      <c r="G194" t="s">
        <v>25</v>
      </c>
      <c r="H194" t="s">
        <v>26</v>
      </c>
      <c r="I194" t="s">
        <v>35</v>
      </c>
      <c r="J194" t="s">
        <v>48</v>
      </c>
      <c r="K194" t="s">
        <v>76</v>
      </c>
      <c r="L194" t="s">
        <v>62</v>
      </c>
      <c r="M194">
        <v>428</v>
      </c>
      <c r="N194">
        <v>3</v>
      </c>
      <c r="O194">
        <v>0</v>
      </c>
      <c r="P194">
        <v>5</v>
      </c>
      <c r="Q194" t="s">
        <v>31</v>
      </c>
      <c r="R194">
        <v>240</v>
      </c>
      <c r="S194">
        <v>48</v>
      </c>
      <c r="T194" t="s">
        <v>31</v>
      </c>
      <c r="U194" t="s">
        <v>31</v>
      </c>
      <c r="V194">
        <v>2026</v>
      </c>
      <c r="W194">
        <v>8</v>
      </c>
      <c r="X194" t="s">
        <v>1417</v>
      </c>
      <c r="Y194" s="6">
        <v>46235</v>
      </c>
      <c r="Z194" t="s">
        <v>1418</v>
      </c>
      <c r="AA194" t="s">
        <v>31</v>
      </c>
      <c r="AB194" t="s">
        <v>63</v>
      </c>
      <c r="AC194" t="s">
        <v>23</v>
      </c>
      <c r="AD194">
        <v>1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</row>
    <row r="195" spans="1:36">
      <c r="A195" t="s">
        <v>294</v>
      </c>
      <c r="B195">
        <v>45.27</v>
      </c>
      <c r="C195" s="7">
        <v>46047.118750000001</v>
      </c>
      <c r="D195" s="7">
        <v>46049.00512854167</v>
      </c>
      <c r="E195" t="s">
        <v>23</v>
      </c>
      <c r="F195" t="s">
        <v>33</v>
      </c>
      <c r="G195" t="s">
        <v>51</v>
      </c>
      <c r="H195" t="s">
        <v>54</v>
      </c>
      <c r="I195" t="s">
        <v>35</v>
      </c>
      <c r="J195" t="s">
        <v>36</v>
      </c>
      <c r="K195" t="s">
        <v>37</v>
      </c>
      <c r="L195" t="s">
        <v>85</v>
      </c>
      <c r="M195">
        <v>417</v>
      </c>
      <c r="N195">
        <v>2</v>
      </c>
      <c r="O195">
        <v>1</v>
      </c>
      <c r="P195">
        <v>6</v>
      </c>
      <c r="Q195" t="s">
        <v>31</v>
      </c>
      <c r="R195">
        <v>240</v>
      </c>
      <c r="S195">
        <v>48</v>
      </c>
      <c r="T195" t="s">
        <v>31</v>
      </c>
      <c r="U195" t="s">
        <v>63</v>
      </c>
      <c r="V195">
        <v>2026</v>
      </c>
      <c r="W195">
        <v>1</v>
      </c>
      <c r="X195" t="s">
        <v>1414</v>
      </c>
      <c r="Y195" s="6">
        <v>46023</v>
      </c>
      <c r="Z195" t="s">
        <v>1415</v>
      </c>
      <c r="AA195" t="s">
        <v>63</v>
      </c>
      <c r="AB195" t="s">
        <v>63</v>
      </c>
      <c r="AC195" t="s">
        <v>23</v>
      </c>
      <c r="AD195">
        <v>1</v>
      </c>
      <c r="AE195">
        <v>0</v>
      </c>
      <c r="AF195">
        <v>1</v>
      </c>
      <c r="AG195">
        <v>1</v>
      </c>
      <c r="AH195">
        <v>0</v>
      </c>
      <c r="AI195">
        <v>0</v>
      </c>
      <c r="AJ195">
        <v>1</v>
      </c>
    </row>
    <row r="196" spans="1:36">
      <c r="A196" t="s">
        <v>295</v>
      </c>
      <c r="B196">
        <v>25</v>
      </c>
      <c r="C196" s="7">
        <v>46217.201388888891</v>
      </c>
      <c r="D196" s="7">
        <v>46218.242879988429</v>
      </c>
      <c r="E196" t="s">
        <v>23</v>
      </c>
      <c r="F196" t="s">
        <v>50</v>
      </c>
      <c r="G196" t="s">
        <v>25</v>
      </c>
      <c r="H196" t="s">
        <v>34</v>
      </c>
      <c r="I196" t="s">
        <v>42</v>
      </c>
      <c r="J196" t="s">
        <v>36</v>
      </c>
      <c r="K196" t="s">
        <v>37</v>
      </c>
      <c r="L196" t="s">
        <v>38</v>
      </c>
      <c r="M196">
        <v>143</v>
      </c>
      <c r="N196">
        <v>4</v>
      </c>
      <c r="O196">
        <v>0</v>
      </c>
      <c r="P196">
        <v>7</v>
      </c>
      <c r="Q196" t="s">
        <v>31</v>
      </c>
      <c r="R196">
        <v>120</v>
      </c>
      <c r="S196">
        <v>24</v>
      </c>
      <c r="T196" t="s">
        <v>31</v>
      </c>
      <c r="U196" t="s">
        <v>31</v>
      </c>
      <c r="V196">
        <v>2026</v>
      </c>
      <c r="W196">
        <v>7</v>
      </c>
      <c r="X196" t="s">
        <v>1422</v>
      </c>
      <c r="Y196" s="6">
        <v>46204</v>
      </c>
      <c r="Z196" t="s">
        <v>1413</v>
      </c>
      <c r="AA196" t="s">
        <v>31</v>
      </c>
      <c r="AB196" t="s">
        <v>63</v>
      </c>
      <c r="AC196" t="s">
        <v>23</v>
      </c>
      <c r="AD196">
        <v>1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</row>
    <row r="197" spans="1:36">
      <c r="A197" t="s">
        <v>296</v>
      </c>
      <c r="B197">
        <v>17.46</v>
      </c>
      <c r="C197" s="7">
        <v>46076.992361111108</v>
      </c>
      <c r="D197" s="7">
        <v>46077.719838622688</v>
      </c>
      <c r="E197" t="s">
        <v>23</v>
      </c>
      <c r="F197" t="s">
        <v>50</v>
      </c>
      <c r="G197" t="s">
        <v>25</v>
      </c>
      <c r="H197" t="s">
        <v>66</v>
      </c>
      <c r="I197" t="s">
        <v>27</v>
      </c>
      <c r="J197" t="s">
        <v>28</v>
      </c>
      <c r="K197" t="s">
        <v>37</v>
      </c>
      <c r="L197" t="s">
        <v>62</v>
      </c>
      <c r="M197">
        <v>130</v>
      </c>
      <c r="N197">
        <v>4</v>
      </c>
      <c r="O197">
        <v>0</v>
      </c>
      <c r="P197">
        <v>4</v>
      </c>
      <c r="Q197" t="s">
        <v>31</v>
      </c>
      <c r="R197">
        <v>120</v>
      </c>
      <c r="S197">
        <v>24</v>
      </c>
      <c r="T197" t="s">
        <v>31</v>
      </c>
      <c r="U197" t="s">
        <v>63</v>
      </c>
      <c r="V197">
        <v>2026</v>
      </c>
      <c r="W197">
        <v>2</v>
      </c>
      <c r="X197" t="s">
        <v>1419</v>
      </c>
      <c r="Y197" s="6">
        <v>46054</v>
      </c>
      <c r="Z197" t="s">
        <v>1413</v>
      </c>
      <c r="AA197" t="s">
        <v>31</v>
      </c>
      <c r="AB197" t="s">
        <v>63</v>
      </c>
      <c r="AC197" t="s">
        <v>23</v>
      </c>
      <c r="AD197">
        <v>1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1</v>
      </c>
    </row>
    <row r="198" spans="1:36">
      <c r="A198" t="s">
        <v>297</v>
      </c>
      <c r="B198">
        <v>32.53</v>
      </c>
      <c r="C198" s="7">
        <v>46056.931250000001</v>
      </c>
      <c r="D198" s="7">
        <v>46058.286868645831</v>
      </c>
      <c r="E198" t="s">
        <v>23</v>
      </c>
      <c r="F198" t="s">
        <v>50</v>
      </c>
      <c r="G198" t="s">
        <v>41</v>
      </c>
      <c r="H198" t="s">
        <v>66</v>
      </c>
      <c r="I198" t="s">
        <v>35</v>
      </c>
      <c r="J198" t="s">
        <v>43</v>
      </c>
      <c r="K198" t="s">
        <v>58</v>
      </c>
      <c r="L198" t="s">
        <v>71</v>
      </c>
      <c r="M198">
        <v>228</v>
      </c>
      <c r="O198">
        <v>0</v>
      </c>
      <c r="P198">
        <v>5</v>
      </c>
      <c r="Q198" t="s">
        <v>31</v>
      </c>
      <c r="R198">
        <v>120</v>
      </c>
      <c r="S198">
        <v>24</v>
      </c>
      <c r="T198" t="s">
        <v>31</v>
      </c>
      <c r="U198" t="s">
        <v>31</v>
      </c>
      <c r="V198">
        <v>2026</v>
      </c>
      <c r="W198">
        <v>2</v>
      </c>
      <c r="X198" t="s">
        <v>1419</v>
      </c>
      <c r="Y198" s="6">
        <v>46054</v>
      </c>
      <c r="Z198" t="s">
        <v>1420</v>
      </c>
      <c r="AA198" t="s">
        <v>31</v>
      </c>
      <c r="AB198" t="s">
        <v>31</v>
      </c>
      <c r="AC198" t="s">
        <v>23</v>
      </c>
      <c r="AD198">
        <v>1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</row>
    <row r="199" spans="1:36">
      <c r="A199" t="s">
        <v>298</v>
      </c>
      <c r="B199">
        <v>18.98</v>
      </c>
      <c r="C199" s="7">
        <v>46067.679166666669</v>
      </c>
      <c r="D199" s="7">
        <v>46068.46984322917</v>
      </c>
      <c r="E199" t="s">
        <v>23</v>
      </c>
      <c r="F199" t="s">
        <v>40</v>
      </c>
      <c r="G199" t="s">
        <v>25</v>
      </c>
      <c r="H199" t="s">
        <v>34</v>
      </c>
      <c r="I199" t="s">
        <v>42</v>
      </c>
      <c r="J199" t="s">
        <v>36</v>
      </c>
      <c r="K199" t="s">
        <v>37</v>
      </c>
      <c r="L199" t="s">
        <v>38</v>
      </c>
      <c r="M199">
        <v>74</v>
      </c>
      <c r="N199">
        <v>4</v>
      </c>
      <c r="O199">
        <v>0</v>
      </c>
      <c r="P199">
        <v>2</v>
      </c>
      <c r="Q199" t="s">
        <v>31</v>
      </c>
      <c r="R199">
        <v>30</v>
      </c>
      <c r="S199">
        <v>8</v>
      </c>
      <c r="T199" t="s">
        <v>31</v>
      </c>
      <c r="U199" t="s">
        <v>31</v>
      </c>
      <c r="V199">
        <v>2026</v>
      </c>
      <c r="W199">
        <v>2</v>
      </c>
      <c r="X199" t="s">
        <v>1419</v>
      </c>
      <c r="Y199" s="6">
        <v>46054</v>
      </c>
      <c r="Z199" t="s">
        <v>1413</v>
      </c>
      <c r="AA199" t="s">
        <v>31</v>
      </c>
      <c r="AB199" t="s">
        <v>63</v>
      </c>
      <c r="AC199" t="s">
        <v>23</v>
      </c>
      <c r="AD199">
        <v>1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</row>
    <row r="200" spans="1:36">
      <c r="A200" t="s">
        <v>299</v>
      </c>
      <c r="B200">
        <v>3.45</v>
      </c>
      <c r="C200" s="7">
        <v>46050.602083333331</v>
      </c>
      <c r="D200" s="7">
        <v>46050.74591784722</v>
      </c>
      <c r="E200" t="s">
        <v>23</v>
      </c>
      <c r="F200" t="s">
        <v>40</v>
      </c>
      <c r="G200" t="s">
        <v>25</v>
      </c>
      <c r="H200" t="s">
        <v>66</v>
      </c>
      <c r="I200" t="s">
        <v>35</v>
      </c>
      <c r="J200" t="s">
        <v>43</v>
      </c>
      <c r="K200" t="s">
        <v>52</v>
      </c>
      <c r="L200" t="s">
        <v>68</v>
      </c>
      <c r="M200">
        <v>8</v>
      </c>
      <c r="N200">
        <v>5</v>
      </c>
      <c r="O200">
        <v>0</v>
      </c>
      <c r="P200">
        <v>5</v>
      </c>
      <c r="Q200" t="s">
        <v>31</v>
      </c>
      <c r="R200">
        <v>30</v>
      </c>
      <c r="S200">
        <v>8</v>
      </c>
      <c r="T200" t="s">
        <v>63</v>
      </c>
      <c r="U200" t="s">
        <v>63</v>
      </c>
      <c r="V200">
        <v>2026</v>
      </c>
      <c r="W200">
        <v>1</v>
      </c>
      <c r="X200" t="s">
        <v>1414</v>
      </c>
      <c r="Y200" s="6">
        <v>46023</v>
      </c>
      <c r="Z200" t="s">
        <v>1413</v>
      </c>
      <c r="AA200" t="s">
        <v>31</v>
      </c>
      <c r="AB200" t="s">
        <v>63</v>
      </c>
      <c r="AC200" t="s">
        <v>23</v>
      </c>
      <c r="AD200">
        <v>1</v>
      </c>
      <c r="AE200">
        <v>0</v>
      </c>
      <c r="AF200">
        <v>1</v>
      </c>
      <c r="AG200">
        <v>0</v>
      </c>
      <c r="AH200">
        <v>0</v>
      </c>
      <c r="AI200">
        <v>1</v>
      </c>
      <c r="AJ200">
        <v>1</v>
      </c>
    </row>
    <row r="201" spans="1:36">
      <c r="A201" t="s">
        <v>300</v>
      </c>
      <c r="B201">
        <v>39.69</v>
      </c>
      <c r="C201" s="7">
        <v>46162.068749999999</v>
      </c>
      <c r="D201" s="7">
        <v>46163.722617881947</v>
      </c>
      <c r="E201" t="s">
        <v>23</v>
      </c>
      <c r="F201" t="s">
        <v>50</v>
      </c>
      <c r="G201" t="s">
        <v>41</v>
      </c>
      <c r="H201" t="s">
        <v>26</v>
      </c>
      <c r="I201" t="s">
        <v>35</v>
      </c>
      <c r="J201" t="s">
        <v>28</v>
      </c>
      <c r="K201" t="s">
        <v>67</v>
      </c>
      <c r="L201" t="s">
        <v>38</v>
      </c>
      <c r="M201">
        <v>224</v>
      </c>
      <c r="N201">
        <v>4</v>
      </c>
      <c r="O201">
        <v>0</v>
      </c>
      <c r="P201">
        <v>4</v>
      </c>
      <c r="Q201" t="s">
        <v>31</v>
      </c>
      <c r="R201">
        <v>120</v>
      </c>
      <c r="S201">
        <v>24</v>
      </c>
      <c r="T201" t="s">
        <v>31</v>
      </c>
      <c r="U201" t="s">
        <v>31</v>
      </c>
      <c r="V201">
        <v>2026</v>
      </c>
      <c r="W201">
        <v>5</v>
      </c>
      <c r="X201" t="s">
        <v>1416</v>
      </c>
      <c r="Y201" s="6">
        <v>46143</v>
      </c>
      <c r="Z201" t="s">
        <v>1413</v>
      </c>
      <c r="AA201" t="s">
        <v>31</v>
      </c>
      <c r="AB201" t="s">
        <v>63</v>
      </c>
      <c r="AC201" t="s">
        <v>23</v>
      </c>
      <c r="AD201">
        <v>1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</row>
    <row r="202" spans="1:36">
      <c r="A202" t="s">
        <v>302</v>
      </c>
      <c r="B202">
        <v>11.32</v>
      </c>
      <c r="C202" s="7">
        <v>46039.677083333336</v>
      </c>
      <c r="D202" s="7">
        <v>46040.148700115744</v>
      </c>
      <c r="E202" t="s">
        <v>23</v>
      </c>
      <c r="F202" t="s">
        <v>50</v>
      </c>
      <c r="G202" t="s">
        <v>65</v>
      </c>
      <c r="H202" t="s">
        <v>66</v>
      </c>
      <c r="I202" t="s">
        <v>35</v>
      </c>
      <c r="J202" t="s">
        <v>43</v>
      </c>
      <c r="K202" t="s">
        <v>52</v>
      </c>
      <c r="L202" t="s">
        <v>38</v>
      </c>
      <c r="M202">
        <v>106</v>
      </c>
      <c r="N202">
        <v>4</v>
      </c>
      <c r="O202">
        <v>0</v>
      </c>
      <c r="P202">
        <v>5</v>
      </c>
      <c r="Q202" t="s">
        <v>31</v>
      </c>
      <c r="R202">
        <v>120</v>
      </c>
      <c r="S202">
        <v>24</v>
      </c>
      <c r="T202" t="s">
        <v>63</v>
      </c>
      <c r="U202" t="s">
        <v>63</v>
      </c>
      <c r="V202">
        <v>2026</v>
      </c>
      <c r="W202">
        <v>1</v>
      </c>
      <c r="X202" t="s">
        <v>1414</v>
      </c>
      <c r="Y202" s="6">
        <v>46023</v>
      </c>
      <c r="Z202" t="s">
        <v>1413</v>
      </c>
      <c r="AA202" t="s">
        <v>31</v>
      </c>
      <c r="AB202" t="s">
        <v>63</v>
      </c>
      <c r="AC202" t="s">
        <v>23</v>
      </c>
      <c r="AD202">
        <v>1</v>
      </c>
      <c r="AE202">
        <v>0</v>
      </c>
      <c r="AF202">
        <v>1</v>
      </c>
      <c r="AG202">
        <v>0</v>
      </c>
      <c r="AH202">
        <v>0</v>
      </c>
      <c r="AI202">
        <v>1</v>
      </c>
      <c r="AJ202">
        <v>1</v>
      </c>
    </row>
    <row r="203" spans="1:36">
      <c r="A203" t="s">
        <v>303</v>
      </c>
      <c r="B203">
        <v>12.27</v>
      </c>
      <c r="C203" s="7">
        <v>46038.218055555553</v>
      </c>
      <c r="D203" s="7">
        <v>46038.729166666664</v>
      </c>
      <c r="E203" t="s">
        <v>23</v>
      </c>
      <c r="F203" t="s">
        <v>50</v>
      </c>
      <c r="G203" t="s">
        <v>25</v>
      </c>
      <c r="H203" t="s">
        <v>66</v>
      </c>
      <c r="I203" t="s">
        <v>42</v>
      </c>
      <c r="J203" t="s">
        <v>36</v>
      </c>
      <c r="K203" t="s">
        <v>29</v>
      </c>
      <c r="L203" t="s">
        <v>101</v>
      </c>
      <c r="M203">
        <v>166</v>
      </c>
      <c r="N203">
        <v>4</v>
      </c>
      <c r="O203">
        <v>0</v>
      </c>
      <c r="P203">
        <v>6</v>
      </c>
      <c r="Q203" t="s">
        <v>31</v>
      </c>
      <c r="R203">
        <v>120</v>
      </c>
      <c r="S203">
        <v>24</v>
      </c>
      <c r="T203" t="s">
        <v>31</v>
      </c>
      <c r="U203" t="s">
        <v>63</v>
      </c>
      <c r="V203">
        <v>2026</v>
      </c>
      <c r="W203">
        <v>1</v>
      </c>
      <c r="X203" t="s">
        <v>1414</v>
      </c>
      <c r="Y203" s="6">
        <v>46023</v>
      </c>
      <c r="Z203" t="s">
        <v>1413</v>
      </c>
      <c r="AA203" t="s">
        <v>31</v>
      </c>
      <c r="AB203" t="s">
        <v>63</v>
      </c>
      <c r="AC203" t="s">
        <v>23</v>
      </c>
      <c r="AD203">
        <v>1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1</v>
      </c>
    </row>
    <row r="204" spans="1:36">
      <c r="A204" t="s">
        <v>305</v>
      </c>
      <c r="B204">
        <v>15.57</v>
      </c>
      <c r="C204" s="7">
        <v>46260.661111111112</v>
      </c>
      <c r="D204" s="7">
        <v>46261.309755289352</v>
      </c>
      <c r="E204" t="s">
        <v>23</v>
      </c>
      <c r="F204" t="s">
        <v>50</v>
      </c>
      <c r="G204" t="s">
        <v>25</v>
      </c>
      <c r="H204" t="s">
        <v>34</v>
      </c>
      <c r="I204" t="s">
        <v>35</v>
      </c>
      <c r="J204" t="s">
        <v>28</v>
      </c>
      <c r="K204" t="s">
        <v>52</v>
      </c>
      <c r="L204" t="s">
        <v>93</v>
      </c>
      <c r="M204">
        <v>114</v>
      </c>
      <c r="N204">
        <v>4</v>
      </c>
      <c r="O204">
        <v>0</v>
      </c>
      <c r="P204">
        <v>2</v>
      </c>
      <c r="Q204" t="s">
        <v>31</v>
      </c>
      <c r="R204">
        <v>120</v>
      </c>
      <c r="S204">
        <v>24</v>
      </c>
      <c r="T204" t="s">
        <v>63</v>
      </c>
      <c r="U204" t="s">
        <v>63</v>
      </c>
      <c r="V204">
        <v>2026</v>
      </c>
      <c r="W204">
        <v>8</v>
      </c>
      <c r="X204" t="s">
        <v>1417</v>
      </c>
      <c r="Y204" s="6">
        <v>46235</v>
      </c>
      <c r="Z204" t="s">
        <v>1413</v>
      </c>
      <c r="AA204" t="s">
        <v>31</v>
      </c>
      <c r="AB204" t="s">
        <v>63</v>
      </c>
      <c r="AC204" t="s">
        <v>23</v>
      </c>
      <c r="AD204">
        <v>1</v>
      </c>
      <c r="AE204">
        <v>0</v>
      </c>
      <c r="AF204">
        <v>1</v>
      </c>
      <c r="AG204">
        <v>0</v>
      </c>
      <c r="AH204">
        <v>0</v>
      </c>
      <c r="AI204">
        <v>1</v>
      </c>
      <c r="AJ204">
        <v>1</v>
      </c>
    </row>
    <row r="205" spans="1:36">
      <c r="A205" t="s">
        <v>307</v>
      </c>
      <c r="B205">
        <v>57.72</v>
      </c>
      <c r="C205" s="7">
        <v>46238.245833333334</v>
      </c>
      <c r="D205" s="7">
        <v>46240.650902175927</v>
      </c>
      <c r="E205" t="s">
        <v>23</v>
      </c>
      <c r="F205" t="s">
        <v>50</v>
      </c>
      <c r="G205" t="s">
        <v>41</v>
      </c>
      <c r="H205" t="s">
        <v>26</v>
      </c>
      <c r="I205" t="s">
        <v>42</v>
      </c>
      <c r="J205" t="s">
        <v>36</v>
      </c>
      <c r="K205" t="s">
        <v>37</v>
      </c>
      <c r="L205" t="s">
        <v>38</v>
      </c>
      <c r="M205">
        <v>315</v>
      </c>
      <c r="N205">
        <v>3</v>
      </c>
      <c r="O205">
        <v>0</v>
      </c>
      <c r="P205">
        <v>7</v>
      </c>
      <c r="Q205" t="s">
        <v>31</v>
      </c>
      <c r="R205">
        <v>120</v>
      </c>
      <c r="S205">
        <v>24</v>
      </c>
      <c r="T205" t="s">
        <v>31</v>
      </c>
      <c r="U205" t="s">
        <v>31</v>
      </c>
      <c r="V205">
        <v>2026</v>
      </c>
      <c r="W205">
        <v>8</v>
      </c>
      <c r="X205" t="s">
        <v>1417</v>
      </c>
      <c r="Y205" s="6">
        <v>46235</v>
      </c>
      <c r="Z205" t="s">
        <v>1418</v>
      </c>
      <c r="AA205" t="s">
        <v>31</v>
      </c>
      <c r="AB205" t="s">
        <v>63</v>
      </c>
      <c r="AC205" t="s">
        <v>23</v>
      </c>
      <c r="AD205">
        <v>1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</row>
    <row r="206" spans="1:36">
      <c r="A206" t="s">
        <v>308</v>
      </c>
      <c r="B206">
        <v>42.61</v>
      </c>
      <c r="C206" s="7">
        <v>46229.219444444447</v>
      </c>
      <c r="D206" s="7">
        <v>46230.994884097221</v>
      </c>
      <c r="E206" t="s">
        <v>23</v>
      </c>
      <c r="F206" t="s">
        <v>50</v>
      </c>
      <c r="G206" t="s">
        <v>51</v>
      </c>
      <c r="H206" t="s">
        <v>66</v>
      </c>
      <c r="I206" t="s">
        <v>35</v>
      </c>
      <c r="J206" t="s">
        <v>43</v>
      </c>
      <c r="K206" t="s">
        <v>37</v>
      </c>
      <c r="L206" t="s">
        <v>93</v>
      </c>
      <c r="M206">
        <v>73</v>
      </c>
      <c r="N206">
        <v>3</v>
      </c>
      <c r="O206">
        <v>0</v>
      </c>
      <c r="P206">
        <v>11</v>
      </c>
      <c r="Q206" t="s">
        <v>63</v>
      </c>
      <c r="R206">
        <v>120</v>
      </c>
      <c r="S206">
        <v>24</v>
      </c>
      <c r="T206" t="s">
        <v>63</v>
      </c>
      <c r="U206" t="s">
        <v>31</v>
      </c>
      <c r="V206">
        <v>2026</v>
      </c>
      <c r="W206">
        <v>7</v>
      </c>
      <c r="X206" t="s">
        <v>1422</v>
      </c>
      <c r="Y206" s="6">
        <v>46204</v>
      </c>
      <c r="Z206" t="s">
        <v>1418</v>
      </c>
      <c r="AA206" t="s">
        <v>31</v>
      </c>
      <c r="AB206" t="s">
        <v>63</v>
      </c>
      <c r="AC206" t="s">
        <v>23</v>
      </c>
      <c r="AD206">
        <v>1</v>
      </c>
      <c r="AE206">
        <v>0</v>
      </c>
      <c r="AF206">
        <v>1</v>
      </c>
      <c r="AG206">
        <v>0</v>
      </c>
      <c r="AH206">
        <v>1</v>
      </c>
      <c r="AI206">
        <v>1</v>
      </c>
      <c r="AJ206">
        <v>0</v>
      </c>
    </row>
    <row r="207" spans="1:36">
      <c r="A207" t="s">
        <v>309</v>
      </c>
      <c r="B207">
        <v>4.58</v>
      </c>
      <c r="C207" s="7">
        <v>46184.53402777778</v>
      </c>
      <c r="D207" s="7">
        <v>46184.724758136574</v>
      </c>
      <c r="E207" t="s">
        <v>23</v>
      </c>
      <c r="F207" t="s">
        <v>24</v>
      </c>
      <c r="G207" t="s">
        <v>51</v>
      </c>
      <c r="H207" t="s">
        <v>26</v>
      </c>
      <c r="I207" t="s">
        <v>27</v>
      </c>
      <c r="J207" t="s">
        <v>36</v>
      </c>
      <c r="K207" t="s">
        <v>76</v>
      </c>
      <c r="L207" t="s">
        <v>68</v>
      </c>
      <c r="M207">
        <v>25</v>
      </c>
      <c r="N207">
        <v>4</v>
      </c>
      <c r="O207">
        <v>1</v>
      </c>
      <c r="P207">
        <v>8</v>
      </c>
      <c r="Q207" t="s">
        <v>31</v>
      </c>
      <c r="R207">
        <v>15</v>
      </c>
      <c r="S207">
        <v>4</v>
      </c>
      <c r="T207" t="s">
        <v>31</v>
      </c>
      <c r="U207" t="s">
        <v>31</v>
      </c>
      <c r="V207">
        <v>2026</v>
      </c>
      <c r="W207">
        <v>6</v>
      </c>
      <c r="X207" t="s">
        <v>1421</v>
      </c>
      <c r="Y207" s="6">
        <v>46174</v>
      </c>
      <c r="Z207" t="s">
        <v>1413</v>
      </c>
      <c r="AA207" t="s">
        <v>63</v>
      </c>
      <c r="AB207" t="s">
        <v>63</v>
      </c>
      <c r="AC207" t="s">
        <v>23</v>
      </c>
      <c r="AD207">
        <v>1</v>
      </c>
      <c r="AE207">
        <v>0</v>
      </c>
      <c r="AF207">
        <v>1</v>
      </c>
      <c r="AG207">
        <v>1</v>
      </c>
      <c r="AH207">
        <v>0</v>
      </c>
      <c r="AI207">
        <v>0</v>
      </c>
      <c r="AJ207">
        <v>0</v>
      </c>
    </row>
    <row r="208" spans="1:36">
      <c r="A208" t="s">
        <v>310</v>
      </c>
      <c r="B208">
        <v>24.88</v>
      </c>
      <c r="C208" s="7">
        <v>46256.117361111108</v>
      </c>
      <c r="D208" s="7">
        <v>46257.154160937498</v>
      </c>
      <c r="E208" t="s">
        <v>23</v>
      </c>
      <c r="F208" t="s">
        <v>50</v>
      </c>
      <c r="G208" t="s">
        <v>51</v>
      </c>
      <c r="H208" t="s">
        <v>54</v>
      </c>
      <c r="I208" t="s">
        <v>35</v>
      </c>
      <c r="J208" t="s">
        <v>43</v>
      </c>
      <c r="K208" t="s">
        <v>76</v>
      </c>
      <c r="L208" t="s">
        <v>38</v>
      </c>
      <c r="M208">
        <v>173</v>
      </c>
      <c r="N208">
        <v>4</v>
      </c>
      <c r="O208">
        <v>0</v>
      </c>
      <c r="P208">
        <v>5</v>
      </c>
      <c r="Q208" t="s">
        <v>31</v>
      </c>
      <c r="R208">
        <v>120</v>
      </c>
      <c r="S208">
        <v>24</v>
      </c>
      <c r="T208" t="s">
        <v>31</v>
      </c>
      <c r="U208" t="s">
        <v>31</v>
      </c>
      <c r="V208">
        <v>2026</v>
      </c>
      <c r="W208">
        <v>8</v>
      </c>
      <c r="X208" t="s">
        <v>1417</v>
      </c>
      <c r="Y208" s="6">
        <v>46235</v>
      </c>
      <c r="Z208" t="s">
        <v>1413</v>
      </c>
      <c r="AA208" t="s">
        <v>31</v>
      </c>
      <c r="AB208" t="s">
        <v>63</v>
      </c>
      <c r="AC208" t="s">
        <v>23</v>
      </c>
      <c r="AD208">
        <v>1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</row>
    <row r="209" spans="1:36">
      <c r="A209" t="s">
        <v>311</v>
      </c>
      <c r="B209">
        <v>34.1</v>
      </c>
      <c r="C209" s="7">
        <v>46232.352083333331</v>
      </c>
      <c r="D209" s="7">
        <v>46233.773044930553</v>
      </c>
      <c r="E209" t="s">
        <v>23</v>
      </c>
      <c r="F209" t="s">
        <v>50</v>
      </c>
      <c r="G209" t="s">
        <v>25</v>
      </c>
      <c r="H209" t="s">
        <v>34</v>
      </c>
      <c r="I209" t="s">
        <v>27</v>
      </c>
      <c r="J209" t="s">
        <v>36</v>
      </c>
      <c r="K209" t="s">
        <v>58</v>
      </c>
      <c r="L209" t="s">
        <v>85</v>
      </c>
      <c r="M209">
        <v>72</v>
      </c>
      <c r="N209">
        <v>4</v>
      </c>
      <c r="O209">
        <v>1</v>
      </c>
      <c r="P209">
        <v>7</v>
      </c>
      <c r="Q209" t="s">
        <v>31</v>
      </c>
      <c r="R209">
        <v>120</v>
      </c>
      <c r="S209">
        <v>24</v>
      </c>
      <c r="T209" t="s">
        <v>63</v>
      </c>
      <c r="U209" t="s">
        <v>31</v>
      </c>
      <c r="V209">
        <v>2026</v>
      </c>
      <c r="W209">
        <v>7</v>
      </c>
      <c r="X209" t="s">
        <v>1422</v>
      </c>
      <c r="Y209" s="6">
        <v>46204</v>
      </c>
      <c r="Z209" t="s">
        <v>1413</v>
      </c>
      <c r="AA209" t="s">
        <v>63</v>
      </c>
      <c r="AB209" t="s">
        <v>63</v>
      </c>
      <c r="AC209" t="s">
        <v>23</v>
      </c>
      <c r="AD209">
        <v>1</v>
      </c>
      <c r="AE209">
        <v>0</v>
      </c>
      <c r="AF209">
        <v>1</v>
      </c>
      <c r="AG209">
        <v>1</v>
      </c>
      <c r="AH209">
        <v>0</v>
      </c>
      <c r="AI209">
        <v>1</v>
      </c>
      <c r="AJ209">
        <v>0</v>
      </c>
    </row>
    <row r="210" spans="1:36">
      <c r="A210" t="s">
        <v>312</v>
      </c>
      <c r="B210">
        <v>39.69</v>
      </c>
      <c r="C210" s="7">
        <v>46245.756944444445</v>
      </c>
      <c r="D210" s="7">
        <v>46247.410581724536</v>
      </c>
      <c r="E210" t="s">
        <v>23</v>
      </c>
      <c r="F210" t="s">
        <v>50</v>
      </c>
      <c r="G210" t="s">
        <v>65</v>
      </c>
      <c r="H210" t="s">
        <v>75</v>
      </c>
      <c r="I210" t="s">
        <v>35</v>
      </c>
      <c r="J210" t="s">
        <v>28</v>
      </c>
      <c r="K210" t="s">
        <v>37</v>
      </c>
      <c r="L210" t="s">
        <v>38</v>
      </c>
      <c r="M210">
        <v>105</v>
      </c>
      <c r="N210">
        <v>4</v>
      </c>
      <c r="O210">
        <v>0</v>
      </c>
      <c r="P210">
        <v>3</v>
      </c>
      <c r="Q210" t="s">
        <v>31</v>
      </c>
      <c r="R210">
        <v>120</v>
      </c>
      <c r="S210">
        <v>24</v>
      </c>
      <c r="T210" t="s">
        <v>63</v>
      </c>
      <c r="U210" t="s">
        <v>31</v>
      </c>
      <c r="V210">
        <v>2026</v>
      </c>
      <c r="W210">
        <v>8</v>
      </c>
      <c r="X210" t="s">
        <v>1417</v>
      </c>
      <c r="Y210" s="6">
        <v>46235</v>
      </c>
      <c r="Z210" t="s">
        <v>1413</v>
      </c>
      <c r="AA210" t="s">
        <v>31</v>
      </c>
      <c r="AB210" t="s">
        <v>63</v>
      </c>
      <c r="AC210" t="s">
        <v>23</v>
      </c>
      <c r="AD210">
        <v>1</v>
      </c>
      <c r="AE210">
        <v>0</v>
      </c>
      <c r="AF210">
        <v>1</v>
      </c>
      <c r="AG210">
        <v>0</v>
      </c>
      <c r="AH210">
        <v>0</v>
      </c>
      <c r="AI210">
        <v>1</v>
      </c>
      <c r="AJ210">
        <v>0</v>
      </c>
    </row>
    <row r="211" spans="1:36">
      <c r="A211" t="s">
        <v>313</v>
      </c>
      <c r="B211">
        <v>10.95</v>
      </c>
      <c r="C211" s="7">
        <v>46138.181250000001</v>
      </c>
      <c r="D211" s="7">
        <v>46138.637373043981</v>
      </c>
      <c r="E211" t="s">
        <v>23</v>
      </c>
      <c r="F211" t="s">
        <v>50</v>
      </c>
      <c r="G211" t="s">
        <v>25</v>
      </c>
      <c r="H211" t="s">
        <v>26</v>
      </c>
      <c r="I211" t="s">
        <v>35</v>
      </c>
      <c r="J211" t="s">
        <v>43</v>
      </c>
      <c r="K211" t="s">
        <v>29</v>
      </c>
      <c r="L211" t="s">
        <v>93</v>
      </c>
      <c r="M211">
        <v>110</v>
      </c>
      <c r="N211">
        <v>4</v>
      </c>
      <c r="O211">
        <v>0</v>
      </c>
      <c r="P211">
        <v>4</v>
      </c>
      <c r="Q211" t="s">
        <v>31</v>
      </c>
      <c r="R211">
        <v>120</v>
      </c>
      <c r="S211">
        <v>24</v>
      </c>
      <c r="T211" t="s">
        <v>63</v>
      </c>
      <c r="U211" t="s">
        <v>63</v>
      </c>
      <c r="V211">
        <v>2026</v>
      </c>
      <c r="W211">
        <v>4</v>
      </c>
      <c r="X211" t="s">
        <v>1412</v>
      </c>
      <c r="Y211" s="6">
        <v>46113</v>
      </c>
      <c r="Z211" t="s">
        <v>1413</v>
      </c>
      <c r="AA211" t="s">
        <v>31</v>
      </c>
      <c r="AB211" t="s">
        <v>63</v>
      </c>
      <c r="AC211" t="s">
        <v>23</v>
      </c>
      <c r="AD211">
        <v>1</v>
      </c>
      <c r="AE211">
        <v>0</v>
      </c>
      <c r="AF211">
        <v>1</v>
      </c>
      <c r="AG211">
        <v>0</v>
      </c>
      <c r="AH211">
        <v>0</v>
      </c>
      <c r="AI211">
        <v>1</v>
      </c>
      <c r="AJ211">
        <v>1</v>
      </c>
    </row>
    <row r="212" spans="1:36">
      <c r="A212" t="s">
        <v>314</v>
      </c>
      <c r="B212">
        <v>44.05</v>
      </c>
      <c r="C212" s="7">
        <v>46119.441666666666</v>
      </c>
      <c r="D212" s="7">
        <v>46121.277152858798</v>
      </c>
      <c r="E212" t="s">
        <v>23</v>
      </c>
      <c r="F212" t="s">
        <v>33</v>
      </c>
      <c r="G212" t="s">
        <v>51</v>
      </c>
      <c r="H212" t="s">
        <v>34</v>
      </c>
      <c r="I212" t="s">
        <v>27</v>
      </c>
      <c r="J212" t="s">
        <v>28</v>
      </c>
      <c r="K212" t="s">
        <v>58</v>
      </c>
      <c r="L212" t="s">
        <v>44</v>
      </c>
      <c r="M212">
        <v>147</v>
      </c>
      <c r="N212">
        <v>3</v>
      </c>
      <c r="O212">
        <v>0</v>
      </c>
      <c r="P212">
        <v>5</v>
      </c>
      <c r="Q212" t="s">
        <v>31</v>
      </c>
      <c r="R212">
        <v>240</v>
      </c>
      <c r="S212">
        <v>48</v>
      </c>
      <c r="T212" t="s">
        <v>63</v>
      </c>
      <c r="U212" t="s">
        <v>63</v>
      </c>
      <c r="V212">
        <v>2026</v>
      </c>
      <c r="W212">
        <v>4</v>
      </c>
      <c r="X212" t="s">
        <v>1412</v>
      </c>
      <c r="Y212" s="6">
        <v>46113</v>
      </c>
      <c r="Z212" t="s">
        <v>1418</v>
      </c>
      <c r="AA212" t="s">
        <v>31</v>
      </c>
      <c r="AB212" t="s">
        <v>63</v>
      </c>
      <c r="AC212" t="s">
        <v>23</v>
      </c>
      <c r="AD212">
        <v>1</v>
      </c>
      <c r="AE212">
        <v>0</v>
      </c>
      <c r="AF212">
        <v>1</v>
      </c>
      <c r="AG212">
        <v>0</v>
      </c>
      <c r="AH212">
        <v>0</v>
      </c>
      <c r="AI212">
        <v>1</v>
      </c>
      <c r="AJ212">
        <v>1</v>
      </c>
    </row>
    <row r="213" spans="1:36">
      <c r="A213" t="s">
        <v>315</v>
      </c>
      <c r="B213">
        <v>20.54</v>
      </c>
      <c r="C213" s="7">
        <v>46200.072916666664</v>
      </c>
      <c r="D213" s="7">
        <v>46200.92886777778</v>
      </c>
      <c r="E213" t="s">
        <v>23</v>
      </c>
      <c r="F213" t="s">
        <v>33</v>
      </c>
      <c r="G213" t="s">
        <v>25</v>
      </c>
      <c r="H213" t="s">
        <v>54</v>
      </c>
      <c r="I213" t="s">
        <v>42</v>
      </c>
      <c r="J213" t="s">
        <v>43</v>
      </c>
      <c r="K213" t="s">
        <v>29</v>
      </c>
      <c r="L213" t="s">
        <v>30</v>
      </c>
      <c r="M213">
        <v>313</v>
      </c>
      <c r="N213">
        <v>3</v>
      </c>
      <c r="O213">
        <v>0</v>
      </c>
      <c r="P213">
        <v>2</v>
      </c>
      <c r="Q213" t="s">
        <v>31</v>
      </c>
      <c r="R213">
        <v>240</v>
      </c>
      <c r="S213">
        <v>48</v>
      </c>
      <c r="T213" t="s">
        <v>31</v>
      </c>
      <c r="U213" t="s">
        <v>63</v>
      </c>
      <c r="V213">
        <v>2026</v>
      </c>
      <c r="W213">
        <v>6</v>
      </c>
      <c r="X213" t="s">
        <v>1421</v>
      </c>
      <c r="Y213" s="6">
        <v>46174</v>
      </c>
      <c r="Z213" t="s">
        <v>1418</v>
      </c>
      <c r="AA213" t="s">
        <v>31</v>
      </c>
      <c r="AB213" t="s">
        <v>63</v>
      </c>
      <c r="AC213" t="s">
        <v>23</v>
      </c>
      <c r="AD213">
        <v>1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1</v>
      </c>
    </row>
    <row r="214" spans="1:36">
      <c r="A214" t="s">
        <v>316</v>
      </c>
      <c r="B214">
        <v>53.14</v>
      </c>
      <c r="C214" s="7">
        <v>46236.496527777781</v>
      </c>
      <c r="D214" s="7">
        <v>46238.710545613423</v>
      </c>
      <c r="E214" t="s">
        <v>23</v>
      </c>
      <c r="F214" t="s">
        <v>33</v>
      </c>
      <c r="G214" t="s">
        <v>41</v>
      </c>
      <c r="H214" t="s">
        <v>26</v>
      </c>
      <c r="I214" t="s">
        <v>42</v>
      </c>
      <c r="J214" t="s">
        <v>36</v>
      </c>
      <c r="K214" t="s">
        <v>37</v>
      </c>
      <c r="L214" t="s">
        <v>85</v>
      </c>
      <c r="M214">
        <v>229</v>
      </c>
      <c r="N214">
        <v>3</v>
      </c>
      <c r="O214">
        <v>0</v>
      </c>
      <c r="P214">
        <v>3</v>
      </c>
      <c r="Q214" t="s">
        <v>31</v>
      </c>
      <c r="R214">
        <v>240</v>
      </c>
      <c r="S214">
        <v>48</v>
      </c>
      <c r="T214" t="s">
        <v>63</v>
      </c>
      <c r="U214" t="s">
        <v>31</v>
      </c>
      <c r="V214">
        <v>2026</v>
      </c>
      <c r="W214">
        <v>8</v>
      </c>
      <c r="X214" t="s">
        <v>1417</v>
      </c>
      <c r="Y214" s="6">
        <v>46235</v>
      </c>
      <c r="Z214" t="s">
        <v>1418</v>
      </c>
      <c r="AA214" t="s">
        <v>31</v>
      </c>
      <c r="AB214" t="s">
        <v>63</v>
      </c>
      <c r="AC214" t="s">
        <v>23</v>
      </c>
      <c r="AD214">
        <v>1</v>
      </c>
      <c r="AE214">
        <v>0</v>
      </c>
      <c r="AF214">
        <v>1</v>
      </c>
      <c r="AG214">
        <v>0</v>
      </c>
      <c r="AH214">
        <v>0</v>
      </c>
      <c r="AI214">
        <v>1</v>
      </c>
      <c r="AJ214">
        <v>0</v>
      </c>
    </row>
    <row r="215" spans="1:36">
      <c r="A215" t="s">
        <v>317</v>
      </c>
      <c r="B215">
        <v>24.27</v>
      </c>
      <c r="C215" s="7">
        <v>46085.537499999999</v>
      </c>
      <c r="D215" s="7">
        <v>46086.548781458332</v>
      </c>
      <c r="E215" t="s">
        <v>23</v>
      </c>
      <c r="F215" t="s">
        <v>50</v>
      </c>
      <c r="G215" t="s">
        <v>25</v>
      </c>
      <c r="H215" t="s">
        <v>26</v>
      </c>
      <c r="I215" t="s">
        <v>35</v>
      </c>
      <c r="J215" t="s">
        <v>36</v>
      </c>
      <c r="K215" t="s">
        <v>58</v>
      </c>
      <c r="L215" t="s">
        <v>68</v>
      </c>
      <c r="M215">
        <v>62</v>
      </c>
      <c r="N215">
        <v>4</v>
      </c>
      <c r="O215">
        <v>1</v>
      </c>
      <c r="P215">
        <v>11</v>
      </c>
      <c r="Q215" t="s">
        <v>31</v>
      </c>
      <c r="R215">
        <v>120</v>
      </c>
      <c r="S215">
        <v>24</v>
      </c>
      <c r="T215" t="s">
        <v>63</v>
      </c>
      <c r="U215" t="s">
        <v>31</v>
      </c>
      <c r="V215">
        <v>2026</v>
      </c>
      <c r="W215">
        <v>3</v>
      </c>
      <c r="X215" t="s">
        <v>1423</v>
      </c>
      <c r="Y215" s="6">
        <v>46082</v>
      </c>
      <c r="Z215" t="s">
        <v>1413</v>
      </c>
      <c r="AA215" t="s">
        <v>63</v>
      </c>
      <c r="AB215" t="s">
        <v>63</v>
      </c>
      <c r="AC215" t="s">
        <v>23</v>
      </c>
      <c r="AD215">
        <v>1</v>
      </c>
      <c r="AE215">
        <v>0</v>
      </c>
      <c r="AF215">
        <v>1</v>
      </c>
      <c r="AG215">
        <v>1</v>
      </c>
      <c r="AH215">
        <v>0</v>
      </c>
      <c r="AI215">
        <v>1</v>
      </c>
      <c r="AJ215">
        <v>0</v>
      </c>
    </row>
    <row r="216" spans="1:36">
      <c r="A216" t="s">
        <v>318</v>
      </c>
      <c r="B216">
        <v>21.65</v>
      </c>
      <c r="C216" s="7">
        <v>46140.945138888892</v>
      </c>
      <c r="D216" s="7">
        <v>46141.847430127316</v>
      </c>
      <c r="E216" t="s">
        <v>23</v>
      </c>
      <c r="F216" t="s">
        <v>40</v>
      </c>
      <c r="G216" t="s">
        <v>51</v>
      </c>
      <c r="H216" t="s">
        <v>66</v>
      </c>
      <c r="I216" t="s">
        <v>42</v>
      </c>
      <c r="J216" t="s">
        <v>28</v>
      </c>
      <c r="K216" t="s">
        <v>67</v>
      </c>
      <c r="L216" t="s">
        <v>44</v>
      </c>
      <c r="M216">
        <v>17</v>
      </c>
      <c r="N216">
        <v>4</v>
      </c>
      <c r="O216">
        <v>0</v>
      </c>
      <c r="P216">
        <v>5</v>
      </c>
      <c r="Q216" t="s">
        <v>31</v>
      </c>
      <c r="R216">
        <v>30</v>
      </c>
      <c r="S216">
        <v>8</v>
      </c>
      <c r="T216" t="s">
        <v>63</v>
      </c>
      <c r="U216" t="s">
        <v>31</v>
      </c>
      <c r="V216">
        <v>2026</v>
      </c>
      <c r="W216">
        <v>4</v>
      </c>
      <c r="X216" t="s">
        <v>1412</v>
      </c>
      <c r="Y216" s="6">
        <v>46113</v>
      </c>
      <c r="Z216" t="s">
        <v>1413</v>
      </c>
      <c r="AA216" t="s">
        <v>31</v>
      </c>
      <c r="AB216" t="s">
        <v>63</v>
      </c>
      <c r="AC216" t="s">
        <v>23</v>
      </c>
      <c r="AD216">
        <v>1</v>
      </c>
      <c r="AE216">
        <v>0</v>
      </c>
      <c r="AF216">
        <v>1</v>
      </c>
      <c r="AG216">
        <v>0</v>
      </c>
      <c r="AH216">
        <v>0</v>
      </c>
      <c r="AI216">
        <v>1</v>
      </c>
      <c r="AJ216">
        <v>0</v>
      </c>
    </row>
    <row r="217" spans="1:36">
      <c r="A217" t="s">
        <v>319</v>
      </c>
      <c r="B217">
        <v>26.77</v>
      </c>
      <c r="C217" s="7">
        <v>46065.241666666669</v>
      </c>
      <c r="D217" s="7">
        <v>46066.357154490739</v>
      </c>
      <c r="E217" t="s">
        <v>23</v>
      </c>
      <c r="F217" t="s">
        <v>50</v>
      </c>
      <c r="G217" t="s">
        <v>65</v>
      </c>
      <c r="H217" t="s">
        <v>75</v>
      </c>
      <c r="I217" t="s">
        <v>42</v>
      </c>
      <c r="J217" t="s">
        <v>36</v>
      </c>
      <c r="K217" t="s">
        <v>58</v>
      </c>
      <c r="L217" t="s">
        <v>68</v>
      </c>
      <c r="M217">
        <v>136</v>
      </c>
      <c r="N217">
        <v>4</v>
      </c>
      <c r="O217">
        <v>0</v>
      </c>
      <c r="P217">
        <v>7</v>
      </c>
      <c r="Q217" t="s">
        <v>31</v>
      </c>
      <c r="R217">
        <v>120</v>
      </c>
      <c r="S217">
        <v>24</v>
      </c>
      <c r="T217" t="s">
        <v>31</v>
      </c>
      <c r="U217" t="s">
        <v>31</v>
      </c>
      <c r="V217">
        <v>2026</v>
      </c>
      <c r="W217">
        <v>2</v>
      </c>
      <c r="X217" t="s">
        <v>1419</v>
      </c>
      <c r="Y217" s="6">
        <v>46054</v>
      </c>
      <c r="Z217" t="s">
        <v>1413</v>
      </c>
      <c r="AA217" t="s">
        <v>31</v>
      </c>
      <c r="AB217" t="s">
        <v>63</v>
      </c>
      <c r="AC217" t="s">
        <v>23</v>
      </c>
      <c r="AD217">
        <v>1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</row>
    <row r="218" spans="1:36">
      <c r="A218" t="s">
        <v>320</v>
      </c>
      <c r="B218">
        <v>28.52</v>
      </c>
      <c r="C218" s="7">
        <v>46047.932638888888</v>
      </c>
      <c r="D218" s="7">
        <v>46049.121018055557</v>
      </c>
      <c r="E218" t="s">
        <v>23</v>
      </c>
      <c r="F218" t="s">
        <v>33</v>
      </c>
      <c r="G218" t="s">
        <v>51</v>
      </c>
      <c r="H218" t="s">
        <v>75</v>
      </c>
      <c r="I218" t="s">
        <v>35</v>
      </c>
      <c r="J218" t="s">
        <v>28</v>
      </c>
      <c r="K218" t="s">
        <v>29</v>
      </c>
      <c r="L218" t="s">
        <v>44</v>
      </c>
      <c r="M218">
        <v>191</v>
      </c>
      <c r="N218">
        <v>3</v>
      </c>
      <c r="O218">
        <v>0</v>
      </c>
      <c r="P218">
        <v>11</v>
      </c>
      <c r="Q218" t="s">
        <v>63</v>
      </c>
      <c r="R218">
        <v>240</v>
      </c>
      <c r="S218">
        <v>48</v>
      </c>
      <c r="T218" t="s">
        <v>63</v>
      </c>
      <c r="U218" t="s">
        <v>63</v>
      </c>
      <c r="V218">
        <v>2026</v>
      </c>
      <c r="W218">
        <v>1</v>
      </c>
      <c r="X218" t="s">
        <v>1414</v>
      </c>
      <c r="Y218" s="6">
        <v>46023</v>
      </c>
      <c r="Z218" t="s">
        <v>1418</v>
      </c>
      <c r="AA218" t="s">
        <v>31</v>
      </c>
      <c r="AB218" t="s">
        <v>63</v>
      </c>
      <c r="AC218" t="s">
        <v>23</v>
      </c>
      <c r="AD218">
        <v>1</v>
      </c>
      <c r="AE218">
        <v>0</v>
      </c>
      <c r="AF218">
        <v>1</v>
      </c>
      <c r="AG218">
        <v>0</v>
      </c>
      <c r="AH218">
        <v>1</v>
      </c>
      <c r="AI218">
        <v>1</v>
      </c>
      <c r="AJ218">
        <v>1</v>
      </c>
    </row>
    <row r="219" spans="1:36">
      <c r="A219" t="s">
        <v>321</v>
      </c>
      <c r="B219">
        <v>18.68</v>
      </c>
      <c r="C219" s="7">
        <v>46225.693749999999</v>
      </c>
      <c r="D219" s="7">
        <v>46226.471882129626</v>
      </c>
      <c r="E219" t="s">
        <v>23</v>
      </c>
      <c r="F219" t="s">
        <v>50</v>
      </c>
      <c r="G219" t="s">
        <v>65</v>
      </c>
      <c r="H219" t="s">
        <v>34</v>
      </c>
      <c r="I219" t="s">
        <v>27</v>
      </c>
      <c r="J219" t="s">
        <v>36</v>
      </c>
      <c r="K219" t="s">
        <v>29</v>
      </c>
      <c r="L219" t="s">
        <v>85</v>
      </c>
      <c r="M219">
        <v>110</v>
      </c>
      <c r="N219">
        <v>4</v>
      </c>
      <c r="O219">
        <v>0</v>
      </c>
      <c r="P219">
        <v>2</v>
      </c>
      <c r="Q219" t="s">
        <v>31</v>
      </c>
      <c r="R219">
        <v>120</v>
      </c>
      <c r="S219">
        <v>24</v>
      </c>
      <c r="T219" t="s">
        <v>63</v>
      </c>
      <c r="U219" t="s">
        <v>63</v>
      </c>
      <c r="V219">
        <v>2026</v>
      </c>
      <c r="W219">
        <v>7</v>
      </c>
      <c r="X219" t="s">
        <v>1422</v>
      </c>
      <c r="Y219" s="6">
        <v>46204</v>
      </c>
      <c r="Z219" t="s">
        <v>1413</v>
      </c>
      <c r="AA219" t="s">
        <v>31</v>
      </c>
      <c r="AB219" t="s">
        <v>63</v>
      </c>
      <c r="AC219" t="s">
        <v>23</v>
      </c>
      <c r="AD219">
        <v>1</v>
      </c>
      <c r="AE219">
        <v>0</v>
      </c>
      <c r="AF219">
        <v>1</v>
      </c>
      <c r="AG219">
        <v>0</v>
      </c>
      <c r="AH219">
        <v>0</v>
      </c>
      <c r="AI219">
        <v>1</v>
      </c>
      <c r="AJ219">
        <v>1</v>
      </c>
    </row>
    <row r="220" spans="1:36">
      <c r="A220" t="s">
        <v>322</v>
      </c>
      <c r="B220">
        <v>8.99</v>
      </c>
      <c r="C220" s="7">
        <v>46151.107638888891</v>
      </c>
      <c r="D220" s="7">
        <v>46151.482319930554</v>
      </c>
      <c r="E220" t="s">
        <v>23</v>
      </c>
      <c r="F220" t="s">
        <v>40</v>
      </c>
      <c r="G220" t="s">
        <v>25</v>
      </c>
      <c r="H220" t="s">
        <v>54</v>
      </c>
      <c r="I220" t="s">
        <v>35</v>
      </c>
      <c r="J220" t="s">
        <v>36</v>
      </c>
      <c r="K220" t="s">
        <v>52</v>
      </c>
      <c r="L220" t="s">
        <v>71</v>
      </c>
      <c r="M220">
        <v>47</v>
      </c>
      <c r="N220">
        <v>4</v>
      </c>
      <c r="O220">
        <v>0</v>
      </c>
      <c r="P220">
        <v>2</v>
      </c>
      <c r="Q220" t="s">
        <v>31</v>
      </c>
      <c r="R220">
        <v>30</v>
      </c>
      <c r="S220">
        <v>8</v>
      </c>
      <c r="T220" t="s">
        <v>31</v>
      </c>
      <c r="U220" t="s">
        <v>31</v>
      </c>
      <c r="V220">
        <v>2026</v>
      </c>
      <c r="W220">
        <v>5</v>
      </c>
      <c r="X220" t="s">
        <v>1416</v>
      </c>
      <c r="Y220" s="6">
        <v>46143</v>
      </c>
      <c r="Z220" t="s">
        <v>1413</v>
      </c>
      <c r="AA220" t="s">
        <v>31</v>
      </c>
      <c r="AB220" t="s">
        <v>63</v>
      </c>
      <c r="AC220" t="s">
        <v>23</v>
      </c>
      <c r="AD220">
        <v>1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</row>
    <row r="221" spans="1:36">
      <c r="A221" t="s">
        <v>323</v>
      </c>
      <c r="B221">
        <v>54.41</v>
      </c>
      <c r="C221" s="7">
        <v>46145.220833333333</v>
      </c>
      <c r="D221" s="7">
        <v>46147.488023993057</v>
      </c>
      <c r="E221" t="s">
        <v>23</v>
      </c>
      <c r="F221" t="s">
        <v>50</v>
      </c>
      <c r="G221" t="s">
        <v>25</v>
      </c>
      <c r="H221" t="s">
        <v>26</v>
      </c>
      <c r="I221" t="s">
        <v>35</v>
      </c>
      <c r="J221" t="s">
        <v>28</v>
      </c>
      <c r="K221" t="s">
        <v>58</v>
      </c>
      <c r="L221" t="s">
        <v>93</v>
      </c>
      <c r="M221">
        <v>116</v>
      </c>
      <c r="N221">
        <v>3</v>
      </c>
      <c r="O221">
        <v>0</v>
      </c>
      <c r="P221">
        <v>5</v>
      </c>
      <c r="Q221" t="s">
        <v>31</v>
      </c>
      <c r="R221">
        <v>120</v>
      </c>
      <c r="S221">
        <v>24</v>
      </c>
      <c r="T221" t="s">
        <v>63</v>
      </c>
      <c r="U221" t="s">
        <v>31</v>
      </c>
      <c r="V221">
        <v>2026</v>
      </c>
      <c r="W221">
        <v>5</v>
      </c>
      <c r="X221" t="s">
        <v>1416</v>
      </c>
      <c r="Y221" s="6">
        <v>46143</v>
      </c>
      <c r="Z221" t="s">
        <v>1418</v>
      </c>
      <c r="AA221" t="s">
        <v>31</v>
      </c>
      <c r="AB221" t="s">
        <v>63</v>
      </c>
      <c r="AC221" t="s">
        <v>23</v>
      </c>
      <c r="AD221">
        <v>1</v>
      </c>
      <c r="AE221">
        <v>0</v>
      </c>
      <c r="AF221">
        <v>1</v>
      </c>
      <c r="AG221">
        <v>0</v>
      </c>
      <c r="AH221">
        <v>0</v>
      </c>
      <c r="AI221">
        <v>1</v>
      </c>
      <c r="AJ221">
        <v>0</v>
      </c>
    </row>
    <row r="222" spans="1:36">
      <c r="A222" t="s">
        <v>324</v>
      </c>
      <c r="B222">
        <v>12.4</v>
      </c>
      <c r="C222" s="7">
        <v>46060.083333333336</v>
      </c>
      <c r="D222" s="7">
        <v>46060.599844178243</v>
      </c>
      <c r="E222" t="s">
        <v>23</v>
      </c>
      <c r="F222" t="s">
        <v>50</v>
      </c>
      <c r="G222" t="s">
        <v>25</v>
      </c>
      <c r="H222" t="s">
        <v>54</v>
      </c>
      <c r="I222" t="s">
        <v>42</v>
      </c>
      <c r="J222" t="s">
        <v>48</v>
      </c>
      <c r="K222" t="s">
        <v>29</v>
      </c>
      <c r="L222" t="s">
        <v>55</v>
      </c>
      <c r="M222">
        <v>77</v>
      </c>
      <c r="N222">
        <v>4</v>
      </c>
      <c r="O222">
        <v>0</v>
      </c>
      <c r="P222">
        <v>7</v>
      </c>
      <c r="Q222" t="s">
        <v>31</v>
      </c>
      <c r="R222">
        <v>120</v>
      </c>
      <c r="S222">
        <v>24</v>
      </c>
      <c r="T222" t="s">
        <v>63</v>
      </c>
      <c r="U222" t="s">
        <v>63</v>
      </c>
      <c r="V222">
        <v>2026</v>
      </c>
      <c r="W222">
        <v>2</v>
      </c>
      <c r="X222" t="s">
        <v>1419</v>
      </c>
      <c r="Y222" s="6">
        <v>46054</v>
      </c>
      <c r="Z222" t="s">
        <v>1413</v>
      </c>
      <c r="AA222" t="s">
        <v>31</v>
      </c>
      <c r="AB222" t="s">
        <v>63</v>
      </c>
      <c r="AC222" t="s">
        <v>23</v>
      </c>
      <c r="AD222">
        <v>1</v>
      </c>
      <c r="AE222">
        <v>0</v>
      </c>
      <c r="AF222">
        <v>1</v>
      </c>
      <c r="AG222">
        <v>0</v>
      </c>
      <c r="AH222">
        <v>0</v>
      </c>
      <c r="AI222">
        <v>1</v>
      </c>
      <c r="AJ222">
        <v>1</v>
      </c>
    </row>
    <row r="223" spans="1:36">
      <c r="A223" t="s">
        <v>326</v>
      </c>
      <c r="B223">
        <v>54.97</v>
      </c>
      <c r="C223" s="7">
        <v>46096.844444444447</v>
      </c>
      <c r="D223" s="7">
        <v>46099.135066539355</v>
      </c>
      <c r="E223" t="s">
        <v>23</v>
      </c>
      <c r="F223" t="s">
        <v>33</v>
      </c>
      <c r="G223" t="s">
        <v>65</v>
      </c>
      <c r="H223" t="s">
        <v>26</v>
      </c>
      <c r="I223" t="s">
        <v>42</v>
      </c>
      <c r="J223" t="s">
        <v>48</v>
      </c>
      <c r="K223" t="s">
        <v>37</v>
      </c>
      <c r="L223" t="s">
        <v>62</v>
      </c>
      <c r="M223">
        <v>126</v>
      </c>
      <c r="N223">
        <v>4</v>
      </c>
      <c r="O223">
        <v>0</v>
      </c>
      <c r="P223">
        <v>2</v>
      </c>
      <c r="Q223" t="s">
        <v>31</v>
      </c>
      <c r="R223">
        <v>240</v>
      </c>
      <c r="S223">
        <v>48</v>
      </c>
      <c r="T223" t="s">
        <v>63</v>
      </c>
      <c r="U223" t="s">
        <v>31</v>
      </c>
      <c r="V223">
        <v>2026</v>
      </c>
      <c r="W223">
        <v>3</v>
      </c>
      <c r="X223" t="s">
        <v>1423</v>
      </c>
      <c r="Y223" s="6">
        <v>46082</v>
      </c>
      <c r="Z223" t="s">
        <v>1413</v>
      </c>
      <c r="AA223" t="s">
        <v>31</v>
      </c>
      <c r="AB223" t="s">
        <v>63</v>
      </c>
      <c r="AC223" t="s">
        <v>23</v>
      </c>
      <c r="AD223">
        <v>1</v>
      </c>
      <c r="AE223">
        <v>0</v>
      </c>
      <c r="AF223">
        <v>1</v>
      </c>
      <c r="AG223">
        <v>0</v>
      </c>
      <c r="AH223">
        <v>0</v>
      </c>
      <c r="AI223">
        <v>1</v>
      </c>
      <c r="AJ223">
        <v>0</v>
      </c>
    </row>
    <row r="224" spans="1:36">
      <c r="A224" t="s">
        <v>327</v>
      </c>
      <c r="B224">
        <v>31.91</v>
      </c>
      <c r="C224" s="7">
        <v>46252.217361111114</v>
      </c>
      <c r="D224" s="7">
        <v>46253.54680611111</v>
      </c>
      <c r="E224" t="s">
        <v>23</v>
      </c>
      <c r="F224" t="s">
        <v>50</v>
      </c>
      <c r="G224" t="s">
        <v>51</v>
      </c>
      <c r="H224" t="s">
        <v>26</v>
      </c>
      <c r="I224" t="s">
        <v>42</v>
      </c>
      <c r="J224" t="s">
        <v>28</v>
      </c>
      <c r="K224" t="s">
        <v>58</v>
      </c>
      <c r="L224" t="s">
        <v>55</v>
      </c>
      <c r="M224">
        <v>109</v>
      </c>
      <c r="N224">
        <v>4</v>
      </c>
      <c r="O224">
        <v>0</v>
      </c>
      <c r="P224">
        <v>7</v>
      </c>
      <c r="Q224" t="s">
        <v>31</v>
      </c>
      <c r="R224">
        <v>120</v>
      </c>
      <c r="S224">
        <v>24</v>
      </c>
      <c r="T224" t="s">
        <v>63</v>
      </c>
      <c r="U224" t="s">
        <v>31</v>
      </c>
      <c r="V224">
        <v>2026</v>
      </c>
      <c r="W224">
        <v>8</v>
      </c>
      <c r="X224" t="s">
        <v>1417</v>
      </c>
      <c r="Y224" s="6">
        <v>46235</v>
      </c>
      <c r="Z224" t="s">
        <v>1413</v>
      </c>
      <c r="AA224" t="s">
        <v>31</v>
      </c>
      <c r="AB224" t="s">
        <v>63</v>
      </c>
      <c r="AC224" t="s">
        <v>23</v>
      </c>
      <c r="AD224">
        <v>1</v>
      </c>
      <c r="AE224">
        <v>0</v>
      </c>
      <c r="AF224">
        <v>1</v>
      </c>
      <c r="AG224">
        <v>0</v>
      </c>
      <c r="AH224">
        <v>0</v>
      </c>
      <c r="AI224">
        <v>1</v>
      </c>
      <c r="AJ224">
        <v>0</v>
      </c>
    </row>
    <row r="225" spans="1:36">
      <c r="A225" t="s">
        <v>328</v>
      </c>
      <c r="B225">
        <v>108.46</v>
      </c>
      <c r="C225" s="7">
        <v>46247.117361111108</v>
      </c>
      <c r="D225" s="7">
        <v>46251.636383194447</v>
      </c>
      <c r="E225" t="s">
        <v>23</v>
      </c>
      <c r="F225" t="s">
        <v>33</v>
      </c>
      <c r="G225" t="s">
        <v>65</v>
      </c>
      <c r="H225" t="s">
        <v>26</v>
      </c>
      <c r="I225" t="s">
        <v>42</v>
      </c>
      <c r="J225" t="s">
        <v>36</v>
      </c>
      <c r="K225" t="s">
        <v>67</v>
      </c>
      <c r="L225" t="s">
        <v>38</v>
      </c>
      <c r="M225">
        <v>106</v>
      </c>
      <c r="N225">
        <v>4</v>
      </c>
      <c r="O225">
        <v>0</v>
      </c>
      <c r="P225">
        <v>3</v>
      </c>
      <c r="Q225" t="s">
        <v>31</v>
      </c>
      <c r="R225">
        <v>240</v>
      </c>
      <c r="S225">
        <v>48</v>
      </c>
      <c r="T225" t="s">
        <v>63</v>
      </c>
      <c r="U225" t="s">
        <v>31</v>
      </c>
      <c r="V225">
        <v>2026</v>
      </c>
      <c r="W225">
        <v>8</v>
      </c>
      <c r="X225" t="s">
        <v>1417</v>
      </c>
      <c r="Y225" s="6">
        <v>46235</v>
      </c>
      <c r="Z225" t="s">
        <v>1413</v>
      </c>
      <c r="AA225" t="s">
        <v>31</v>
      </c>
      <c r="AB225" t="s">
        <v>63</v>
      </c>
      <c r="AC225" t="s">
        <v>23</v>
      </c>
      <c r="AD225">
        <v>1</v>
      </c>
      <c r="AE225">
        <v>0</v>
      </c>
      <c r="AF225">
        <v>1</v>
      </c>
      <c r="AG225">
        <v>0</v>
      </c>
      <c r="AH225">
        <v>0</v>
      </c>
      <c r="AI225">
        <v>1</v>
      </c>
      <c r="AJ225">
        <v>0</v>
      </c>
    </row>
    <row r="226" spans="1:36">
      <c r="A226" t="s">
        <v>329</v>
      </c>
      <c r="B226">
        <v>8.81</v>
      </c>
      <c r="C226" s="7">
        <v>46056.369444444441</v>
      </c>
      <c r="D226" s="7">
        <v>46056.736414837964</v>
      </c>
      <c r="E226" t="s">
        <v>23</v>
      </c>
      <c r="F226" t="s">
        <v>40</v>
      </c>
      <c r="G226" t="s">
        <v>51</v>
      </c>
      <c r="H226" t="s">
        <v>26</v>
      </c>
      <c r="I226" t="s">
        <v>35</v>
      </c>
      <c r="J226" t="s">
        <v>43</v>
      </c>
      <c r="K226" t="s">
        <v>37</v>
      </c>
      <c r="L226" t="s">
        <v>55</v>
      </c>
      <c r="M226">
        <v>16</v>
      </c>
      <c r="N226">
        <v>5</v>
      </c>
      <c r="O226">
        <v>0</v>
      </c>
      <c r="P226">
        <v>6</v>
      </c>
      <c r="Q226" t="s">
        <v>31</v>
      </c>
      <c r="R226">
        <v>30</v>
      </c>
      <c r="S226">
        <v>8</v>
      </c>
      <c r="T226" t="s">
        <v>63</v>
      </c>
      <c r="U226" t="s">
        <v>31</v>
      </c>
      <c r="V226">
        <v>2026</v>
      </c>
      <c r="W226">
        <v>2</v>
      </c>
      <c r="X226" t="s">
        <v>1419</v>
      </c>
      <c r="Y226" s="6">
        <v>46054</v>
      </c>
      <c r="Z226" t="s">
        <v>1413</v>
      </c>
      <c r="AA226" t="s">
        <v>31</v>
      </c>
      <c r="AB226" t="s">
        <v>63</v>
      </c>
      <c r="AC226" t="s">
        <v>23</v>
      </c>
      <c r="AD226">
        <v>1</v>
      </c>
      <c r="AE226">
        <v>0</v>
      </c>
      <c r="AF226">
        <v>1</v>
      </c>
      <c r="AG226">
        <v>0</v>
      </c>
      <c r="AH226">
        <v>0</v>
      </c>
      <c r="AI226">
        <v>1</v>
      </c>
      <c r="AJ226">
        <v>0</v>
      </c>
    </row>
    <row r="227" spans="1:36">
      <c r="A227" t="s">
        <v>330</v>
      </c>
      <c r="B227">
        <v>29.21</v>
      </c>
      <c r="C227" s="7">
        <v>46252.530555555553</v>
      </c>
      <c r="D227" s="7">
        <v>46253.747471631941</v>
      </c>
      <c r="E227" t="s">
        <v>23</v>
      </c>
      <c r="F227" t="s">
        <v>50</v>
      </c>
      <c r="G227" t="s">
        <v>51</v>
      </c>
      <c r="H227" t="s">
        <v>34</v>
      </c>
      <c r="I227" t="s">
        <v>35</v>
      </c>
      <c r="J227" t="s">
        <v>36</v>
      </c>
      <c r="K227" t="s">
        <v>37</v>
      </c>
      <c r="L227" t="s">
        <v>55</v>
      </c>
      <c r="M227">
        <v>179</v>
      </c>
      <c r="N227">
        <v>4</v>
      </c>
      <c r="O227">
        <v>0</v>
      </c>
      <c r="P227">
        <v>7</v>
      </c>
      <c r="Q227" t="s">
        <v>31</v>
      </c>
      <c r="R227">
        <v>120</v>
      </c>
      <c r="S227">
        <v>24</v>
      </c>
      <c r="T227" t="s">
        <v>31</v>
      </c>
      <c r="U227" t="s">
        <v>31</v>
      </c>
      <c r="V227">
        <v>2026</v>
      </c>
      <c r="W227">
        <v>8</v>
      </c>
      <c r="X227" t="s">
        <v>1417</v>
      </c>
      <c r="Y227" s="6">
        <v>46235</v>
      </c>
      <c r="Z227" t="s">
        <v>1413</v>
      </c>
      <c r="AA227" t="s">
        <v>31</v>
      </c>
      <c r="AB227" t="s">
        <v>63</v>
      </c>
      <c r="AC227" t="s">
        <v>23</v>
      </c>
      <c r="AD227">
        <v>1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</row>
    <row r="228" spans="1:36">
      <c r="A228" t="s">
        <v>331</v>
      </c>
      <c r="B228">
        <v>18.600000000000001</v>
      </c>
      <c r="C228" s="7">
        <v>46065.172222222223</v>
      </c>
      <c r="D228" s="7">
        <v>46065.947013888886</v>
      </c>
      <c r="E228" t="s">
        <v>23</v>
      </c>
      <c r="F228" t="s">
        <v>33</v>
      </c>
      <c r="G228" t="s">
        <v>41</v>
      </c>
      <c r="H228" t="s">
        <v>26</v>
      </c>
      <c r="I228" t="s">
        <v>42</v>
      </c>
      <c r="J228" t="s">
        <v>43</v>
      </c>
      <c r="K228" t="s">
        <v>52</v>
      </c>
      <c r="L228" t="s">
        <v>38</v>
      </c>
      <c r="M228">
        <v>359</v>
      </c>
      <c r="N228">
        <v>3</v>
      </c>
      <c r="O228">
        <v>0</v>
      </c>
      <c r="P228">
        <v>3</v>
      </c>
      <c r="Q228" t="s">
        <v>31</v>
      </c>
      <c r="R228">
        <v>240</v>
      </c>
      <c r="S228">
        <v>48</v>
      </c>
      <c r="T228" t="s">
        <v>31</v>
      </c>
      <c r="U228" t="s">
        <v>63</v>
      </c>
      <c r="V228">
        <v>2026</v>
      </c>
      <c r="W228">
        <v>2</v>
      </c>
      <c r="X228" t="s">
        <v>1419</v>
      </c>
      <c r="Y228" s="6">
        <v>46054</v>
      </c>
      <c r="Z228" t="s">
        <v>1418</v>
      </c>
      <c r="AA228" t="s">
        <v>31</v>
      </c>
      <c r="AB228" t="s">
        <v>63</v>
      </c>
      <c r="AC228" t="s">
        <v>23</v>
      </c>
      <c r="AD228">
        <v>1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1</v>
      </c>
    </row>
    <row r="229" spans="1:36">
      <c r="A229" t="s">
        <v>333</v>
      </c>
      <c r="B229">
        <v>17.59</v>
      </c>
      <c r="C229" s="7">
        <v>46230.43472222222</v>
      </c>
      <c r="D229" s="7">
        <v>46231.167521435185</v>
      </c>
      <c r="E229" t="s">
        <v>23</v>
      </c>
      <c r="F229" t="s">
        <v>40</v>
      </c>
      <c r="G229" t="s">
        <v>25</v>
      </c>
      <c r="H229" t="s">
        <v>26</v>
      </c>
      <c r="I229" t="s">
        <v>35</v>
      </c>
      <c r="J229" t="s">
        <v>28</v>
      </c>
      <c r="K229" t="s">
        <v>76</v>
      </c>
      <c r="L229" t="s">
        <v>85</v>
      </c>
      <c r="M229">
        <v>28</v>
      </c>
      <c r="N229">
        <v>4</v>
      </c>
      <c r="O229">
        <v>0</v>
      </c>
      <c r="P229">
        <v>6</v>
      </c>
      <c r="Q229" t="s">
        <v>31</v>
      </c>
      <c r="R229">
        <v>30</v>
      </c>
      <c r="S229">
        <v>8</v>
      </c>
      <c r="T229" t="s">
        <v>63</v>
      </c>
      <c r="U229" t="s">
        <v>31</v>
      </c>
      <c r="V229">
        <v>2026</v>
      </c>
      <c r="W229">
        <v>7</v>
      </c>
      <c r="X229" t="s">
        <v>1422</v>
      </c>
      <c r="Y229" s="6">
        <v>46204</v>
      </c>
      <c r="Z229" t="s">
        <v>1413</v>
      </c>
      <c r="AA229" t="s">
        <v>31</v>
      </c>
      <c r="AB229" t="s">
        <v>63</v>
      </c>
      <c r="AC229" t="s">
        <v>23</v>
      </c>
      <c r="AD229">
        <v>1</v>
      </c>
      <c r="AE229">
        <v>0</v>
      </c>
      <c r="AF229">
        <v>1</v>
      </c>
      <c r="AG229">
        <v>0</v>
      </c>
      <c r="AH229">
        <v>0</v>
      </c>
      <c r="AI229">
        <v>1</v>
      </c>
      <c r="AJ229">
        <v>0</v>
      </c>
    </row>
    <row r="230" spans="1:36">
      <c r="A230" t="s">
        <v>334</v>
      </c>
      <c r="B230">
        <v>95.51</v>
      </c>
      <c r="C230" s="7">
        <v>46181.883333333331</v>
      </c>
      <c r="D230" s="7">
        <v>46185.862995393516</v>
      </c>
      <c r="E230" t="s">
        <v>23</v>
      </c>
      <c r="F230" t="s">
        <v>33</v>
      </c>
      <c r="G230" t="s">
        <v>51</v>
      </c>
      <c r="H230" t="s">
        <v>26</v>
      </c>
      <c r="I230" t="s">
        <v>35</v>
      </c>
      <c r="J230" t="s">
        <v>48</v>
      </c>
      <c r="K230" t="s">
        <v>76</v>
      </c>
      <c r="L230" t="s">
        <v>44</v>
      </c>
      <c r="M230">
        <v>516</v>
      </c>
      <c r="N230">
        <v>3</v>
      </c>
      <c r="O230">
        <v>0</v>
      </c>
      <c r="P230">
        <v>2</v>
      </c>
      <c r="Q230" t="s">
        <v>31</v>
      </c>
      <c r="R230">
        <v>240</v>
      </c>
      <c r="S230">
        <v>48</v>
      </c>
      <c r="T230" t="s">
        <v>31</v>
      </c>
      <c r="U230" t="s">
        <v>31</v>
      </c>
      <c r="V230">
        <v>2026</v>
      </c>
      <c r="W230">
        <v>6</v>
      </c>
      <c r="X230" t="s">
        <v>1421</v>
      </c>
      <c r="Y230" s="6">
        <v>46174</v>
      </c>
      <c r="Z230" t="s">
        <v>1418</v>
      </c>
      <c r="AA230" t="s">
        <v>31</v>
      </c>
      <c r="AB230" t="s">
        <v>63</v>
      </c>
      <c r="AC230" t="s">
        <v>23</v>
      </c>
      <c r="AD230">
        <v>1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</row>
    <row r="231" spans="1:36">
      <c r="A231" t="s">
        <v>335</v>
      </c>
      <c r="B231">
        <v>44.93</v>
      </c>
      <c r="C231" s="7">
        <v>46053.900694444441</v>
      </c>
      <c r="D231" s="7">
        <v>46055.772908483799</v>
      </c>
      <c r="E231" t="s">
        <v>23</v>
      </c>
      <c r="F231" t="s">
        <v>50</v>
      </c>
      <c r="G231" t="s">
        <v>65</v>
      </c>
      <c r="H231" t="s">
        <v>34</v>
      </c>
      <c r="I231" t="s">
        <v>35</v>
      </c>
      <c r="J231" t="s">
        <v>48</v>
      </c>
      <c r="K231" t="s">
        <v>58</v>
      </c>
      <c r="L231" t="s">
        <v>38</v>
      </c>
      <c r="M231">
        <v>115</v>
      </c>
      <c r="N231">
        <v>4</v>
      </c>
      <c r="O231">
        <v>0</v>
      </c>
      <c r="P231">
        <v>7</v>
      </c>
      <c r="Q231" t="s">
        <v>31</v>
      </c>
      <c r="R231">
        <v>120</v>
      </c>
      <c r="S231">
        <v>24</v>
      </c>
      <c r="T231" t="s">
        <v>63</v>
      </c>
      <c r="U231" t="s">
        <v>31</v>
      </c>
      <c r="V231">
        <v>2026</v>
      </c>
      <c r="W231">
        <v>1</v>
      </c>
      <c r="X231" t="s">
        <v>1414</v>
      </c>
      <c r="Y231" s="6">
        <v>46023</v>
      </c>
      <c r="Z231" t="s">
        <v>1413</v>
      </c>
      <c r="AA231" t="s">
        <v>31</v>
      </c>
      <c r="AB231" t="s">
        <v>63</v>
      </c>
      <c r="AC231" t="s">
        <v>23</v>
      </c>
      <c r="AD231">
        <v>1</v>
      </c>
      <c r="AE231">
        <v>0</v>
      </c>
      <c r="AF231">
        <v>1</v>
      </c>
      <c r="AG231">
        <v>0</v>
      </c>
      <c r="AH231">
        <v>0</v>
      </c>
      <c r="AI231">
        <v>1</v>
      </c>
      <c r="AJ231">
        <v>0</v>
      </c>
    </row>
    <row r="232" spans="1:36">
      <c r="A232" t="s">
        <v>336</v>
      </c>
      <c r="B232">
        <v>6.92</v>
      </c>
      <c r="C232" s="7">
        <v>46264.667361111111</v>
      </c>
      <c r="D232" s="7">
        <v>46264.955589050929</v>
      </c>
      <c r="E232" t="s">
        <v>23</v>
      </c>
      <c r="F232" t="s">
        <v>40</v>
      </c>
      <c r="G232" t="s">
        <v>65</v>
      </c>
      <c r="H232" t="s">
        <v>75</v>
      </c>
      <c r="I232" t="s">
        <v>35</v>
      </c>
      <c r="J232" t="s">
        <v>48</v>
      </c>
      <c r="K232" t="s">
        <v>29</v>
      </c>
      <c r="L232" t="s">
        <v>55</v>
      </c>
      <c r="M232">
        <v>25</v>
      </c>
      <c r="N232">
        <v>4</v>
      </c>
      <c r="O232">
        <v>1</v>
      </c>
      <c r="P232">
        <v>8</v>
      </c>
      <c r="Q232" t="s">
        <v>31</v>
      </c>
      <c r="R232">
        <v>30</v>
      </c>
      <c r="S232">
        <v>8</v>
      </c>
      <c r="T232" t="s">
        <v>63</v>
      </c>
      <c r="U232" t="s">
        <v>63</v>
      </c>
      <c r="V232">
        <v>2026</v>
      </c>
      <c r="W232">
        <v>8</v>
      </c>
      <c r="X232" t="s">
        <v>1417</v>
      </c>
      <c r="Y232" s="6">
        <v>46235</v>
      </c>
      <c r="Z232" t="s">
        <v>1413</v>
      </c>
      <c r="AA232" t="s">
        <v>63</v>
      </c>
      <c r="AB232" t="s">
        <v>63</v>
      </c>
      <c r="AC232" t="s">
        <v>23</v>
      </c>
      <c r="AD232">
        <v>1</v>
      </c>
      <c r="AE232">
        <v>0</v>
      </c>
      <c r="AF232">
        <v>1</v>
      </c>
      <c r="AG232">
        <v>1</v>
      </c>
      <c r="AH232">
        <v>0</v>
      </c>
      <c r="AI232">
        <v>1</v>
      </c>
      <c r="AJ232">
        <v>1</v>
      </c>
    </row>
    <row r="233" spans="1:36">
      <c r="A233" t="s">
        <v>337</v>
      </c>
      <c r="B233">
        <v>20.18</v>
      </c>
      <c r="C233" s="7">
        <v>46261.769444444442</v>
      </c>
      <c r="D233" s="7">
        <v>46262.610242708331</v>
      </c>
      <c r="E233" t="s">
        <v>23</v>
      </c>
      <c r="F233" t="s">
        <v>50</v>
      </c>
      <c r="G233" t="s">
        <v>51</v>
      </c>
      <c r="H233" t="s">
        <v>75</v>
      </c>
      <c r="I233" t="s">
        <v>42</v>
      </c>
      <c r="J233" t="s">
        <v>36</v>
      </c>
      <c r="K233" t="s">
        <v>67</v>
      </c>
      <c r="L233" t="s">
        <v>55</v>
      </c>
      <c r="M233">
        <v>219</v>
      </c>
      <c r="N233">
        <v>4</v>
      </c>
      <c r="O233">
        <v>0</v>
      </c>
      <c r="P233">
        <v>2</v>
      </c>
      <c r="Q233" t="s">
        <v>31</v>
      </c>
      <c r="R233">
        <v>120</v>
      </c>
      <c r="S233">
        <v>24</v>
      </c>
      <c r="T233" t="s">
        <v>31</v>
      </c>
      <c r="U233" t="s">
        <v>63</v>
      </c>
      <c r="V233">
        <v>2026</v>
      </c>
      <c r="W233">
        <v>8</v>
      </c>
      <c r="X233" t="s">
        <v>1417</v>
      </c>
      <c r="Y233" s="6">
        <v>46235</v>
      </c>
      <c r="Z233" t="s">
        <v>1413</v>
      </c>
      <c r="AA233" t="s">
        <v>31</v>
      </c>
      <c r="AB233" t="s">
        <v>63</v>
      </c>
      <c r="AC233" t="s">
        <v>23</v>
      </c>
      <c r="AD233">
        <v>1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1</v>
      </c>
    </row>
    <row r="234" spans="1:36">
      <c r="A234" t="s">
        <v>338</v>
      </c>
      <c r="B234">
        <v>8.34</v>
      </c>
      <c r="C234" s="7">
        <v>46047.242361111108</v>
      </c>
      <c r="D234" s="7">
        <v>46047.589963206017</v>
      </c>
      <c r="E234" t="s">
        <v>23</v>
      </c>
      <c r="F234" t="s">
        <v>40</v>
      </c>
      <c r="G234" t="s">
        <v>51</v>
      </c>
      <c r="H234" t="s">
        <v>26</v>
      </c>
      <c r="I234" t="s">
        <v>35</v>
      </c>
      <c r="J234" t="s">
        <v>48</v>
      </c>
      <c r="K234" t="s">
        <v>52</v>
      </c>
      <c r="L234" t="s">
        <v>71</v>
      </c>
      <c r="M234">
        <v>29</v>
      </c>
      <c r="N234">
        <v>4</v>
      </c>
      <c r="O234">
        <v>0</v>
      </c>
      <c r="P234">
        <v>5</v>
      </c>
      <c r="Q234" t="s">
        <v>31</v>
      </c>
      <c r="R234">
        <v>30</v>
      </c>
      <c r="S234">
        <v>8</v>
      </c>
      <c r="T234" t="s">
        <v>63</v>
      </c>
      <c r="U234" t="s">
        <v>31</v>
      </c>
      <c r="V234">
        <v>2026</v>
      </c>
      <c r="W234">
        <v>1</v>
      </c>
      <c r="X234" t="s">
        <v>1414</v>
      </c>
      <c r="Y234" s="6">
        <v>46023</v>
      </c>
      <c r="Z234" t="s">
        <v>1413</v>
      </c>
      <c r="AA234" t="s">
        <v>31</v>
      </c>
      <c r="AB234" t="s">
        <v>63</v>
      </c>
      <c r="AC234" t="s">
        <v>23</v>
      </c>
      <c r="AD234">
        <v>1</v>
      </c>
      <c r="AE234">
        <v>0</v>
      </c>
      <c r="AF234">
        <v>1</v>
      </c>
      <c r="AG234">
        <v>0</v>
      </c>
      <c r="AH234">
        <v>0</v>
      </c>
      <c r="AI234">
        <v>1</v>
      </c>
      <c r="AJ234">
        <v>0</v>
      </c>
    </row>
    <row r="235" spans="1:36">
      <c r="A235" t="s">
        <v>339</v>
      </c>
      <c r="C235" s="7">
        <v>46079.55972222222</v>
      </c>
      <c r="D235" s="7"/>
      <c r="E235" t="s">
        <v>74</v>
      </c>
      <c r="F235" t="s">
        <v>40</v>
      </c>
      <c r="G235" t="s">
        <v>41</v>
      </c>
      <c r="H235" t="s">
        <v>26</v>
      </c>
      <c r="I235" t="s">
        <v>42</v>
      </c>
      <c r="J235" t="s">
        <v>48</v>
      </c>
      <c r="K235" t="s">
        <v>58</v>
      </c>
      <c r="L235" t="s">
        <v>55</v>
      </c>
      <c r="M235">
        <v>40</v>
      </c>
      <c r="O235">
        <v>0</v>
      </c>
      <c r="P235">
        <v>2</v>
      </c>
      <c r="Q235" t="s">
        <v>31</v>
      </c>
      <c r="R235">
        <v>30</v>
      </c>
      <c r="S235">
        <v>8</v>
      </c>
      <c r="T235" t="s">
        <v>31</v>
      </c>
      <c r="U235" t="s">
        <v>74</v>
      </c>
      <c r="V235">
        <v>2026</v>
      </c>
      <c r="W235">
        <v>2</v>
      </c>
      <c r="X235" t="s">
        <v>1419</v>
      </c>
      <c r="Y235" s="6">
        <v>46054</v>
      </c>
      <c r="Z235" t="s">
        <v>1420</v>
      </c>
      <c r="AA235" t="s">
        <v>31</v>
      </c>
      <c r="AB235" t="s">
        <v>31</v>
      </c>
      <c r="AC235" t="s">
        <v>74</v>
      </c>
      <c r="AD235">
        <v>1</v>
      </c>
      <c r="AE235">
        <v>1</v>
      </c>
      <c r="AF235">
        <v>0</v>
      </c>
      <c r="AG235">
        <v>0</v>
      </c>
      <c r="AH235">
        <v>0</v>
      </c>
      <c r="AI235">
        <v>0</v>
      </c>
    </row>
    <row r="236" spans="1:36">
      <c r="A236" t="s">
        <v>341</v>
      </c>
      <c r="B236">
        <v>26.65</v>
      </c>
      <c r="C236" s="7">
        <v>46121.615972222222</v>
      </c>
      <c r="D236" s="7">
        <v>46122.726489305554</v>
      </c>
      <c r="E236" t="s">
        <v>23</v>
      </c>
      <c r="F236" t="s">
        <v>50</v>
      </c>
      <c r="G236" t="s">
        <v>41</v>
      </c>
      <c r="H236" t="s">
        <v>26</v>
      </c>
      <c r="I236" t="s">
        <v>27</v>
      </c>
      <c r="J236" t="s">
        <v>48</v>
      </c>
      <c r="K236" t="s">
        <v>67</v>
      </c>
      <c r="L236" t="s">
        <v>62</v>
      </c>
      <c r="M236">
        <v>173</v>
      </c>
      <c r="N236">
        <v>4</v>
      </c>
      <c r="O236">
        <v>0</v>
      </c>
      <c r="P236">
        <v>6</v>
      </c>
      <c r="Q236" t="s">
        <v>31</v>
      </c>
      <c r="R236">
        <v>120</v>
      </c>
      <c r="S236">
        <v>24</v>
      </c>
      <c r="T236" t="s">
        <v>31</v>
      </c>
      <c r="U236" t="s">
        <v>31</v>
      </c>
      <c r="V236">
        <v>2026</v>
      </c>
      <c r="W236">
        <v>4</v>
      </c>
      <c r="X236" t="s">
        <v>1412</v>
      </c>
      <c r="Y236" s="6">
        <v>46113</v>
      </c>
      <c r="Z236" t="s">
        <v>1413</v>
      </c>
      <c r="AA236" t="s">
        <v>31</v>
      </c>
      <c r="AB236" t="s">
        <v>63</v>
      </c>
      <c r="AC236" t="s">
        <v>23</v>
      </c>
      <c r="AD236">
        <v>1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</row>
    <row r="237" spans="1:36">
      <c r="A237" t="s">
        <v>342</v>
      </c>
      <c r="B237">
        <v>15.51</v>
      </c>
      <c r="C237" s="7">
        <v>46088.036111111112</v>
      </c>
      <c r="D237" s="7">
        <v>46088.682340127314</v>
      </c>
      <c r="E237" t="s">
        <v>23</v>
      </c>
      <c r="F237" t="s">
        <v>40</v>
      </c>
      <c r="G237" t="s">
        <v>25</v>
      </c>
      <c r="H237" t="s">
        <v>26</v>
      </c>
      <c r="I237" t="s">
        <v>27</v>
      </c>
      <c r="J237" t="s">
        <v>28</v>
      </c>
      <c r="K237" t="s">
        <v>37</v>
      </c>
      <c r="L237" t="s">
        <v>101</v>
      </c>
      <c r="M237">
        <v>41</v>
      </c>
      <c r="N237">
        <v>4</v>
      </c>
      <c r="O237">
        <v>0</v>
      </c>
      <c r="P237">
        <v>7</v>
      </c>
      <c r="Q237" t="s">
        <v>31</v>
      </c>
      <c r="R237">
        <v>30</v>
      </c>
      <c r="S237">
        <v>8</v>
      </c>
      <c r="T237" t="s">
        <v>31</v>
      </c>
      <c r="U237" t="s">
        <v>31</v>
      </c>
      <c r="V237">
        <v>2026</v>
      </c>
      <c r="W237">
        <v>3</v>
      </c>
      <c r="X237" t="s">
        <v>1423</v>
      </c>
      <c r="Y237" s="6">
        <v>46082</v>
      </c>
      <c r="Z237" t="s">
        <v>1413</v>
      </c>
      <c r="AA237" t="s">
        <v>31</v>
      </c>
      <c r="AB237" t="s">
        <v>63</v>
      </c>
      <c r="AC237" t="s">
        <v>23</v>
      </c>
      <c r="AD237">
        <v>1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</row>
    <row r="238" spans="1:36">
      <c r="A238" t="s">
        <v>343</v>
      </c>
      <c r="B238">
        <v>11.95</v>
      </c>
      <c r="C238" s="7">
        <v>46147.00277777778</v>
      </c>
      <c r="D238" s="7">
        <v>46147.500668078705</v>
      </c>
      <c r="E238" t="s">
        <v>23</v>
      </c>
      <c r="F238" t="s">
        <v>40</v>
      </c>
      <c r="G238" t="s">
        <v>65</v>
      </c>
      <c r="H238" t="s">
        <v>26</v>
      </c>
      <c r="I238" t="s">
        <v>35</v>
      </c>
      <c r="J238" t="s">
        <v>43</v>
      </c>
      <c r="K238" t="s">
        <v>37</v>
      </c>
      <c r="L238" t="s">
        <v>55</v>
      </c>
      <c r="M238">
        <v>38</v>
      </c>
      <c r="N238">
        <v>4</v>
      </c>
      <c r="O238">
        <v>0</v>
      </c>
      <c r="P238">
        <v>5</v>
      </c>
      <c r="Q238" t="s">
        <v>31</v>
      </c>
      <c r="R238">
        <v>30</v>
      </c>
      <c r="S238">
        <v>8</v>
      </c>
      <c r="T238" t="s">
        <v>31</v>
      </c>
      <c r="U238" t="s">
        <v>31</v>
      </c>
      <c r="V238">
        <v>2026</v>
      </c>
      <c r="W238">
        <v>5</v>
      </c>
      <c r="X238" t="s">
        <v>1416</v>
      </c>
      <c r="Y238" s="6">
        <v>46143</v>
      </c>
      <c r="Z238" t="s">
        <v>1413</v>
      </c>
      <c r="AA238" t="s">
        <v>31</v>
      </c>
      <c r="AB238" t="s">
        <v>63</v>
      </c>
      <c r="AC238" t="s">
        <v>23</v>
      </c>
      <c r="AD238">
        <v>1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</row>
    <row r="239" spans="1:36">
      <c r="A239" t="s">
        <v>344</v>
      </c>
      <c r="B239">
        <v>26.43</v>
      </c>
      <c r="C239" s="7">
        <v>46137.42083333333</v>
      </c>
      <c r="D239" s="7">
        <v>46138.521894143516</v>
      </c>
      <c r="E239" t="s">
        <v>23</v>
      </c>
      <c r="F239" t="s">
        <v>50</v>
      </c>
      <c r="G239" t="s">
        <v>51</v>
      </c>
      <c r="H239" t="s">
        <v>66</v>
      </c>
      <c r="I239" t="s">
        <v>35</v>
      </c>
      <c r="J239" t="s">
        <v>48</v>
      </c>
      <c r="K239" t="s">
        <v>37</v>
      </c>
      <c r="L239" t="s">
        <v>62</v>
      </c>
      <c r="M239">
        <v>123</v>
      </c>
      <c r="N239">
        <v>4</v>
      </c>
      <c r="O239">
        <v>1</v>
      </c>
      <c r="P239">
        <v>10</v>
      </c>
      <c r="Q239" t="s">
        <v>31</v>
      </c>
      <c r="R239">
        <v>120</v>
      </c>
      <c r="S239">
        <v>24</v>
      </c>
      <c r="T239" t="s">
        <v>31</v>
      </c>
      <c r="U239" t="s">
        <v>31</v>
      </c>
      <c r="V239">
        <v>2026</v>
      </c>
      <c r="W239">
        <v>4</v>
      </c>
      <c r="X239" t="s">
        <v>1412</v>
      </c>
      <c r="Y239" s="6">
        <v>46113</v>
      </c>
      <c r="Z239" t="s">
        <v>1413</v>
      </c>
      <c r="AA239" t="s">
        <v>63</v>
      </c>
      <c r="AB239" t="s">
        <v>63</v>
      </c>
      <c r="AC239" t="s">
        <v>23</v>
      </c>
      <c r="AD239">
        <v>1</v>
      </c>
      <c r="AE239">
        <v>0</v>
      </c>
      <c r="AF239">
        <v>1</v>
      </c>
      <c r="AG239">
        <v>1</v>
      </c>
      <c r="AH239">
        <v>0</v>
      </c>
      <c r="AI239">
        <v>0</v>
      </c>
      <c r="AJ239">
        <v>0</v>
      </c>
    </row>
    <row r="240" spans="1:36">
      <c r="A240" t="s">
        <v>345</v>
      </c>
      <c r="B240">
        <v>56.5</v>
      </c>
      <c r="C240" s="7">
        <v>46231.304166666669</v>
      </c>
      <c r="D240" s="7">
        <v>46233.658265115744</v>
      </c>
      <c r="E240" t="s">
        <v>23</v>
      </c>
      <c r="F240" t="s">
        <v>33</v>
      </c>
      <c r="G240" t="s">
        <v>65</v>
      </c>
      <c r="H240" t="s">
        <v>75</v>
      </c>
      <c r="I240" t="s">
        <v>42</v>
      </c>
      <c r="J240" t="s">
        <v>43</v>
      </c>
      <c r="K240" t="s">
        <v>58</v>
      </c>
      <c r="L240" t="s">
        <v>93</v>
      </c>
      <c r="M240">
        <v>167</v>
      </c>
      <c r="N240">
        <v>3</v>
      </c>
      <c r="O240">
        <v>0</v>
      </c>
      <c r="P240">
        <v>3</v>
      </c>
      <c r="Q240" t="s">
        <v>31</v>
      </c>
      <c r="R240">
        <v>240</v>
      </c>
      <c r="S240">
        <v>48</v>
      </c>
      <c r="T240" t="s">
        <v>63</v>
      </c>
      <c r="U240" t="s">
        <v>31</v>
      </c>
      <c r="V240">
        <v>2026</v>
      </c>
      <c r="W240">
        <v>7</v>
      </c>
      <c r="X240" t="s">
        <v>1422</v>
      </c>
      <c r="Y240" s="6">
        <v>46204</v>
      </c>
      <c r="Z240" t="s">
        <v>1418</v>
      </c>
      <c r="AA240" t="s">
        <v>31</v>
      </c>
      <c r="AB240" t="s">
        <v>63</v>
      </c>
      <c r="AC240" t="s">
        <v>23</v>
      </c>
      <c r="AD240">
        <v>1</v>
      </c>
      <c r="AE240">
        <v>0</v>
      </c>
      <c r="AF240">
        <v>1</v>
      </c>
      <c r="AG240">
        <v>0</v>
      </c>
      <c r="AH240">
        <v>0</v>
      </c>
      <c r="AI240">
        <v>1</v>
      </c>
      <c r="AJ240">
        <v>0</v>
      </c>
    </row>
    <row r="241" spans="1:36">
      <c r="A241" t="s">
        <v>346</v>
      </c>
      <c r="B241">
        <v>36.369999999999997</v>
      </c>
      <c r="C241" s="7">
        <v>46164.46597222222</v>
      </c>
      <c r="D241" s="7">
        <v>46165.981235578707</v>
      </c>
      <c r="E241" t="s">
        <v>23</v>
      </c>
      <c r="F241" t="s">
        <v>33</v>
      </c>
      <c r="G241" t="s">
        <v>41</v>
      </c>
      <c r="H241" t="s">
        <v>54</v>
      </c>
      <c r="I241" t="s">
        <v>42</v>
      </c>
      <c r="J241" t="s">
        <v>48</v>
      </c>
      <c r="K241" t="s">
        <v>52</v>
      </c>
      <c r="L241" t="s">
        <v>71</v>
      </c>
      <c r="M241">
        <v>251</v>
      </c>
      <c r="N241">
        <v>4</v>
      </c>
      <c r="O241">
        <v>0</v>
      </c>
      <c r="P241">
        <v>3</v>
      </c>
      <c r="Q241" t="s">
        <v>31</v>
      </c>
      <c r="R241">
        <v>240</v>
      </c>
      <c r="S241">
        <v>48</v>
      </c>
      <c r="T241" t="s">
        <v>31</v>
      </c>
      <c r="U241" t="s">
        <v>63</v>
      </c>
      <c r="V241">
        <v>2026</v>
      </c>
      <c r="W241">
        <v>5</v>
      </c>
      <c r="X241" t="s">
        <v>1416</v>
      </c>
      <c r="Y241" s="6">
        <v>46143</v>
      </c>
      <c r="Z241" t="s">
        <v>1413</v>
      </c>
      <c r="AA241" t="s">
        <v>31</v>
      </c>
      <c r="AB241" t="s">
        <v>63</v>
      </c>
      <c r="AC241" t="s">
        <v>23</v>
      </c>
      <c r="AD241">
        <v>1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1</v>
      </c>
    </row>
    <row r="242" spans="1:36">
      <c r="A242" t="s">
        <v>347</v>
      </c>
      <c r="B242">
        <v>25</v>
      </c>
      <c r="C242" s="7">
        <v>46085.666666666664</v>
      </c>
      <c r="D242" s="7">
        <v>46086.708391099535</v>
      </c>
      <c r="E242" t="s">
        <v>23</v>
      </c>
      <c r="F242" t="s">
        <v>50</v>
      </c>
      <c r="G242" t="s">
        <v>25</v>
      </c>
      <c r="H242" t="s">
        <v>34</v>
      </c>
      <c r="I242" t="s">
        <v>35</v>
      </c>
      <c r="J242" t="s">
        <v>43</v>
      </c>
      <c r="K242" t="s">
        <v>37</v>
      </c>
      <c r="L242" t="s">
        <v>71</v>
      </c>
      <c r="M242">
        <v>61</v>
      </c>
      <c r="N242">
        <v>4</v>
      </c>
      <c r="O242">
        <v>0</v>
      </c>
      <c r="P242">
        <v>2</v>
      </c>
      <c r="Q242" t="s">
        <v>31</v>
      </c>
      <c r="R242">
        <v>120</v>
      </c>
      <c r="S242">
        <v>24</v>
      </c>
      <c r="T242" t="s">
        <v>63</v>
      </c>
      <c r="U242" t="s">
        <v>31</v>
      </c>
      <c r="V242">
        <v>2026</v>
      </c>
      <c r="W242">
        <v>3</v>
      </c>
      <c r="X242" t="s">
        <v>1423</v>
      </c>
      <c r="Y242" s="6">
        <v>46082</v>
      </c>
      <c r="Z242" t="s">
        <v>1413</v>
      </c>
      <c r="AA242" t="s">
        <v>31</v>
      </c>
      <c r="AB242" t="s">
        <v>63</v>
      </c>
      <c r="AC242" t="s">
        <v>23</v>
      </c>
      <c r="AD242">
        <v>1</v>
      </c>
      <c r="AE242">
        <v>0</v>
      </c>
      <c r="AF242">
        <v>1</v>
      </c>
      <c r="AG242">
        <v>0</v>
      </c>
      <c r="AH242">
        <v>0</v>
      </c>
      <c r="AI242">
        <v>1</v>
      </c>
      <c r="AJ242">
        <v>0</v>
      </c>
    </row>
    <row r="243" spans="1:36">
      <c r="A243" t="s">
        <v>348</v>
      </c>
      <c r="B243">
        <v>17.54</v>
      </c>
      <c r="C243" s="7">
        <v>46113.484722222223</v>
      </c>
      <c r="D243" s="7">
        <v>46114.215670937498</v>
      </c>
      <c r="E243" t="s">
        <v>23</v>
      </c>
      <c r="F243" t="s">
        <v>33</v>
      </c>
      <c r="G243" t="s">
        <v>25</v>
      </c>
      <c r="H243" t="s">
        <v>34</v>
      </c>
      <c r="I243" t="s">
        <v>42</v>
      </c>
      <c r="J243" t="s">
        <v>43</v>
      </c>
      <c r="K243" t="s">
        <v>29</v>
      </c>
      <c r="L243" t="s">
        <v>62</v>
      </c>
      <c r="M243">
        <v>449</v>
      </c>
      <c r="N243">
        <v>3</v>
      </c>
      <c r="O243">
        <v>1</v>
      </c>
      <c r="P243">
        <v>4</v>
      </c>
      <c r="Q243" t="s">
        <v>31</v>
      </c>
      <c r="R243">
        <v>240</v>
      </c>
      <c r="S243">
        <v>48</v>
      </c>
      <c r="T243" t="s">
        <v>31</v>
      </c>
      <c r="U243" t="s">
        <v>63</v>
      </c>
      <c r="V243">
        <v>2026</v>
      </c>
      <c r="W243">
        <v>4</v>
      </c>
      <c r="X243" t="s">
        <v>1412</v>
      </c>
      <c r="Y243" s="6">
        <v>46113</v>
      </c>
      <c r="Z243" t="s">
        <v>1418</v>
      </c>
      <c r="AA243" t="s">
        <v>63</v>
      </c>
      <c r="AB243" t="s">
        <v>63</v>
      </c>
      <c r="AC243" t="s">
        <v>23</v>
      </c>
      <c r="AD243">
        <v>1</v>
      </c>
      <c r="AE243">
        <v>0</v>
      </c>
      <c r="AF243">
        <v>1</v>
      </c>
      <c r="AG243">
        <v>1</v>
      </c>
      <c r="AH243">
        <v>0</v>
      </c>
      <c r="AI243">
        <v>0</v>
      </c>
      <c r="AJ243">
        <v>1</v>
      </c>
    </row>
    <row r="244" spans="1:36">
      <c r="A244" t="s">
        <v>349</v>
      </c>
      <c r="B244">
        <v>19.36</v>
      </c>
      <c r="C244" s="7">
        <v>46228.503472222219</v>
      </c>
      <c r="D244" s="7">
        <v>46229.310318611111</v>
      </c>
      <c r="E244" t="s">
        <v>23</v>
      </c>
      <c r="F244" t="s">
        <v>40</v>
      </c>
      <c r="G244" t="s">
        <v>41</v>
      </c>
      <c r="H244" t="s">
        <v>26</v>
      </c>
      <c r="I244" t="s">
        <v>42</v>
      </c>
      <c r="J244" t="s">
        <v>36</v>
      </c>
      <c r="K244" t="s">
        <v>58</v>
      </c>
      <c r="L244" t="s">
        <v>68</v>
      </c>
      <c r="M244">
        <v>58</v>
      </c>
      <c r="N244">
        <v>4</v>
      </c>
      <c r="O244">
        <v>1</v>
      </c>
      <c r="P244">
        <v>7</v>
      </c>
      <c r="Q244" t="s">
        <v>31</v>
      </c>
      <c r="R244">
        <v>30</v>
      </c>
      <c r="S244">
        <v>8</v>
      </c>
      <c r="T244" t="s">
        <v>31</v>
      </c>
      <c r="U244" t="s">
        <v>31</v>
      </c>
      <c r="V244">
        <v>2026</v>
      </c>
      <c r="W244">
        <v>7</v>
      </c>
      <c r="X244" t="s">
        <v>1422</v>
      </c>
      <c r="Y244" s="6">
        <v>46204</v>
      </c>
      <c r="Z244" t="s">
        <v>1413</v>
      </c>
      <c r="AA244" t="s">
        <v>63</v>
      </c>
      <c r="AB244" t="s">
        <v>63</v>
      </c>
      <c r="AC244" t="s">
        <v>23</v>
      </c>
      <c r="AD244">
        <v>1</v>
      </c>
      <c r="AE244">
        <v>0</v>
      </c>
      <c r="AF244">
        <v>1</v>
      </c>
      <c r="AG244">
        <v>1</v>
      </c>
      <c r="AH244">
        <v>0</v>
      </c>
      <c r="AI244">
        <v>0</v>
      </c>
      <c r="AJ244">
        <v>0</v>
      </c>
    </row>
    <row r="245" spans="1:36">
      <c r="A245" t="s">
        <v>350</v>
      </c>
      <c r="B245">
        <v>48.18</v>
      </c>
      <c r="C245" s="7">
        <v>46027.536805555559</v>
      </c>
      <c r="D245" s="7">
        <v>46029.544443460647</v>
      </c>
      <c r="E245" t="s">
        <v>23</v>
      </c>
      <c r="F245" t="s">
        <v>33</v>
      </c>
      <c r="G245" t="s">
        <v>25</v>
      </c>
      <c r="H245" t="s">
        <v>54</v>
      </c>
      <c r="I245" t="s">
        <v>35</v>
      </c>
      <c r="J245" t="s">
        <v>36</v>
      </c>
      <c r="K245" t="s">
        <v>67</v>
      </c>
      <c r="L245" t="s">
        <v>71</v>
      </c>
      <c r="M245">
        <v>231</v>
      </c>
      <c r="N245">
        <v>3</v>
      </c>
      <c r="O245">
        <v>0</v>
      </c>
      <c r="P245">
        <v>5</v>
      </c>
      <c r="Q245" t="s">
        <v>31</v>
      </c>
      <c r="R245">
        <v>240</v>
      </c>
      <c r="S245">
        <v>48</v>
      </c>
      <c r="T245" t="s">
        <v>63</v>
      </c>
      <c r="U245" t="s">
        <v>31</v>
      </c>
      <c r="V245">
        <v>2026</v>
      </c>
      <c r="W245">
        <v>1</v>
      </c>
      <c r="X245" t="s">
        <v>1414</v>
      </c>
      <c r="Y245" s="6">
        <v>46023</v>
      </c>
      <c r="Z245" t="s">
        <v>1418</v>
      </c>
      <c r="AA245" t="s">
        <v>31</v>
      </c>
      <c r="AB245" t="s">
        <v>63</v>
      </c>
      <c r="AC245" t="s">
        <v>23</v>
      </c>
      <c r="AD245">
        <v>1</v>
      </c>
      <c r="AE245">
        <v>0</v>
      </c>
      <c r="AF245">
        <v>1</v>
      </c>
      <c r="AG245">
        <v>0</v>
      </c>
      <c r="AH245">
        <v>0</v>
      </c>
      <c r="AI245">
        <v>1</v>
      </c>
      <c r="AJ245">
        <v>0</v>
      </c>
    </row>
    <row r="246" spans="1:36">
      <c r="A246" t="s">
        <v>351</v>
      </c>
      <c r="B246">
        <v>12.96</v>
      </c>
      <c r="C246" s="7">
        <v>46203.527777777781</v>
      </c>
      <c r="D246" s="7">
        <v>46204.067843784724</v>
      </c>
      <c r="E246" t="s">
        <v>23</v>
      </c>
      <c r="F246" t="s">
        <v>40</v>
      </c>
      <c r="G246" t="s">
        <v>25</v>
      </c>
      <c r="H246" t="s">
        <v>34</v>
      </c>
      <c r="I246" t="s">
        <v>27</v>
      </c>
      <c r="J246" t="s">
        <v>36</v>
      </c>
      <c r="K246" t="s">
        <v>76</v>
      </c>
      <c r="L246" t="s">
        <v>38</v>
      </c>
      <c r="M246">
        <v>49</v>
      </c>
      <c r="N246">
        <v>5</v>
      </c>
      <c r="O246">
        <v>0</v>
      </c>
      <c r="P246">
        <v>6</v>
      </c>
      <c r="Q246" t="s">
        <v>31</v>
      </c>
      <c r="R246">
        <v>30</v>
      </c>
      <c r="S246">
        <v>8</v>
      </c>
      <c r="T246" t="s">
        <v>31</v>
      </c>
      <c r="U246" t="s">
        <v>31</v>
      </c>
      <c r="V246">
        <v>2026</v>
      </c>
      <c r="W246">
        <v>6</v>
      </c>
      <c r="X246" t="s">
        <v>1421</v>
      </c>
      <c r="Y246" s="6">
        <v>46174</v>
      </c>
      <c r="Z246" t="s">
        <v>1413</v>
      </c>
      <c r="AA246" t="s">
        <v>31</v>
      </c>
      <c r="AB246" t="s">
        <v>63</v>
      </c>
      <c r="AC246" t="s">
        <v>23</v>
      </c>
      <c r="AD246">
        <v>1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</row>
    <row r="247" spans="1:36">
      <c r="A247" t="s">
        <v>352</v>
      </c>
      <c r="B247">
        <v>29.69</v>
      </c>
      <c r="C247" s="7">
        <v>46171.722916666666</v>
      </c>
      <c r="D247" s="7">
        <v>46172.959933171296</v>
      </c>
      <c r="E247" t="s">
        <v>23</v>
      </c>
      <c r="F247" t="s">
        <v>33</v>
      </c>
      <c r="G247" t="s">
        <v>51</v>
      </c>
      <c r="H247" t="s">
        <v>26</v>
      </c>
      <c r="I247" t="s">
        <v>42</v>
      </c>
      <c r="J247" t="s">
        <v>43</v>
      </c>
      <c r="K247" t="s">
        <v>37</v>
      </c>
      <c r="L247" t="s">
        <v>85</v>
      </c>
      <c r="M247">
        <v>229</v>
      </c>
      <c r="N247">
        <v>4</v>
      </c>
      <c r="O247">
        <v>0</v>
      </c>
      <c r="P247">
        <v>6</v>
      </c>
      <c r="Q247" t="s">
        <v>31</v>
      </c>
      <c r="R247">
        <v>240</v>
      </c>
      <c r="S247">
        <v>48</v>
      </c>
      <c r="T247" t="s">
        <v>63</v>
      </c>
      <c r="U247" t="s">
        <v>63</v>
      </c>
      <c r="V247">
        <v>2026</v>
      </c>
      <c r="W247">
        <v>5</v>
      </c>
      <c r="X247" t="s">
        <v>1416</v>
      </c>
      <c r="Y247" s="6">
        <v>46143</v>
      </c>
      <c r="Z247" t="s">
        <v>1413</v>
      </c>
      <c r="AA247" t="s">
        <v>31</v>
      </c>
      <c r="AB247" t="s">
        <v>63</v>
      </c>
      <c r="AC247" t="s">
        <v>23</v>
      </c>
      <c r="AD247">
        <v>1</v>
      </c>
      <c r="AE247">
        <v>0</v>
      </c>
      <c r="AF247">
        <v>1</v>
      </c>
      <c r="AG247">
        <v>0</v>
      </c>
      <c r="AH247">
        <v>0</v>
      </c>
      <c r="AI247">
        <v>1</v>
      </c>
      <c r="AJ247">
        <v>1</v>
      </c>
    </row>
    <row r="248" spans="1:36">
      <c r="A248" t="s">
        <v>353</v>
      </c>
      <c r="B248">
        <v>65.78</v>
      </c>
      <c r="C248" s="7">
        <v>46204.261111111111</v>
      </c>
      <c r="D248" s="7">
        <v>46207.002091828705</v>
      </c>
      <c r="E248" t="s">
        <v>23</v>
      </c>
      <c r="F248" t="s">
        <v>33</v>
      </c>
      <c r="G248" t="s">
        <v>51</v>
      </c>
      <c r="H248" t="s">
        <v>26</v>
      </c>
      <c r="I248" t="s">
        <v>42</v>
      </c>
      <c r="J248" t="s">
        <v>43</v>
      </c>
      <c r="K248" t="s">
        <v>37</v>
      </c>
      <c r="L248" t="s">
        <v>30</v>
      </c>
      <c r="M248">
        <v>123</v>
      </c>
      <c r="N248">
        <v>3</v>
      </c>
      <c r="O248">
        <v>0</v>
      </c>
      <c r="P248">
        <v>3</v>
      </c>
      <c r="Q248" t="s">
        <v>31</v>
      </c>
      <c r="R248">
        <v>240</v>
      </c>
      <c r="S248">
        <v>48</v>
      </c>
      <c r="T248" t="s">
        <v>63</v>
      </c>
      <c r="U248" t="s">
        <v>31</v>
      </c>
      <c r="V248">
        <v>2026</v>
      </c>
      <c r="W248">
        <v>7</v>
      </c>
      <c r="X248" t="s">
        <v>1422</v>
      </c>
      <c r="Y248" s="6">
        <v>46204</v>
      </c>
      <c r="Z248" t="s">
        <v>1418</v>
      </c>
      <c r="AA248" t="s">
        <v>31</v>
      </c>
      <c r="AB248" t="s">
        <v>63</v>
      </c>
      <c r="AC248" t="s">
        <v>23</v>
      </c>
      <c r="AD248">
        <v>1</v>
      </c>
      <c r="AE248">
        <v>0</v>
      </c>
      <c r="AF248">
        <v>1</v>
      </c>
      <c r="AG248">
        <v>0</v>
      </c>
      <c r="AH248">
        <v>0</v>
      </c>
      <c r="AI248">
        <v>1</v>
      </c>
      <c r="AJ248">
        <v>0</v>
      </c>
    </row>
    <row r="249" spans="1:36">
      <c r="A249" t="s">
        <v>354</v>
      </c>
      <c r="B249">
        <v>9.1999999999999993</v>
      </c>
      <c r="C249" s="7">
        <v>46177.847222222219</v>
      </c>
      <c r="D249" s="7">
        <v>46178.230448634262</v>
      </c>
      <c r="E249" t="s">
        <v>23</v>
      </c>
      <c r="F249" t="s">
        <v>40</v>
      </c>
      <c r="G249" t="s">
        <v>51</v>
      </c>
      <c r="H249" t="s">
        <v>34</v>
      </c>
      <c r="I249" t="s">
        <v>27</v>
      </c>
      <c r="J249" t="s">
        <v>28</v>
      </c>
      <c r="K249" t="s">
        <v>37</v>
      </c>
      <c r="L249" t="s">
        <v>38</v>
      </c>
      <c r="M249">
        <v>23</v>
      </c>
      <c r="N249">
        <v>4</v>
      </c>
      <c r="O249">
        <v>1</v>
      </c>
      <c r="P249">
        <v>5</v>
      </c>
      <c r="Q249" t="s">
        <v>31</v>
      </c>
      <c r="R249">
        <v>30</v>
      </c>
      <c r="S249">
        <v>8</v>
      </c>
      <c r="T249" t="s">
        <v>63</v>
      </c>
      <c r="U249" t="s">
        <v>31</v>
      </c>
      <c r="V249">
        <v>2026</v>
      </c>
      <c r="W249">
        <v>6</v>
      </c>
      <c r="X249" t="s">
        <v>1421</v>
      </c>
      <c r="Y249" s="6">
        <v>46174</v>
      </c>
      <c r="Z249" t="s">
        <v>1413</v>
      </c>
      <c r="AA249" t="s">
        <v>63</v>
      </c>
      <c r="AB249" t="s">
        <v>63</v>
      </c>
      <c r="AC249" t="s">
        <v>23</v>
      </c>
      <c r="AD249">
        <v>1</v>
      </c>
      <c r="AE249">
        <v>0</v>
      </c>
      <c r="AF249">
        <v>1</v>
      </c>
      <c r="AG249">
        <v>1</v>
      </c>
      <c r="AH249">
        <v>0</v>
      </c>
      <c r="AI249">
        <v>1</v>
      </c>
      <c r="AJ249">
        <v>0</v>
      </c>
    </row>
    <row r="250" spans="1:36">
      <c r="A250" t="s">
        <v>355</v>
      </c>
      <c r="B250">
        <v>28.41</v>
      </c>
      <c r="C250" s="7">
        <v>46028.224305555559</v>
      </c>
      <c r="D250" s="7">
        <v>46029.407885312503</v>
      </c>
      <c r="E250" t="s">
        <v>23</v>
      </c>
      <c r="F250" t="s">
        <v>40</v>
      </c>
      <c r="G250" t="s">
        <v>51</v>
      </c>
      <c r="H250" t="s">
        <v>54</v>
      </c>
      <c r="I250" t="s">
        <v>42</v>
      </c>
      <c r="J250" t="s">
        <v>43</v>
      </c>
      <c r="K250" t="s">
        <v>67</v>
      </c>
      <c r="L250" t="s">
        <v>44</v>
      </c>
      <c r="M250">
        <v>33</v>
      </c>
      <c r="N250">
        <v>4</v>
      </c>
      <c r="O250">
        <v>0</v>
      </c>
      <c r="P250">
        <v>9</v>
      </c>
      <c r="Q250" t="s">
        <v>63</v>
      </c>
      <c r="R250">
        <v>30</v>
      </c>
      <c r="S250">
        <v>8</v>
      </c>
      <c r="T250" t="s">
        <v>31</v>
      </c>
      <c r="U250" t="s">
        <v>31</v>
      </c>
      <c r="V250">
        <v>2026</v>
      </c>
      <c r="W250">
        <v>1</v>
      </c>
      <c r="X250" t="s">
        <v>1414</v>
      </c>
      <c r="Y250" s="6">
        <v>46023</v>
      </c>
      <c r="Z250" t="s">
        <v>1413</v>
      </c>
      <c r="AA250" t="s">
        <v>31</v>
      </c>
      <c r="AB250" t="s">
        <v>63</v>
      </c>
      <c r="AC250" t="s">
        <v>23</v>
      </c>
      <c r="AD250">
        <v>1</v>
      </c>
      <c r="AE250">
        <v>0</v>
      </c>
      <c r="AF250">
        <v>1</v>
      </c>
      <c r="AG250">
        <v>0</v>
      </c>
      <c r="AH250">
        <v>1</v>
      </c>
      <c r="AI250">
        <v>0</v>
      </c>
      <c r="AJ250">
        <v>0</v>
      </c>
    </row>
    <row r="251" spans="1:36">
      <c r="A251" t="s">
        <v>356</v>
      </c>
      <c r="B251">
        <v>93.88</v>
      </c>
      <c r="C251" s="7">
        <v>46232.395138888889</v>
      </c>
      <c r="D251" s="7">
        <v>46236.306749363423</v>
      </c>
      <c r="E251" t="s">
        <v>23</v>
      </c>
      <c r="F251" t="s">
        <v>33</v>
      </c>
      <c r="G251" t="s">
        <v>65</v>
      </c>
      <c r="H251" t="s">
        <v>54</v>
      </c>
      <c r="I251" t="s">
        <v>42</v>
      </c>
      <c r="J251" t="s">
        <v>43</v>
      </c>
      <c r="K251" t="s">
        <v>58</v>
      </c>
      <c r="L251" t="s">
        <v>30</v>
      </c>
      <c r="M251">
        <v>209</v>
      </c>
      <c r="N251">
        <v>2</v>
      </c>
      <c r="O251">
        <v>2</v>
      </c>
      <c r="P251">
        <v>11</v>
      </c>
      <c r="Q251" t="s">
        <v>31</v>
      </c>
      <c r="R251">
        <v>240</v>
      </c>
      <c r="S251">
        <v>48</v>
      </c>
      <c r="T251" t="s">
        <v>63</v>
      </c>
      <c r="U251" t="s">
        <v>31</v>
      </c>
      <c r="V251">
        <v>2026</v>
      </c>
      <c r="W251">
        <v>7</v>
      </c>
      <c r="X251" t="s">
        <v>1422</v>
      </c>
      <c r="Y251" s="6">
        <v>46204</v>
      </c>
      <c r="Z251" t="s">
        <v>1415</v>
      </c>
      <c r="AA251" t="s">
        <v>63</v>
      </c>
      <c r="AB251" t="s">
        <v>63</v>
      </c>
      <c r="AC251" t="s">
        <v>23</v>
      </c>
      <c r="AD251">
        <v>1</v>
      </c>
      <c r="AE251">
        <v>0</v>
      </c>
      <c r="AF251">
        <v>1</v>
      </c>
      <c r="AG251">
        <v>1</v>
      </c>
      <c r="AH251">
        <v>0</v>
      </c>
      <c r="AI251">
        <v>1</v>
      </c>
      <c r="AJ251">
        <v>0</v>
      </c>
    </row>
    <row r="252" spans="1:36">
      <c r="A252" t="s">
        <v>357</v>
      </c>
      <c r="B252">
        <v>37.78</v>
      </c>
      <c r="C252" s="7">
        <v>46123.413194444445</v>
      </c>
      <c r="D252" s="7">
        <v>46124.987380682869</v>
      </c>
      <c r="E252" t="s">
        <v>23</v>
      </c>
      <c r="F252" t="s">
        <v>33</v>
      </c>
      <c r="G252" t="s">
        <v>51</v>
      </c>
      <c r="H252" t="s">
        <v>34</v>
      </c>
      <c r="I252" t="s">
        <v>35</v>
      </c>
      <c r="J252" t="s">
        <v>43</v>
      </c>
      <c r="K252" t="s">
        <v>37</v>
      </c>
      <c r="L252" t="s">
        <v>30</v>
      </c>
      <c r="M252">
        <v>81</v>
      </c>
      <c r="N252">
        <v>4</v>
      </c>
      <c r="O252">
        <v>0</v>
      </c>
      <c r="P252">
        <v>5</v>
      </c>
      <c r="Q252" t="s">
        <v>31</v>
      </c>
      <c r="R252">
        <v>240</v>
      </c>
      <c r="S252">
        <v>48</v>
      </c>
      <c r="T252" t="s">
        <v>63</v>
      </c>
      <c r="U252" t="s">
        <v>63</v>
      </c>
      <c r="V252">
        <v>2026</v>
      </c>
      <c r="W252">
        <v>4</v>
      </c>
      <c r="X252" t="s">
        <v>1412</v>
      </c>
      <c r="Y252" s="6">
        <v>46113</v>
      </c>
      <c r="Z252" t="s">
        <v>1413</v>
      </c>
      <c r="AA252" t="s">
        <v>31</v>
      </c>
      <c r="AB252" t="s">
        <v>63</v>
      </c>
      <c r="AC252" t="s">
        <v>23</v>
      </c>
      <c r="AD252">
        <v>1</v>
      </c>
      <c r="AE252">
        <v>0</v>
      </c>
      <c r="AF252">
        <v>1</v>
      </c>
      <c r="AG252">
        <v>0</v>
      </c>
      <c r="AH252">
        <v>0</v>
      </c>
      <c r="AI252">
        <v>1</v>
      </c>
      <c r="AJ252">
        <v>1</v>
      </c>
    </row>
    <row r="253" spans="1:36">
      <c r="A253" t="s">
        <v>360</v>
      </c>
      <c r="B253">
        <v>67.91</v>
      </c>
      <c r="C253" s="7">
        <v>46255.472222222219</v>
      </c>
      <c r="D253" s="7">
        <v>46258.301900115737</v>
      </c>
      <c r="E253" t="s">
        <v>23</v>
      </c>
      <c r="F253" t="s">
        <v>50</v>
      </c>
      <c r="G253" t="s">
        <v>51</v>
      </c>
      <c r="H253" t="s">
        <v>75</v>
      </c>
      <c r="I253" t="s">
        <v>35</v>
      </c>
      <c r="J253" t="s">
        <v>48</v>
      </c>
      <c r="K253" t="s">
        <v>58</v>
      </c>
      <c r="L253" t="s">
        <v>68</v>
      </c>
      <c r="M253">
        <v>148</v>
      </c>
      <c r="N253">
        <v>3</v>
      </c>
      <c r="O253">
        <v>0</v>
      </c>
      <c r="P253">
        <v>5</v>
      </c>
      <c r="Q253" t="s">
        <v>31</v>
      </c>
      <c r="R253">
        <v>120</v>
      </c>
      <c r="S253">
        <v>24</v>
      </c>
      <c r="T253" t="s">
        <v>31</v>
      </c>
      <c r="U253" t="s">
        <v>31</v>
      </c>
      <c r="V253">
        <v>2026</v>
      </c>
      <c r="W253">
        <v>8</v>
      </c>
      <c r="X253" t="s">
        <v>1417</v>
      </c>
      <c r="Y253" s="6">
        <v>46235</v>
      </c>
      <c r="Z253" t="s">
        <v>1418</v>
      </c>
      <c r="AA253" t="s">
        <v>31</v>
      </c>
      <c r="AB253" t="s">
        <v>63</v>
      </c>
      <c r="AC253" t="s">
        <v>23</v>
      </c>
      <c r="AD253">
        <v>1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</row>
    <row r="254" spans="1:36">
      <c r="A254" t="s">
        <v>361</v>
      </c>
      <c r="B254">
        <v>55.4</v>
      </c>
      <c r="C254" s="7">
        <v>46036.73333333333</v>
      </c>
      <c r="D254" s="7">
        <v>46039.041723518516</v>
      </c>
      <c r="E254" t="s">
        <v>23</v>
      </c>
      <c r="F254" t="s">
        <v>33</v>
      </c>
      <c r="G254" t="s">
        <v>51</v>
      </c>
      <c r="H254" t="s">
        <v>26</v>
      </c>
      <c r="I254" t="s">
        <v>42</v>
      </c>
      <c r="J254" t="s">
        <v>36</v>
      </c>
      <c r="K254" t="s">
        <v>76</v>
      </c>
      <c r="L254" t="s">
        <v>44</v>
      </c>
      <c r="M254">
        <v>178</v>
      </c>
      <c r="N254">
        <v>3</v>
      </c>
      <c r="O254">
        <v>0</v>
      </c>
      <c r="P254">
        <v>2</v>
      </c>
      <c r="Q254" t="s">
        <v>31</v>
      </c>
      <c r="R254">
        <v>240</v>
      </c>
      <c r="S254">
        <v>48</v>
      </c>
      <c r="T254" t="s">
        <v>63</v>
      </c>
      <c r="U254" t="s">
        <v>31</v>
      </c>
      <c r="V254">
        <v>2026</v>
      </c>
      <c r="W254">
        <v>1</v>
      </c>
      <c r="X254" t="s">
        <v>1414</v>
      </c>
      <c r="Y254" s="6">
        <v>46023</v>
      </c>
      <c r="Z254" t="s">
        <v>1418</v>
      </c>
      <c r="AA254" t="s">
        <v>31</v>
      </c>
      <c r="AB254" t="s">
        <v>63</v>
      </c>
      <c r="AC254" t="s">
        <v>23</v>
      </c>
      <c r="AD254">
        <v>1</v>
      </c>
      <c r="AE254">
        <v>0</v>
      </c>
      <c r="AF254">
        <v>1</v>
      </c>
      <c r="AG254">
        <v>0</v>
      </c>
      <c r="AH254">
        <v>0</v>
      </c>
      <c r="AI254">
        <v>1</v>
      </c>
      <c r="AJ254">
        <v>0</v>
      </c>
    </row>
    <row r="255" spans="1:36">
      <c r="A255" t="s">
        <v>363</v>
      </c>
      <c r="B255">
        <v>45.67</v>
      </c>
      <c r="C255" s="7">
        <v>46261.679166666669</v>
      </c>
      <c r="D255" s="7">
        <v>46263.582231932873</v>
      </c>
      <c r="E255" t="s">
        <v>23</v>
      </c>
      <c r="F255" t="s">
        <v>50</v>
      </c>
      <c r="G255" t="s">
        <v>25</v>
      </c>
      <c r="H255" t="s">
        <v>66</v>
      </c>
      <c r="I255" t="s">
        <v>35</v>
      </c>
      <c r="J255" t="s">
        <v>28</v>
      </c>
      <c r="K255" t="s">
        <v>52</v>
      </c>
      <c r="L255" t="s">
        <v>55</v>
      </c>
      <c r="M255">
        <v>92</v>
      </c>
      <c r="N255">
        <v>4</v>
      </c>
      <c r="O255">
        <v>0</v>
      </c>
      <c r="P255">
        <v>7</v>
      </c>
      <c r="Q255" t="s">
        <v>31</v>
      </c>
      <c r="R255">
        <v>120</v>
      </c>
      <c r="S255">
        <v>24</v>
      </c>
      <c r="T255" t="s">
        <v>63</v>
      </c>
      <c r="U255" t="s">
        <v>31</v>
      </c>
      <c r="V255">
        <v>2026</v>
      </c>
      <c r="W255">
        <v>8</v>
      </c>
      <c r="X255" t="s">
        <v>1417</v>
      </c>
      <c r="Y255" s="6">
        <v>46235</v>
      </c>
      <c r="Z255" t="s">
        <v>1413</v>
      </c>
      <c r="AA255" t="s">
        <v>31</v>
      </c>
      <c r="AB255" t="s">
        <v>63</v>
      </c>
      <c r="AC255" t="s">
        <v>23</v>
      </c>
      <c r="AD255">
        <v>1</v>
      </c>
      <c r="AE255">
        <v>0</v>
      </c>
      <c r="AF255">
        <v>1</v>
      </c>
      <c r="AG255">
        <v>0</v>
      </c>
      <c r="AH255">
        <v>0</v>
      </c>
      <c r="AI255">
        <v>1</v>
      </c>
      <c r="AJ255">
        <v>0</v>
      </c>
    </row>
    <row r="256" spans="1:36">
      <c r="A256" t="s">
        <v>364</v>
      </c>
      <c r="B256">
        <v>42.57</v>
      </c>
      <c r="C256" s="7">
        <v>46154.497916666667</v>
      </c>
      <c r="D256" s="7">
        <v>46156.271658101854</v>
      </c>
      <c r="E256" t="s">
        <v>23</v>
      </c>
      <c r="F256" t="s">
        <v>33</v>
      </c>
      <c r="G256" t="s">
        <v>65</v>
      </c>
      <c r="H256" t="s">
        <v>66</v>
      </c>
      <c r="I256" t="s">
        <v>42</v>
      </c>
      <c r="J256" t="s">
        <v>36</v>
      </c>
      <c r="K256" t="s">
        <v>37</v>
      </c>
      <c r="L256" t="s">
        <v>30</v>
      </c>
      <c r="M256">
        <v>220</v>
      </c>
      <c r="N256">
        <v>3</v>
      </c>
      <c r="O256">
        <v>1</v>
      </c>
      <c r="P256">
        <v>9</v>
      </c>
      <c r="Q256" t="s">
        <v>31</v>
      </c>
      <c r="R256">
        <v>240</v>
      </c>
      <c r="S256">
        <v>48</v>
      </c>
      <c r="T256" t="s">
        <v>63</v>
      </c>
      <c r="U256" t="s">
        <v>63</v>
      </c>
      <c r="V256">
        <v>2026</v>
      </c>
      <c r="W256">
        <v>5</v>
      </c>
      <c r="X256" t="s">
        <v>1416</v>
      </c>
      <c r="Y256" s="6">
        <v>46143</v>
      </c>
      <c r="Z256" t="s">
        <v>1418</v>
      </c>
      <c r="AA256" t="s">
        <v>63</v>
      </c>
      <c r="AB256" t="s">
        <v>63</v>
      </c>
      <c r="AC256" t="s">
        <v>23</v>
      </c>
      <c r="AD256">
        <v>1</v>
      </c>
      <c r="AE256">
        <v>0</v>
      </c>
      <c r="AF256">
        <v>1</v>
      </c>
      <c r="AG256">
        <v>1</v>
      </c>
      <c r="AH256">
        <v>0</v>
      </c>
      <c r="AI256">
        <v>1</v>
      </c>
      <c r="AJ256">
        <v>1</v>
      </c>
    </row>
    <row r="257" spans="1:36">
      <c r="A257" t="s">
        <v>365</v>
      </c>
      <c r="B257">
        <v>43.1</v>
      </c>
      <c r="C257" s="7">
        <v>46195.018055555556</v>
      </c>
      <c r="D257" s="7">
        <v>46196.814066979168</v>
      </c>
      <c r="E257" t="s">
        <v>23</v>
      </c>
      <c r="F257" t="s">
        <v>50</v>
      </c>
      <c r="G257" t="s">
        <v>51</v>
      </c>
      <c r="H257" t="s">
        <v>26</v>
      </c>
      <c r="I257" t="s">
        <v>42</v>
      </c>
      <c r="J257" t="s">
        <v>36</v>
      </c>
      <c r="K257" t="s">
        <v>67</v>
      </c>
      <c r="L257" t="s">
        <v>62</v>
      </c>
      <c r="M257">
        <v>158</v>
      </c>
      <c r="N257">
        <v>4</v>
      </c>
      <c r="O257">
        <v>0</v>
      </c>
      <c r="P257">
        <v>4</v>
      </c>
      <c r="Q257" t="s">
        <v>31</v>
      </c>
      <c r="R257">
        <v>120</v>
      </c>
      <c r="S257">
        <v>24</v>
      </c>
      <c r="T257" t="s">
        <v>31</v>
      </c>
      <c r="U257" t="s">
        <v>31</v>
      </c>
      <c r="V257">
        <v>2026</v>
      </c>
      <c r="W257">
        <v>6</v>
      </c>
      <c r="X257" t="s">
        <v>1421</v>
      </c>
      <c r="Y257" s="6">
        <v>46174</v>
      </c>
      <c r="Z257" t="s">
        <v>1413</v>
      </c>
      <c r="AA257" t="s">
        <v>31</v>
      </c>
      <c r="AB257" t="s">
        <v>63</v>
      </c>
      <c r="AC257" t="s">
        <v>23</v>
      </c>
      <c r="AD257">
        <v>1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</row>
    <row r="258" spans="1:36">
      <c r="A258" t="s">
        <v>366</v>
      </c>
      <c r="B258">
        <v>19.920000000000002</v>
      </c>
      <c r="C258" s="7">
        <v>46214.808333333334</v>
      </c>
      <c r="D258" s="7">
        <v>46215.638300243052</v>
      </c>
      <c r="E258" t="s">
        <v>23</v>
      </c>
      <c r="F258" t="s">
        <v>33</v>
      </c>
      <c r="G258" t="s">
        <v>65</v>
      </c>
      <c r="H258" t="s">
        <v>66</v>
      </c>
      <c r="I258" t="s">
        <v>35</v>
      </c>
      <c r="J258" t="s">
        <v>28</v>
      </c>
      <c r="K258" t="s">
        <v>29</v>
      </c>
      <c r="L258" t="s">
        <v>101</v>
      </c>
      <c r="M258">
        <v>161</v>
      </c>
      <c r="N258">
        <v>3</v>
      </c>
      <c r="O258">
        <v>1</v>
      </c>
      <c r="P258">
        <v>9</v>
      </c>
      <c r="Q258" t="s">
        <v>31</v>
      </c>
      <c r="R258">
        <v>240</v>
      </c>
      <c r="S258">
        <v>48</v>
      </c>
      <c r="T258" t="s">
        <v>63</v>
      </c>
      <c r="U258" t="s">
        <v>63</v>
      </c>
      <c r="V258">
        <v>2026</v>
      </c>
      <c r="W258">
        <v>7</v>
      </c>
      <c r="X258" t="s">
        <v>1422</v>
      </c>
      <c r="Y258" s="6">
        <v>46204</v>
      </c>
      <c r="Z258" t="s">
        <v>1418</v>
      </c>
      <c r="AA258" t="s">
        <v>63</v>
      </c>
      <c r="AB258" t="s">
        <v>63</v>
      </c>
      <c r="AC258" t="s">
        <v>23</v>
      </c>
      <c r="AD258">
        <v>1</v>
      </c>
      <c r="AE258">
        <v>0</v>
      </c>
      <c r="AF258">
        <v>1</v>
      </c>
      <c r="AG258">
        <v>1</v>
      </c>
      <c r="AH258">
        <v>0</v>
      </c>
      <c r="AI258">
        <v>1</v>
      </c>
      <c r="AJ258">
        <v>1</v>
      </c>
    </row>
    <row r="259" spans="1:36">
      <c r="A259" t="s">
        <v>367</v>
      </c>
      <c r="B259">
        <v>33.26</v>
      </c>
      <c r="C259" s="7">
        <v>46042.181944444441</v>
      </c>
      <c r="D259" s="7">
        <v>46043.567686909722</v>
      </c>
      <c r="E259" t="s">
        <v>23</v>
      </c>
      <c r="F259" t="s">
        <v>50</v>
      </c>
      <c r="G259" t="s">
        <v>41</v>
      </c>
      <c r="H259" t="s">
        <v>54</v>
      </c>
      <c r="I259" t="s">
        <v>42</v>
      </c>
      <c r="J259" t="s">
        <v>28</v>
      </c>
      <c r="K259" t="s">
        <v>58</v>
      </c>
      <c r="L259" t="s">
        <v>68</v>
      </c>
      <c r="M259">
        <v>112</v>
      </c>
      <c r="N259">
        <v>4</v>
      </c>
      <c r="O259">
        <v>0</v>
      </c>
      <c r="P259">
        <v>4</v>
      </c>
      <c r="Q259" t="s">
        <v>31</v>
      </c>
      <c r="R259">
        <v>120</v>
      </c>
      <c r="S259">
        <v>24</v>
      </c>
      <c r="T259" t="s">
        <v>63</v>
      </c>
      <c r="U259" t="s">
        <v>31</v>
      </c>
      <c r="V259">
        <v>2026</v>
      </c>
      <c r="W259">
        <v>1</v>
      </c>
      <c r="X259" t="s">
        <v>1414</v>
      </c>
      <c r="Y259" s="6">
        <v>46023</v>
      </c>
      <c r="Z259" t="s">
        <v>1413</v>
      </c>
      <c r="AA259" t="s">
        <v>31</v>
      </c>
      <c r="AB259" t="s">
        <v>63</v>
      </c>
      <c r="AC259" t="s">
        <v>23</v>
      </c>
      <c r="AD259">
        <v>1</v>
      </c>
      <c r="AE259">
        <v>0</v>
      </c>
      <c r="AF259">
        <v>1</v>
      </c>
      <c r="AG259">
        <v>0</v>
      </c>
      <c r="AH259">
        <v>0</v>
      </c>
      <c r="AI259">
        <v>1</v>
      </c>
      <c r="AJ259">
        <v>0</v>
      </c>
    </row>
    <row r="260" spans="1:36">
      <c r="A260" t="s">
        <v>368</v>
      </c>
      <c r="B260">
        <v>27.87</v>
      </c>
      <c r="C260" s="7">
        <v>46034.476388888892</v>
      </c>
      <c r="D260" s="7">
        <v>46035.637547337959</v>
      </c>
      <c r="E260" t="s">
        <v>23</v>
      </c>
      <c r="F260" t="s">
        <v>50</v>
      </c>
      <c r="G260" t="s">
        <v>51</v>
      </c>
      <c r="H260" t="s">
        <v>26</v>
      </c>
      <c r="I260" t="s">
        <v>35</v>
      </c>
      <c r="J260" t="s">
        <v>48</v>
      </c>
      <c r="K260" t="s">
        <v>67</v>
      </c>
      <c r="L260" t="s">
        <v>71</v>
      </c>
      <c r="M260">
        <v>113</v>
      </c>
      <c r="N260">
        <v>4</v>
      </c>
      <c r="O260">
        <v>0</v>
      </c>
      <c r="P260">
        <v>2</v>
      </c>
      <c r="Q260" t="s">
        <v>31</v>
      </c>
      <c r="R260">
        <v>120</v>
      </c>
      <c r="S260">
        <v>24</v>
      </c>
      <c r="T260" t="s">
        <v>63</v>
      </c>
      <c r="U260" t="s">
        <v>31</v>
      </c>
      <c r="V260">
        <v>2026</v>
      </c>
      <c r="W260">
        <v>1</v>
      </c>
      <c r="X260" t="s">
        <v>1414</v>
      </c>
      <c r="Y260" s="6">
        <v>46023</v>
      </c>
      <c r="Z260" t="s">
        <v>1413</v>
      </c>
      <c r="AA260" t="s">
        <v>31</v>
      </c>
      <c r="AB260" t="s">
        <v>63</v>
      </c>
      <c r="AC260" t="s">
        <v>23</v>
      </c>
      <c r="AD260">
        <v>1</v>
      </c>
      <c r="AE260">
        <v>0</v>
      </c>
      <c r="AF260">
        <v>1</v>
      </c>
      <c r="AG260">
        <v>0</v>
      </c>
      <c r="AH260">
        <v>0</v>
      </c>
      <c r="AI260">
        <v>1</v>
      </c>
      <c r="AJ260">
        <v>0</v>
      </c>
    </row>
    <row r="261" spans="1:36">
      <c r="A261" t="s">
        <v>369</v>
      </c>
      <c r="B261">
        <v>51.53</v>
      </c>
      <c r="C261" s="7">
        <v>46194.84097222222</v>
      </c>
      <c r="D261" s="7">
        <v>46196.988207407405</v>
      </c>
      <c r="E261" t="s">
        <v>23</v>
      </c>
      <c r="F261" t="s">
        <v>33</v>
      </c>
      <c r="G261" t="s">
        <v>51</v>
      </c>
      <c r="H261" t="s">
        <v>26</v>
      </c>
      <c r="I261" t="s">
        <v>27</v>
      </c>
      <c r="J261" t="s">
        <v>36</v>
      </c>
      <c r="K261" t="s">
        <v>37</v>
      </c>
      <c r="L261" t="s">
        <v>38</v>
      </c>
      <c r="M261">
        <v>143</v>
      </c>
      <c r="N261">
        <v>4</v>
      </c>
      <c r="O261">
        <v>0</v>
      </c>
      <c r="P261">
        <v>4</v>
      </c>
      <c r="Q261" t="s">
        <v>31</v>
      </c>
      <c r="R261">
        <v>240</v>
      </c>
      <c r="S261">
        <v>48</v>
      </c>
      <c r="T261" t="s">
        <v>63</v>
      </c>
      <c r="U261" t="s">
        <v>31</v>
      </c>
      <c r="V261">
        <v>2026</v>
      </c>
      <c r="W261">
        <v>6</v>
      </c>
      <c r="X261" t="s">
        <v>1421</v>
      </c>
      <c r="Y261" s="6">
        <v>46174</v>
      </c>
      <c r="Z261" t="s">
        <v>1413</v>
      </c>
      <c r="AA261" t="s">
        <v>31</v>
      </c>
      <c r="AB261" t="s">
        <v>63</v>
      </c>
      <c r="AC261" t="s">
        <v>23</v>
      </c>
      <c r="AD261">
        <v>1</v>
      </c>
      <c r="AE261">
        <v>0</v>
      </c>
      <c r="AF261">
        <v>1</v>
      </c>
      <c r="AG261">
        <v>0</v>
      </c>
      <c r="AH261">
        <v>0</v>
      </c>
      <c r="AI261">
        <v>1</v>
      </c>
      <c r="AJ261">
        <v>0</v>
      </c>
    </row>
    <row r="262" spans="1:36">
      <c r="A262" t="s">
        <v>370</v>
      </c>
      <c r="B262">
        <v>22.42</v>
      </c>
      <c r="C262" s="7">
        <v>46253.482638888891</v>
      </c>
      <c r="D262" s="7">
        <v>46254.416921516204</v>
      </c>
      <c r="E262" t="s">
        <v>23</v>
      </c>
      <c r="F262" t="s">
        <v>50</v>
      </c>
      <c r="G262" t="s">
        <v>51</v>
      </c>
      <c r="H262" t="s">
        <v>54</v>
      </c>
      <c r="I262" t="s">
        <v>35</v>
      </c>
      <c r="J262" t="s">
        <v>28</v>
      </c>
      <c r="K262" t="s">
        <v>37</v>
      </c>
      <c r="L262" t="s">
        <v>85</v>
      </c>
      <c r="M262">
        <v>111</v>
      </c>
      <c r="N262">
        <v>4</v>
      </c>
      <c r="O262">
        <v>0</v>
      </c>
      <c r="P262">
        <v>5</v>
      </c>
      <c r="Q262" t="s">
        <v>31</v>
      </c>
      <c r="R262">
        <v>120</v>
      </c>
      <c r="S262">
        <v>24</v>
      </c>
      <c r="T262" t="s">
        <v>63</v>
      </c>
      <c r="U262" t="s">
        <v>63</v>
      </c>
      <c r="V262">
        <v>2026</v>
      </c>
      <c r="W262">
        <v>8</v>
      </c>
      <c r="X262" t="s">
        <v>1417</v>
      </c>
      <c r="Y262" s="6">
        <v>46235</v>
      </c>
      <c r="Z262" t="s">
        <v>1413</v>
      </c>
      <c r="AA262" t="s">
        <v>31</v>
      </c>
      <c r="AB262" t="s">
        <v>63</v>
      </c>
      <c r="AC262" t="s">
        <v>23</v>
      </c>
      <c r="AD262">
        <v>1</v>
      </c>
      <c r="AE262">
        <v>0</v>
      </c>
      <c r="AF262">
        <v>1</v>
      </c>
      <c r="AG262">
        <v>0</v>
      </c>
      <c r="AH262">
        <v>0</v>
      </c>
      <c r="AI262">
        <v>1</v>
      </c>
      <c r="AJ262">
        <v>1</v>
      </c>
    </row>
    <row r="263" spans="1:36">
      <c r="A263" t="s">
        <v>371</v>
      </c>
      <c r="B263">
        <v>22.16</v>
      </c>
      <c r="C263" s="7">
        <v>46256.693055555559</v>
      </c>
      <c r="D263" s="7">
        <v>46257.616213032408</v>
      </c>
      <c r="E263" t="s">
        <v>23</v>
      </c>
      <c r="F263" t="s">
        <v>50</v>
      </c>
      <c r="G263" t="s">
        <v>25</v>
      </c>
      <c r="H263" t="s">
        <v>66</v>
      </c>
      <c r="I263" t="s">
        <v>27</v>
      </c>
      <c r="J263" t="s">
        <v>48</v>
      </c>
      <c r="K263" t="s">
        <v>37</v>
      </c>
      <c r="L263" t="s">
        <v>85</v>
      </c>
      <c r="M263">
        <v>204</v>
      </c>
      <c r="N263">
        <v>4</v>
      </c>
      <c r="O263">
        <v>0</v>
      </c>
      <c r="P263">
        <v>4</v>
      </c>
      <c r="Q263" t="s">
        <v>31</v>
      </c>
      <c r="R263">
        <v>120</v>
      </c>
      <c r="S263">
        <v>24</v>
      </c>
      <c r="T263" t="s">
        <v>31</v>
      </c>
      <c r="U263" t="s">
        <v>63</v>
      </c>
      <c r="V263">
        <v>2026</v>
      </c>
      <c r="W263">
        <v>8</v>
      </c>
      <c r="X263" t="s">
        <v>1417</v>
      </c>
      <c r="Y263" s="6">
        <v>46235</v>
      </c>
      <c r="Z263" t="s">
        <v>1413</v>
      </c>
      <c r="AA263" t="s">
        <v>31</v>
      </c>
      <c r="AB263" t="s">
        <v>63</v>
      </c>
      <c r="AC263" t="s">
        <v>23</v>
      </c>
      <c r="AD263">
        <v>1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1</v>
      </c>
    </row>
    <row r="264" spans="1:36">
      <c r="A264" t="s">
        <v>372</v>
      </c>
      <c r="B264">
        <v>10.85</v>
      </c>
      <c r="C264" s="7">
        <v>46073.922222222223</v>
      </c>
      <c r="D264" s="7">
        <v>46074.374359074071</v>
      </c>
      <c r="E264" t="s">
        <v>23</v>
      </c>
      <c r="F264" t="s">
        <v>40</v>
      </c>
      <c r="G264" t="s">
        <v>51</v>
      </c>
      <c r="H264" t="s">
        <v>26</v>
      </c>
      <c r="I264" t="s">
        <v>35</v>
      </c>
      <c r="J264" t="s">
        <v>36</v>
      </c>
      <c r="K264" t="s">
        <v>76</v>
      </c>
      <c r="L264" t="s">
        <v>68</v>
      </c>
      <c r="M264">
        <v>29</v>
      </c>
      <c r="N264">
        <v>4</v>
      </c>
      <c r="O264">
        <v>1</v>
      </c>
      <c r="P264">
        <v>8</v>
      </c>
      <c r="Q264" t="s">
        <v>31</v>
      </c>
      <c r="R264">
        <v>30</v>
      </c>
      <c r="S264">
        <v>8</v>
      </c>
      <c r="T264" t="s">
        <v>63</v>
      </c>
      <c r="U264" t="s">
        <v>31</v>
      </c>
      <c r="V264">
        <v>2026</v>
      </c>
      <c r="W264">
        <v>2</v>
      </c>
      <c r="X264" t="s">
        <v>1419</v>
      </c>
      <c r="Y264" s="6">
        <v>46054</v>
      </c>
      <c r="Z264" t="s">
        <v>1413</v>
      </c>
      <c r="AA264" t="s">
        <v>63</v>
      </c>
      <c r="AB264" t="s">
        <v>63</v>
      </c>
      <c r="AC264" t="s">
        <v>23</v>
      </c>
      <c r="AD264">
        <v>1</v>
      </c>
      <c r="AE264">
        <v>0</v>
      </c>
      <c r="AF264">
        <v>1</v>
      </c>
      <c r="AG264">
        <v>1</v>
      </c>
      <c r="AH264">
        <v>0</v>
      </c>
      <c r="AI264">
        <v>1</v>
      </c>
      <c r="AJ264">
        <v>0</v>
      </c>
    </row>
    <row r="265" spans="1:36">
      <c r="A265" t="s">
        <v>373</v>
      </c>
      <c r="B265">
        <v>40.15</v>
      </c>
      <c r="C265" s="7">
        <v>46243.883333333331</v>
      </c>
      <c r="D265" s="7">
        <v>46245.556420891204</v>
      </c>
      <c r="E265" t="s">
        <v>23</v>
      </c>
      <c r="F265" t="s">
        <v>33</v>
      </c>
      <c r="G265" t="s">
        <v>51</v>
      </c>
      <c r="H265" t="s">
        <v>54</v>
      </c>
      <c r="I265" t="s">
        <v>35</v>
      </c>
      <c r="J265" t="s">
        <v>43</v>
      </c>
      <c r="K265" t="s">
        <v>52</v>
      </c>
      <c r="L265" t="s">
        <v>44</v>
      </c>
      <c r="M265">
        <v>209</v>
      </c>
      <c r="N265">
        <v>3</v>
      </c>
      <c r="O265">
        <v>0</v>
      </c>
      <c r="P265">
        <v>5</v>
      </c>
      <c r="Q265" t="s">
        <v>31</v>
      </c>
      <c r="R265">
        <v>240</v>
      </c>
      <c r="S265">
        <v>48</v>
      </c>
      <c r="T265" t="s">
        <v>63</v>
      </c>
      <c r="U265" t="s">
        <v>63</v>
      </c>
      <c r="V265">
        <v>2026</v>
      </c>
      <c r="W265">
        <v>8</v>
      </c>
      <c r="X265" t="s">
        <v>1417</v>
      </c>
      <c r="Y265" s="6">
        <v>46235</v>
      </c>
      <c r="Z265" t="s">
        <v>1418</v>
      </c>
      <c r="AA265" t="s">
        <v>31</v>
      </c>
      <c r="AB265" t="s">
        <v>63</v>
      </c>
      <c r="AC265" t="s">
        <v>23</v>
      </c>
      <c r="AD265">
        <v>1</v>
      </c>
      <c r="AE265">
        <v>0</v>
      </c>
      <c r="AF265">
        <v>1</v>
      </c>
      <c r="AG265">
        <v>0</v>
      </c>
      <c r="AH265">
        <v>0</v>
      </c>
      <c r="AI265">
        <v>1</v>
      </c>
      <c r="AJ265">
        <v>1</v>
      </c>
    </row>
    <row r="266" spans="1:36">
      <c r="A266" t="s">
        <v>374</v>
      </c>
      <c r="B266">
        <v>34.89</v>
      </c>
      <c r="C266" s="7">
        <v>46213.871527777781</v>
      </c>
      <c r="D266" s="7">
        <v>46215.325222766201</v>
      </c>
      <c r="E266" t="s">
        <v>23</v>
      </c>
      <c r="F266" t="s">
        <v>50</v>
      </c>
      <c r="G266" t="s">
        <v>41</v>
      </c>
      <c r="H266" t="s">
        <v>26</v>
      </c>
      <c r="I266" t="s">
        <v>27</v>
      </c>
      <c r="J266" t="s">
        <v>28</v>
      </c>
      <c r="K266" t="s">
        <v>58</v>
      </c>
      <c r="L266" t="s">
        <v>55</v>
      </c>
      <c r="M266">
        <v>72</v>
      </c>
      <c r="N266">
        <v>3</v>
      </c>
      <c r="O266">
        <v>2</v>
      </c>
      <c r="P266">
        <v>10</v>
      </c>
      <c r="Q266" t="s">
        <v>31</v>
      </c>
      <c r="R266">
        <v>120</v>
      </c>
      <c r="S266">
        <v>24</v>
      </c>
      <c r="T266" t="s">
        <v>63</v>
      </c>
      <c r="U266" t="s">
        <v>31</v>
      </c>
      <c r="V266">
        <v>2026</v>
      </c>
      <c r="W266">
        <v>7</v>
      </c>
      <c r="X266" t="s">
        <v>1422</v>
      </c>
      <c r="Y266" s="6">
        <v>46204</v>
      </c>
      <c r="Z266" t="s">
        <v>1418</v>
      </c>
      <c r="AA266" t="s">
        <v>63</v>
      </c>
      <c r="AB266" t="s">
        <v>63</v>
      </c>
      <c r="AC266" t="s">
        <v>23</v>
      </c>
      <c r="AD266">
        <v>1</v>
      </c>
      <c r="AE266">
        <v>0</v>
      </c>
      <c r="AF266">
        <v>1</v>
      </c>
      <c r="AG266">
        <v>1</v>
      </c>
      <c r="AH266">
        <v>0</v>
      </c>
      <c r="AI266">
        <v>1</v>
      </c>
      <c r="AJ266">
        <v>0</v>
      </c>
    </row>
    <row r="267" spans="1:36">
      <c r="A267" t="s">
        <v>375</v>
      </c>
      <c r="B267">
        <v>18.55</v>
      </c>
      <c r="C267" s="7">
        <v>46138.760416666664</v>
      </c>
      <c r="D267" s="7">
        <v>46139.533149178242</v>
      </c>
      <c r="E267" t="s">
        <v>23</v>
      </c>
      <c r="F267" t="s">
        <v>50</v>
      </c>
      <c r="G267" t="s">
        <v>51</v>
      </c>
      <c r="H267" t="s">
        <v>75</v>
      </c>
      <c r="I267" t="s">
        <v>35</v>
      </c>
      <c r="J267" t="s">
        <v>28</v>
      </c>
      <c r="K267" t="s">
        <v>29</v>
      </c>
      <c r="L267" t="s">
        <v>38</v>
      </c>
      <c r="M267">
        <v>336</v>
      </c>
      <c r="N267">
        <v>3</v>
      </c>
      <c r="O267">
        <v>0</v>
      </c>
      <c r="P267">
        <v>4</v>
      </c>
      <c r="Q267" t="s">
        <v>31</v>
      </c>
      <c r="R267">
        <v>120</v>
      </c>
      <c r="S267">
        <v>24</v>
      </c>
      <c r="T267" t="s">
        <v>31</v>
      </c>
      <c r="U267" t="s">
        <v>63</v>
      </c>
      <c r="V267">
        <v>2026</v>
      </c>
      <c r="W267">
        <v>4</v>
      </c>
      <c r="X267" t="s">
        <v>1412</v>
      </c>
      <c r="Y267" s="6">
        <v>46113</v>
      </c>
      <c r="Z267" t="s">
        <v>1418</v>
      </c>
      <c r="AA267" t="s">
        <v>31</v>
      </c>
      <c r="AB267" t="s">
        <v>63</v>
      </c>
      <c r="AC267" t="s">
        <v>23</v>
      </c>
      <c r="AD267">
        <v>1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1</v>
      </c>
    </row>
    <row r="268" spans="1:36">
      <c r="A268" t="s">
        <v>376</v>
      </c>
      <c r="B268">
        <v>53.33</v>
      </c>
      <c r="C268" s="7">
        <v>46111.834722222222</v>
      </c>
      <c r="D268" s="7">
        <v>46114.056731793979</v>
      </c>
      <c r="E268" t="s">
        <v>23</v>
      </c>
      <c r="F268" t="s">
        <v>33</v>
      </c>
      <c r="G268" t="s">
        <v>25</v>
      </c>
      <c r="H268" t="s">
        <v>54</v>
      </c>
      <c r="I268" t="s">
        <v>42</v>
      </c>
      <c r="J268" t="s">
        <v>43</v>
      </c>
      <c r="K268" t="s">
        <v>58</v>
      </c>
      <c r="L268" t="s">
        <v>101</v>
      </c>
      <c r="M268">
        <v>313</v>
      </c>
      <c r="N268">
        <v>3</v>
      </c>
      <c r="O268">
        <v>0</v>
      </c>
      <c r="P268">
        <v>6</v>
      </c>
      <c r="Q268" t="s">
        <v>31</v>
      </c>
      <c r="R268">
        <v>240</v>
      </c>
      <c r="S268">
        <v>48</v>
      </c>
      <c r="T268" t="s">
        <v>31</v>
      </c>
      <c r="U268" t="s">
        <v>31</v>
      </c>
      <c r="V268">
        <v>2026</v>
      </c>
      <c r="W268">
        <v>3</v>
      </c>
      <c r="X268" t="s">
        <v>1423</v>
      </c>
      <c r="Y268" s="6">
        <v>46082</v>
      </c>
      <c r="Z268" t="s">
        <v>1418</v>
      </c>
      <c r="AA268" t="s">
        <v>31</v>
      </c>
      <c r="AB268" t="s">
        <v>63</v>
      </c>
      <c r="AC268" t="s">
        <v>23</v>
      </c>
      <c r="AD268">
        <v>1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</row>
    <row r="269" spans="1:36">
      <c r="A269" t="s">
        <v>377</v>
      </c>
      <c r="B269">
        <v>32.950000000000003</v>
      </c>
      <c r="C269" s="7">
        <v>46218.336805555555</v>
      </c>
      <c r="D269" s="7">
        <v>46219.709843923614</v>
      </c>
      <c r="E269" t="s">
        <v>23</v>
      </c>
      <c r="F269" t="s">
        <v>50</v>
      </c>
      <c r="G269" t="s">
        <v>51</v>
      </c>
      <c r="H269" t="s">
        <v>66</v>
      </c>
      <c r="I269" t="s">
        <v>42</v>
      </c>
      <c r="J269" t="s">
        <v>28</v>
      </c>
      <c r="K269" t="s">
        <v>67</v>
      </c>
      <c r="L269" t="s">
        <v>71</v>
      </c>
      <c r="M269">
        <v>156</v>
      </c>
      <c r="N269">
        <v>4</v>
      </c>
      <c r="O269">
        <v>0</v>
      </c>
      <c r="P269">
        <v>7</v>
      </c>
      <c r="Q269" t="s">
        <v>31</v>
      </c>
      <c r="R269">
        <v>120</v>
      </c>
      <c r="S269">
        <v>24</v>
      </c>
      <c r="T269" t="s">
        <v>31</v>
      </c>
      <c r="U269" t="s">
        <v>31</v>
      </c>
      <c r="V269">
        <v>2026</v>
      </c>
      <c r="W269">
        <v>7</v>
      </c>
      <c r="X269" t="s">
        <v>1422</v>
      </c>
      <c r="Y269" s="6">
        <v>46204</v>
      </c>
      <c r="Z269" t="s">
        <v>1413</v>
      </c>
      <c r="AA269" t="s">
        <v>31</v>
      </c>
      <c r="AB269" t="s">
        <v>63</v>
      </c>
      <c r="AC269" t="s">
        <v>23</v>
      </c>
      <c r="AD269">
        <v>1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</row>
    <row r="270" spans="1:36">
      <c r="A270" t="s">
        <v>378</v>
      </c>
      <c r="B270">
        <v>51.28</v>
      </c>
      <c r="C270" s="7">
        <v>46217.246527777781</v>
      </c>
      <c r="D270" s="7">
        <v>46219.383333333331</v>
      </c>
      <c r="E270" t="s">
        <v>23</v>
      </c>
      <c r="F270" t="s">
        <v>50</v>
      </c>
      <c r="G270" t="s">
        <v>51</v>
      </c>
      <c r="H270" t="s">
        <v>26</v>
      </c>
      <c r="I270" t="s">
        <v>35</v>
      </c>
      <c r="J270" t="s">
        <v>48</v>
      </c>
      <c r="K270" t="s">
        <v>76</v>
      </c>
      <c r="L270" t="s">
        <v>101</v>
      </c>
      <c r="M270">
        <v>40</v>
      </c>
      <c r="N270">
        <v>4</v>
      </c>
      <c r="O270">
        <v>0</v>
      </c>
      <c r="P270">
        <v>3</v>
      </c>
      <c r="Q270" t="s">
        <v>31</v>
      </c>
      <c r="R270">
        <v>120</v>
      </c>
      <c r="S270">
        <v>24</v>
      </c>
      <c r="T270" t="s">
        <v>63</v>
      </c>
      <c r="U270" t="s">
        <v>31</v>
      </c>
      <c r="V270">
        <v>2026</v>
      </c>
      <c r="W270">
        <v>7</v>
      </c>
      <c r="X270" t="s">
        <v>1422</v>
      </c>
      <c r="Y270" s="6">
        <v>46204</v>
      </c>
      <c r="Z270" t="s">
        <v>1413</v>
      </c>
      <c r="AA270" t="s">
        <v>31</v>
      </c>
      <c r="AB270" t="s">
        <v>63</v>
      </c>
      <c r="AC270" t="s">
        <v>23</v>
      </c>
      <c r="AD270">
        <v>1</v>
      </c>
      <c r="AE270">
        <v>0</v>
      </c>
      <c r="AF270">
        <v>1</v>
      </c>
      <c r="AG270">
        <v>0</v>
      </c>
      <c r="AH270">
        <v>0</v>
      </c>
      <c r="AI270">
        <v>1</v>
      </c>
      <c r="AJ270">
        <v>0</v>
      </c>
    </row>
    <row r="271" spans="1:36">
      <c r="A271" t="s">
        <v>380</v>
      </c>
      <c r="B271">
        <v>6.68</v>
      </c>
      <c r="C271" s="7">
        <v>46097.997916666667</v>
      </c>
      <c r="D271" s="7">
        <v>46098.276324456019</v>
      </c>
      <c r="E271" t="s">
        <v>23</v>
      </c>
      <c r="F271" t="s">
        <v>40</v>
      </c>
      <c r="G271" t="s">
        <v>25</v>
      </c>
      <c r="H271" t="s">
        <v>34</v>
      </c>
      <c r="I271" t="s">
        <v>35</v>
      </c>
      <c r="J271" t="s">
        <v>48</v>
      </c>
      <c r="K271" t="s">
        <v>37</v>
      </c>
      <c r="L271" t="s">
        <v>85</v>
      </c>
      <c r="M271">
        <v>99</v>
      </c>
      <c r="N271">
        <v>4</v>
      </c>
      <c r="O271">
        <v>0</v>
      </c>
      <c r="P271">
        <v>6</v>
      </c>
      <c r="Q271" t="s">
        <v>31</v>
      </c>
      <c r="R271">
        <v>30</v>
      </c>
      <c r="S271">
        <v>8</v>
      </c>
      <c r="T271" t="s">
        <v>31</v>
      </c>
      <c r="U271" t="s">
        <v>63</v>
      </c>
      <c r="V271">
        <v>2026</v>
      </c>
      <c r="W271">
        <v>3</v>
      </c>
      <c r="X271" t="s">
        <v>1423</v>
      </c>
      <c r="Y271" s="6">
        <v>46082</v>
      </c>
      <c r="Z271" t="s">
        <v>1413</v>
      </c>
      <c r="AA271" t="s">
        <v>31</v>
      </c>
      <c r="AB271" t="s">
        <v>63</v>
      </c>
      <c r="AC271" t="s">
        <v>23</v>
      </c>
      <c r="AD271">
        <v>1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1</v>
      </c>
    </row>
    <row r="272" spans="1:36">
      <c r="A272" t="s">
        <v>381</v>
      </c>
      <c r="B272">
        <v>13.13</v>
      </c>
      <c r="C272" s="7">
        <v>46099.010416666664</v>
      </c>
      <c r="D272" s="7">
        <v>46099.557449305554</v>
      </c>
      <c r="E272" t="s">
        <v>23</v>
      </c>
      <c r="F272" t="s">
        <v>50</v>
      </c>
      <c r="G272" t="s">
        <v>41</v>
      </c>
      <c r="H272" t="s">
        <v>26</v>
      </c>
      <c r="I272" t="s">
        <v>35</v>
      </c>
      <c r="J272" t="s">
        <v>28</v>
      </c>
      <c r="K272" t="s">
        <v>29</v>
      </c>
      <c r="L272" t="s">
        <v>101</v>
      </c>
      <c r="M272">
        <v>195</v>
      </c>
      <c r="N272">
        <v>3</v>
      </c>
      <c r="O272">
        <v>1</v>
      </c>
      <c r="P272">
        <v>10</v>
      </c>
      <c r="Q272" t="s">
        <v>31</v>
      </c>
      <c r="R272">
        <v>120</v>
      </c>
      <c r="S272">
        <v>24</v>
      </c>
      <c r="T272" t="s">
        <v>31</v>
      </c>
      <c r="U272" t="s">
        <v>63</v>
      </c>
      <c r="V272">
        <v>2026</v>
      </c>
      <c r="W272">
        <v>3</v>
      </c>
      <c r="X272" t="s">
        <v>1423</v>
      </c>
      <c r="Y272" s="6">
        <v>46082</v>
      </c>
      <c r="Z272" t="s">
        <v>1418</v>
      </c>
      <c r="AA272" t="s">
        <v>63</v>
      </c>
      <c r="AB272" t="s">
        <v>63</v>
      </c>
      <c r="AC272" t="s">
        <v>23</v>
      </c>
      <c r="AD272">
        <v>1</v>
      </c>
      <c r="AE272">
        <v>0</v>
      </c>
      <c r="AF272">
        <v>1</v>
      </c>
      <c r="AG272">
        <v>1</v>
      </c>
      <c r="AH272">
        <v>0</v>
      </c>
      <c r="AI272">
        <v>0</v>
      </c>
      <c r="AJ272">
        <v>1</v>
      </c>
    </row>
    <row r="273" spans="1:36">
      <c r="A273" t="s">
        <v>382</v>
      </c>
      <c r="B273">
        <v>26.01</v>
      </c>
      <c r="C273" s="7">
        <v>46039.127083333333</v>
      </c>
      <c r="D273" s="7">
        <v>46040.210862129628</v>
      </c>
      <c r="E273" t="s">
        <v>23</v>
      </c>
      <c r="F273" t="s">
        <v>33</v>
      </c>
      <c r="G273" t="s">
        <v>51</v>
      </c>
      <c r="H273" t="s">
        <v>26</v>
      </c>
      <c r="I273" t="s">
        <v>35</v>
      </c>
      <c r="J273" t="s">
        <v>36</v>
      </c>
      <c r="K273" t="s">
        <v>52</v>
      </c>
      <c r="L273" t="s">
        <v>55</v>
      </c>
      <c r="M273">
        <v>119</v>
      </c>
      <c r="N273">
        <v>4</v>
      </c>
      <c r="O273">
        <v>0</v>
      </c>
      <c r="P273">
        <v>6</v>
      </c>
      <c r="Q273" t="s">
        <v>31</v>
      </c>
      <c r="R273">
        <v>240</v>
      </c>
      <c r="S273">
        <v>48</v>
      </c>
      <c r="T273" t="s">
        <v>63</v>
      </c>
      <c r="U273" t="s">
        <v>63</v>
      </c>
      <c r="V273">
        <v>2026</v>
      </c>
      <c r="W273">
        <v>1</v>
      </c>
      <c r="X273" t="s">
        <v>1414</v>
      </c>
      <c r="Y273" s="6">
        <v>46023</v>
      </c>
      <c r="Z273" t="s">
        <v>1413</v>
      </c>
      <c r="AA273" t="s">
        <v>31</v>
      </c>
      <c r="AB273" t="s">
        <v>63</v>
      </c>
      <c r="AC273" t="s">
        <v>23</v>
      </c>
      <c r="AD273">
        <v>1</v>
      </c>
      <c r="AE273">
        <v>0</v>
      </c>
      <c r="AF273">
        <v>1</v>
      </c>
      <c r="AG273">
        <v>0</v>
      </c>
      <c r="AH273">
        <v>0</v>
      </c>
      <c r="AI273">
        <v>1</v>
      </c>
      <c r="AJ273">
        <v>1</v>
      </c>
    </row>
    <row r="274" spans="1:36">
      <c r="A274" t="s">
        <v>383</v>
      </c>
      <c r="B274">
        <v>3.73</v>
      </c>
      <c r="C274" s="7">
        <v>46105.600694444445</v>
      </c>
      <c r="D274" s="7">
        <v>46105.756115983793</v>
      </c>
      <c r="E274" t="s">
        <v>23</v>
      </c>
      <c r="F274" t="s">
        <v>24</v>
      </c>
      <c r="G274" t="s">
        <v>25</v>
      </c>
      <c r="H274" t="s">
        <v>26</v>
      </c>
      <c r="I274" t="s">
        <v>35</v>
      </c>
      <c r="J274" t="s">
        <v>28</v>
      </c>
      <c r="K274" t="s">
        <v>52</v>
      </c>
      <c r="L274" t="s">
        <v>85</v>
      </c>
      <c r="M274">
        <v>14</v>
      </c>
      <c r="N274">
        <v>4</v>
      </c>
      <c r="O274">
        <v>0</v>
      </c>
      <c r="P274">
        <v>2</v>
      </c>
      <c r="Q274" t="s">
        <v>31</v>
      </c>
      <c r="R274">
        <v>15</v>
      </c>
      <c r="S274">
        <v>4</v>
      </c>
      <c r="T274" t="s">
        <v>63</v>
      </c>
      <c r="U274" t="s">
        <v>63</v>
      </c>
      <c r="V274">
        <v>2026</v>
      </c>
      <c r="W274">
        <v>3</v>
      </c>
      <c r="X274" t="s">
        <v>1423</v>
      </c>
      <c r="Y274" s="6">
        <v>46082</v>
      </c>
      <c r="Z274" t="s">
        <v>1413</v>
      </c>
      <c r="AA274" t="s">
        <v>31</v>
      </c>
      <c r="AB274" t="s">
        <v>63</v>
      </c>
      <c r="AC274" t="s">
        <v>23</v>
      </c>
      <c r="AD274">
        <v>1</v>
      </c>
      <c r="AE274">
        <v>0</v>
      </c>
      <c r="AF274">
        <v>1</v>
      </c>
      <c r="AG274">
        <v>0</v>
      </c>
      <c r="AH274">
        <v>0</v>
      </c>
      <c r="AI274">
        <v>1</v>
      </c>
      <c r="AJ274">
        <v>1</v>
      </c>
    </row>
    <row r="275" spans="1:36">
      <c r="A275" t="s">
        <v>384</v>
      </c>
      <c r="B275">
        <v>51.9</v>
      </c>
      <c r="C275" s="7">
        <v>46091.981249999997</v>
      </c>
      <c r="D275" s="7">
        <v>46094.143851666668</v>
      </c>
      <c r="E275" t="s">
        <v>23</v>
      </c>
      <c r="F275" t="s">
        <v>33</v>
      </c>
      <c r="G275" t="s">
        <v>25</v>
      </c>
      <c r="H275" t="s">
        <v>54</v>
      </c>
      <c r="I275" t="s">
        <v>42</v>
      </c>
      <c r="J275" t="s">
        <v>36</v>
      </c>
      <c r="K275" t="s">
        <v>76</v>
      </c>
      <c r="L275" t="s">
        <v>44</v>
      </c>
      <c r="M275">
        <v>369</v>
      </c>
      <c r="N275">
        <v>3</v>
      </c>
      <c r="O275">
        <v>0</v>
      </c>
      <c r="P275">
        <v>7</v>
      </c>
      <c r="Q275" t="s">
        <v>31</v>
      </c>
      <c r="R275">
        <v>240</v>
      </c>
      <c r="S275">
        <v>48</v>
      </c>
      <c r="T275" t="s">
        <v>31</v>
      </c>
      <c r="U275" t="s">
        <v>31</v>
      </c>
      <c r="V275">
        <v>2026</v>
      </c>
      <c r="W275">
        <v>3</v>
      </c>
      <c r="X275" t="s">
        <v>1423</v>
      </c>
      <c r="Y275" s="6">
        <v>46082</v>
      </c>
      <c r="Z275" t="s">
        <v>1418</v>
      </c>
      <c r="AA275" t="s">
        <v>31</v>
      </c>
      <c r="AB275" t="s">
        <v>63</v>
      </c>
      <c r="AC275" t="s">
        <v>23</v>
      </c>
      <c r="AD275">
        <v>1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</row>
    <row r="276" spans="1:36">
      <c r="A276" t="s">
        <v>385</v>
      </c>
      <c r="B276">
        <v>30.39</v>
      </c>
      <c r="C276" s="7">
        <v>46222.029861111114</v>
      </c>
      <c r="D276" s="7">
        <v>46223.296310752317</v>
      </c>
      <c r="E276" t="s">
        <v>23</v>
      </c>
      <c r="F276" t="s">
        <v>50</v>
      </c>
      <c r="G276" t="s">
        <v>25</v>
      </c>
      <c r="H276" t="s">
        <v>26</v>
      </c>
      <c r="I276" t="s">
        <v>35</v>
      </c>
      <c r="J276" t="s">
        <v>28</v>
      </c>
      <c r="K276" t="s">
        <v>76</v>
      </c>
      <c r="L276" t="s">
        <v>55</v>
      </c>
      <c r="M276">
        <v>149</v>
      </c>
      <c r="N276">
        <v>4</v>
      </c>
      <c r="O276">
        <v>0</v>
      </c>
      <c r="P276">
        <v>7</v>
      </c>
      <c r="Q276" t="s">
        <v>31</v>
      </c>
      <c r="R276">
        <v>120</v>
      </c>
      <c r="S276">
        <v>24</v>
      </c>
      <c r="T276" t="s">
        <v>31</v>
      </c>
      <c r="U276" t="s">
        <v>31</v>
      </c>
      <c r="V276">
        <v>2026</v>
      </c>
      <c r="W276">
        <v>7</v>
      </c>
      <c r="X276" t="s">
        <v>1422</v>
      </c>
      <c r="Y276" s="6">
        <v>46204</v>
      </c>
      <c r="Z276" t="s">
        <v>1413</v>
      </c>
      <c r="AA276" t="s">
        <v>31</v>
      </c>
      <c r="AB276" t="s">
        <v>63</v>
      </c>
      <c r="AC276" t="s">
        <v>23</v>
      </c>
      <c r="AD276">
        <v>1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</row>
    <row r="277" spans="1:36">
      <c r="A277" t="s">
        <v>386</v>
      </c>
      <c r="B277">
        <v>36.39</v>
      </c>
      <c r="C277" s="7">
        <v>46220.209027777775</v>
      </c>
      <c r="D277" s="7">
        <v>46221.725096331022</v>
      </c>
      <c r="E277" t="s">
        <v>23</v>
      </c>
      <c r="F277" t="s">
        <v>33</v>
      </c>
      <c r="G277" t="s">
        <v>51</v>
      </c>
      <c r="H277" t="s">
        <v>26</v>
      </c>
      <c r="I277" t="s">
        <v>35</v>
      </c>
      <c r="J277" t="s">
        <v>43</v>
      </c>
      <c r="K277" t="s">
        <v>37</v>
      </c>
      <c r="L277" t="s">
        <v>44</v>
      </c>
      <c r="M277">
        <v>48</v>
      </c>
      <c r="N277">
        <v>4</v>
      </c>
      <c r="O277">
        <v>0</v>
      </c>
      <c r="P277">
        <v>5</v>
      </c>
      <c r="Q277" t="s">
        <v>31</v>
      </c>
      <c r="R277">
        <v>240</v>
      </c>
      <c r="S277">
        <v>48</v>
      </c>
      <c r="T277" t="s">
        <v>63</v>
      </c>
      <c r="U277" t="s">
        <v>63</v>
      </c>
      <c r="V277">
        <v>2026</v>
      </c>
      <c r="W277">
        <v>7</v>
      </c>
      <c r="X277" t="s">
        <v>1422</v>
      </c>
      <c r="Y277" s="6">
        <v>46204</v>
      </c>
      <c r="Z277" t="s">
        <v>1413</v>
      </c>
      <c r="AA277" t="s">
        <v>31</v>
      </c>
      <c r="AB277" t="s">
        <v>63</v>
      </c>
      <c r="AC277" t="s">
        <v>23</v>
      </c>
      <c r="AD277">
        <v>1</v>
      </c>
      <c r="AE277">
        <v>0</v>
      </c>
      <c r="AF277">
        <v>1</v>
      </c>
      <c r="AG277">
        <v>0</v>
      </c>
      <c r="AH277">
        <v>0</v>
      </c>
      <c r="AI277">
        <v>1</v>
      </c>
      <c r="AJ277">
        <v>1</v>
      </c>
    </row>
    <row r="278" spans="1:36">
      <c r="A278" t="s">
        <v>387</v>
      </c>
      <c r="B278">
        <v>8.14</v>
      </c>
      <c r="C278" s="7">
        <v>46050.452777777777</v>
      </c>
      <c r="D278" s="7">
        <v>46050.792060659725</v>
      </c>
      <c r="E278" t="s">
        <v>23</v>
      </c>
      <c r="F278" t="s">
        <v>50</v>
      </c>
      <c r="G278" t="s">
        <v>65</v>
      </c>
      <c r="H278" t="s">
        <v>66</v>
      </c>
      <c r="I278" t="s">
        <v>35</v>
      </c>
      <c r="J278" t="s">
        <v>36</v>
      </c>
      <c r="K278" t="s">
        <v>37</v>
      </c>
      <c r="L278" t="s">
        <v>44</v>
      </c>
      <c r="M278">
        <v>111</v>
      </c>
      <c r="N278">
        <v>5</v>
      </c>
      <c r="O278">
        <v>0</v>
      </c>
      <c r="P278">
        <v>3</v>
      </c>
      <c r="Q278" t="s">
        <v>31</v>
      </c>
      <c r="R278">
        <v>120</v>
      </c>
      <c r="S278">
        <v>24</v>
      </c>
      <c r="T278" t="s">
        <v>63</v>
      </c>
      <c r="U278" t="s">
        <v>63</v>
      </c>
      <c r="V278">
        <v>2026</v>
      </c>
      <c r="W278">
        <v>1</v>
      </c>
      <c r="X278" t="s">
        <v>1414</v>
      </c>
      <c r="Y278" s="6">
        <v>46023</v>
      </c>
      <c r="Z278" t="s">
        <v>1413</v>
      </c>
      <c r="AA278" t="s">
        <v>31</v>
      </c>
      <c r="AB278" t="s">
        <v>63</v>
      </c>
      <c r="AC278" t="s">
        <v>23</v>
      </c>
      <c r="AD278">
        <v>1</v>
      </c>
      <c r="AE278">
        <v>0</v>
      </c>
      <c r="AF278">
        <v>1</v>
      </c>
      <c r="AG278">
        <v>0</v>
      </c>
      <c r="AH278">
        <v>0</v>
      </c>
      <c r="AI278">
        <v>1</v>
      </c>
      <c r="AJ278">
        <v>1</v>
      </c>
    </row>
    <row r="279" spans="1:36">
      <c r="A279" t="s">
        <v>388</v>
      </c>
      <c r="B279">
        <v>24.59</v>
      </c>
      <c r="C279" s="7">
        <v>46066.543055555558</v>
      </c>
      <c r="D279" s="7">
        <v>46067.567813368056</v>
      </c>
      <c r="E279" t="s">
        <v>23</v>
      </c>
      <c r="F279" t="s">
        <v>33</v>
      </c>
      <c r="G279" t="s">
        <v>41</v>
      </c>
      <c r="H279" t="s">
        <v>54</v>
      </c>
      <c r="I279" t="s">
        <v>35</v>
      </c>
      <c r="J279" t="s">
        <v>43</v>
      </c>
      <c r="K279" t="s">
        <v>58</v>
      </c>
      <c r="L279" t="s">
        <v>85</v>
      </c>
      <c r="M279">
        <v>424</v>
      </c>
      <c r="N279">
        <v>3</v>
      </c>
      <c r="O279">
        <v>0</v>
      </c>
      <c r="P279">
        <v>6</v>
      </c>
      <c r="Q279" t="s">
        <v>31</v>
      </c>
      <c r="R279">
        <v>240</v>
      </c>
      <c r="S279">
        <v>48</v>
      </c>
      <c r="T279" t="s">
        <v>31</v>
      </c>
      <c r="U279" t="s">
        <v>63</v>
      </c>
      <c r="V279">
        <v>2026</v>
      </c>
      <c r="W279">
        <v>2</v>
      </c>
      <c r="X279" t="s">
        <v>1419</v>
      </c>
      <c r="Y279" s="6">
        <v>46054</v>
      </c>
      <c r="Z279" t="s">
        <v>1418</v>
      </c>
      <c r="AA279" t="s">
        <v>31</v>
      </c>
      <c r="AB279" t="s">
        <v>63</v>
      </c>
      <c r="AC279" t="s">
        <v>23</v>
      </c>
      <c r="AD279">
        <v>1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1</v>
      </c>
    </row>
    <row r="280" spans="1:36">
      <c r="A280" t="s">
        <v>389</v>
      </c>
      <c r="B280">
        <v>26.8</v>
      </c>
      <c r="C280" s="7">
        <v>46190.400000000001</v>
      </c>
      <c r="D280" s="7">
        <v>46191.516686273149</v>
      </c>
      <c r="E280" t="s">
        <v>23</v>
      </c>
      <c r="F280" t="s">
        <v>40</v>
      </c>
      <c r="G280" t="s">
        <v>41</v>
      </c>
      <c r="H280" t="s">
        <v>75</v>
      </c>
      <c r="I280" t="s">
        <v>27</v>
      </c>
      <c r="J280" t="s">
        <v>28</v>
      </c>
      <c r="K280" t="s">
        <v>37</v>
      </c>
      <c r="L280" t="s">
        <v>1401</v>
      </c>
      <c r="M280">
        <v>64</v>
      </c>
      <c r="N280">
        <v>4</v>
      </c>
      <c r="O280">
        <v>0</v>
      </c>
      <c r="P280">
        <v>2</v>
      </c>
      <c r="Q280" t="s">
        <v>31</v>
      </c>
      <c r="R280">
        <v>30</v>
      </c>
      <c r="S280">
        <v>8</v>
      </c>
      <c r="T280" t="s">
        <v>31</v>
      </c>
      <c r="U280" t="s">
        <v>31</v>
      </c>
      <c r="V280">
        <v>2026</v>
      </c>
      <c r="W280">
        <v>6</v>
      </c>
      <c r="X280" t="s">
        <v>1421</v>
      </c>
      <c r="Y280" s="6">
        <v>46174</v>
      </c>
      <c r="Z280" t="s">
        <v>1413</v>
      </c>
      <c r="AA280" t="s">
        <v>31</v>
      </c>
      <c r="AB280" t="s">
        <v>63</v>
      </c>
      <c r="AC280" t="s">
        <v>23</v>
      </c>
      <c r="AD280">
        <v>1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</row>
    <row r="281" spans="1:36">
      <c r="A281" t="s">
        <v>390</v>
      </c>
      <c r="B281">
        <v>3.22</v>
      </c>
      <c r="C281" s="7">
        <v>46086.615277777775</v>
      </c>
      <c r="D281" s="7">
        <v>46086.74928167824</v>
      </c>
      <c r="E281" t="s">
        <v>23</v>
      </c>
      <c r="F281" t="s">
        <v>24</v>
      </c>
      <c r="G281" t="s">
        <v>41</v>
      </c>
      <c r="H281" t="s">
        <v>54</v>
      </c>
      <c r="I281" t="s">
        <v>42</v>
      </c>
      <c r="J281" t="s">
        <v>48</v>
      </c>
      <c r="K281" t="s">
        <v>29</v>
      </c>
      <c r="L281" t="s">
        <v>62</v>
      </c>
      <c r="M281">
        <v>10</v>
      </c>
      <c r="N281">
        <v>5</v>
      </c>
      <c r="O281">
        <v>0</v>
      </c>
      <c r="P281">
        <v>3</v>
      </c>
      <c r="Q281" t="s">
        <v>31</v>
      </c>
      <c r="R281">
        <v>15</v>
      </c>
      <c r="S281">
        <v>4</v>
      </c>
      <c r="T281" t="s">
        <v>63</v>
      </c>
      <c r="U281" t="s">
        <v>63</v>
      </c>
      <c r="V281">
        <v>2026</v>
      </c>
      <c r="W281">
        <v>3</v>
      </c>
      <c r="X281" t="s">
        <v>1423</v>
      </c>
      <c r="Y281" s="6">
        <v>46082</v>
      </c>
      <c r="Z281" t="s">
        <v>1413</v>
      </c>
      <c r="AA281" t="s">
        <v>31</v>
      </c>
      <c r="AB281" t="s">
        <v>63</v>
      </c>
      <c r="AC281" t="s">
        <v>23</v>
      </c>
      <c r="AD281">
        <v>1</v>
      </c>
      <c r="AE281">
        <v>0</v>
      </c>
      <c r="AF281">
        <v>1</v>
      </c>
      <c r="AG281">
        <v>0</v>
      </c>
      <c r="AH281">
        <v>0</v>
      </c>
      <c r="AI281">
        <v>1</v>
      </c>
      <c r="AJ281">
        <v>1</v>
      </c>
    </row>
    <row r="282" spans="1:36">
      <c r="A282" t="s">
        <v>391</v>
      </c>
      <c r="B282">
        <v>13.11</v>
      </c>
      <c r="C282" s="7">
        <v>46150.740277777775</v>
      </c>
      <c r="D282" s="7">
        <v>46151.286361284721</v>
      </c>
      <c r="E282" t="s">
        <v>23</v>
      </c>
      <c r="F282" t="s">
        <v>40</v>
      </c>
      <c r="G282" t="s">
        <v>65</v>
      </c>
      <c r="H282" t="s">
        <v>34</v>
      </c>
      <c r="I282" t="s">
        <v>27</v>
      </c>
      <c r="J282" t="s">
        <v>43</v>
      </c>
      <c r="K282" t="s">
        <v>76</v>
      </c>
      <c r="L282" t="s">
        <v>68</v>
      </c>
      <c r="M282">
        <v>29</v>
      </c>
      <c r="N282">
        <v>4</v>
      </c>
      <c r="O282">
        <v>0</v>
      </c>
      <c r="P282">
        <v>5</v>
      </c>
      <c r="Q282" t="s">
        <v>63</v>
      </c>
      <c r="R282">
        <v>30</v>
      </c>
      <c r="S282">
        <v>8</v>
      </c>
      <c r="T282" t="s">
        <v>63</v>
      </c>
      <c r="U282" t="s">
        <v>31</v>
      </c>
      <c r="V282">
        <v>2026</v>
      </c>
      <c r="W282">
        <v>5</v>
      </c>
      <c r="X282" t="s">
        <v>1416</v>
      </c>
      <c r="Y282" s="6">
        <v>46143</v>
      </c>
      <c r="Z282" t="s">
        <v>1413</v>
      </c>
      <c r="AA282" t="s">
        <v>31</v>
      </c>
      <c r="AB282" t="s">
        <v>63</v>
      </c>
      <c r="AC282" t="s">
        <v>23</v>
      </c>
      <c r="AD282">
        <v>1</v>
      </c>
      <c r="AE282">
        <v>0</v>
      </c>
      <c r="AF282">
        <v>1</v>
      </c>
      <c r="AG282">
        <v>0</v>
      </c>
      <c r="AH282">
        <v>1</v>
      </c>
      <c r="AI282">
        <v>1</v>
      </c>
      <c r="AJ282">
        <v>0</v>
      </c>
    </row>
    <row r="283" spans="1:36">
      <c r="A283" t="s">
        <v>392</v>
      </c>
      <c r="B283">
        <v>7.48</v>
      </c>
      <c r="C283" s="7">
        <v>46120.677083333336</v>
      </c>
      <c r="D283" s="7">
        <v>46120.988644004632</v>
      </c>
      <c r="E283" t="s">
        <v>23</v>
      </c>
      <c r="F283" t="s">
        <v>50</v>
      </c>
      <c r="G283" t="s">
        <v>51</v>
      </c>
      <c r="H283" t="s">
        <v>34</v>
      </c>
      <c r="I283" t="s">
        <v>35</v>
      </c>
      <c r="J283" t="s">
        <v>43</v>
      </c>
      <c r="K283" t="s">
        <v>29</v>
      </c>
      <c r="L283" t="s">
        <v>71</v>
      </c>
      <c r="M283">
        <v>167</v>
      </c>
      <c r="N283">
        <v>4</v>
      </c>
      <c r="O283">
        <v>0</v>
      </c>
      <c r="P283">
        <v>10</v>
      </c>
      <c r="Q283" t="s">
        <v>63</v>
      </c>
      <c r="R283">
        <v>120</v>
      </c>
      <c r="S283">
        <v>24</v>
      </c>
      <c r="T283" t="s">
        <v>31</v>
      </c>
      <c r="U283" t="s">
        <v>63</v>
      </c>
      <c r="V283">
        <v>2026</v>
      </c>
      <c r="W283">
        <v>4</v>
      </c>
      <c r="X283" t="s">
        <v>1412</v>
      </c>
      <c r="Y283" s="6">
        <v>46113</v>
      </c>
      <c r="Z283" t="s">
        <v>1413</v>
      </c>
      <c r="AA283" t="s">
        <v>31</v>
      </c>
      <c r="AB283" t="s">
        <v>63</v>
      </c>
      <c r="AC283" t="s">
        <v>23</v>
      </c>
      <c r="AD283">
        <v>1</v>
      </c>
      <c r="AE283">
        <v>0</v>
      </c>
      <c r="AF283">
        <v>1</v>
      </c>
      <c r="AG283">
        <v>0</v>
      </c>
      <c r="AH283">
        <v>1</v>
      </c>
      <c r="AI283">
        <v>0</v>
      </c>
      <c r="AJ283">
        <v>1</v>
      </c>
    </row>
    <row r="284" spans="1:36">
      <c r="A284" t="s">
        <v>393</v>
      </c>
      <c r="B284">
        <v>22.93</v>
      </c>
      <c r="C284" s="7">
        <v>46120.050694444442</v>
      </c>
      <c r="D284" s="7">
        <v>46121.006263344905</v>
      </c>
      <c r="E284" t="s">
        <v>23</v>
      </c>
      <c r="F284" t="s">
        <v>50</v>
      </c>
      <c r="G284" t="s">
        <v>41</v>
      </c>
      <c r="H284" t="s">
        <v>26</v>
      </c>
      <c r="I284" t="s">
        <v>42</v>
      </c>
      <c r="J284" t="s">
        <v>28</v>
      </c>
      <c r="K284" t="s">
        <v>58</v>
      </c>
      <c r="L284" t="s">
        <v>68</v>
      </c>
      <c r="M284">
        <v>259</v>
      </c>
      <c r="N284">
        <v>4</v>
      </c>
      <c r="O284">
        <v>0</v>
      </c>
      <c r="P284">
        <v>5</v>
      </c>
      <c r="Q284" t="s">
        <v>31</v>
      </c>
      <c r="R284">
        <v>120</v>
      </c>
      <c r="S284">
        <v>24</v>
      </c>
      <c r="T284" t="s">
        <v>31</v>
      </c>
      <c r="U284" t="s">
        <v>63</v>
      </c>
      <c r="V284">
        <v>2026</v>
      </c>
      <c r="W284">
        <v>4</v>
      </c>
      <c r="X284" t="s">
        <v>1412</v>
      </c>
      <c r="Y284" s="6">
        <v>46113</v>
      </c>
      <c r="Z284" t="s">
        <v>1413</v>
      </c>
      <c r="AA284" t="s">
        <v>31</v>
      </c>
      <c r="AB284" t="s">
        <v>63</v>
      </c>
      <c r="AC284" t="s">
        <v>23</v>
      </c>
      <c r="AD284">
        <v>1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1</v>
      </c>
    </row>
    <row r="285" spans="1:36">
      <c r="A285" t="s">
        <v>394</v>
      </c>
      <c r="B285">
        <v>6.39</v>
      </c>
      <c r="C285" s="7">
        <v>46129.854861111111</v>
      </c>
      <c r="D285" s="7">
        <v>46130.121289340277</v>
      </c>
      <c r="E285" t="s">
        <v>23</v>
      </c>
      <c r="F285" t="s">
        <v>24</v>
      </c>
      <c r="G285" t="s">
        <v>41</v>
      </c>
      <c r="H285" t="s">
        <v>34</v>
      </c>
      <c r="I285" t="s">
        <v>42</v>
      </c>
      <c r="J285" t="s">
        <v>48</v>
      </c>
      <c r="K285" t="s">
        <v>52</v>
      </c>
      <c r="L285" t="s">
        <v>44</v>
      </c>
      <c r="M285">
        <v>35</v>
      </c>
      <c r="N285">
        <v>4</v>
      </c>
      <c r="O285">
        <v>0</v>
      </c>
      <c r="P285">
        <v>7</v>
      </c>
      <c r="Q285" t="s">
        <v>31</v>
      </c>
      <c r="R285">
        <v>15</v>
      </c>
      <c r="S285">
        <v>4</v>
      </c>
      <c r="T285" t="s">
        <v>31</v>
      </c>
      <c r="U285" t="s">
        <v>31</v>
      </c>
      <c r="V285">
        <v>2026</v>
      </c>
      <c r="W285">
        <v>4</v>
      </c>
      <c r="X285" t="s">
        <v>1412</v>
      </c>
      <c r="Y285" s="6">
        <v>46113</v>
      </c>
      <c r="Z285" t="s">
        <v>1413</v>
      </c>
      <c r="AA285" t="s">
        <v>31</v>
      </c>
      <c r="AB285" t="s">
        <v>63</v>
      </c>
      <c r="AC285" t="s">
        <v>23</v>
      </c>
      <c r="AD285">
        <v>1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</row>
    <row r="286" spans="1:36">
      <c r="A286" t="s">
        <v>395</v>
      </c>
      <c r="B286">
        <v>37.340000000000003</v>
      </c>
      <c r="C286" s="7">
        <v>46120.694444444445</v>
      </c>
      <c r="D286" s="7">
        <v>46122.250367094908</v>
      </c>
      <c r="E286" t="s">
        <v>23</v>
      </c>
      <c r="F286" t="s">
        <v>33</v>
      </c>
      <c r="G286" t="s">
        <v>65</v>
      </c>
      <c r="H286" t="s">
        <v>75</v>
      </c>
      <c r="I286" t="s">
        <v>35</v>
      </c>
      <c r="J286" t="s">
        <v>28</v>
      </c>
      <c r="K286" t="s">
        <v>37</v>
      </c>
      <c r="L286" t="s">
        <v>44</v>
      </c>
      <c r="M286">
        <v>199</v>
      </c>
      <c r="O286">
        <v>0</v>
      </c>
      <c r="P286">
        <v>5</v>
      </c>
      <c r="Q286" t="s">
        <v>31</v>
      </c>
      <c r="R286">
        <v>240</v>
      </c>
      <c r="S286">
        <v>48</v>
      </c>
      <c r="T286" t="s">
        <v>63</v>
      </c>
      <c r="U286" t="s">
        <v>63</v>
      </c>
      <c r="V286">
        <v>2026</v>
      </c>
      <c r="W286">
        <v>4</v>
      </c>
      <c r="X286" t="s">
        <v>1412</v>
      </c>
      <c r="Y286" s="6">
        <v>46113</v>
      </c>
      <c r="Z286" t="s">
        <v>1420</v>
      </c>
      <c r="AA286" t="s">
        <v>31</v>
      </c>
      <c r="AB286" t="s">
        <v>31</v>
      </c>
      <c r="AC286" t="s">
        <v>23</v>
      </c>
      <c r="AD286">
        <v>1</v>
      </c>
      <c r="AE286">
        <v>0</v>
      </c>
      <c r="AF286">
        <v>1</v>
      </c>
      <c r="AG286">
        <v>0</v>
      </c>
      <c r="AH286">
        <v>0</v>
      </c>
      <c r="AI286">
        <v>1</v>
      </c>
      <c r="AJ286">
        <v>1</v>
      </c>
    </row>
    <row r="287" spans="1:36">
      <c r="A287" t="s">
        <v>396</v>
      </c>
      <c r="B287">
        <v>18.260000000000002</v>
      </c>
      <c r="C287" s="7">
        <v>46204.080555555556</v>
      </c>
      <c r="D287" s="7">
        <v>46204.841494270833</v>
      </c>
      <c r="E287" t="s">
        <v>23</v>
      </c>
      <c r="F287" t="s">
        <v>50</v>
      </c>
      <c r="G287" t="s">
        <v>51</v>
      </c>
      <c r="H287" t="s">
        <v>26</v>
      </c>
      <c r="I287" t="s">
        <v>35</v>
      </c>
      <c r="J287" t="s">
        <v>48</v>
      </c>
      <c r="K287" t="s">
        <v>29</v>
      </c>
      <c r="L287" t="s">
        <v>93</v>
      </c>
      <c r="M287">
        <v>60</v>
      </c>
      <c r="N287">
        <v>4</v>
      </c>
      <c r="O287">
        <v>0</v>
      </c>
      <c r="P287">
        <v>5</v>
      </c>
      <c r="Q287" t="s">
        <v>31</v>
      </c>
      <c r="R287">
        <v>120</v>
      </c>
      <c r="S287">
        <v>24</v>
      </c>
      <c r="T287" t="s">
        <v>63</v>
      </c>
      <c r="U287" t="s">
        <v>63</v>
      </c>
      <c r="V287">
        <v>2026</v>
      </c>
      <c r="W287">
        <v>7</v>
      </c>
      <c r="X287" t="s">
        <v>1422</v>
      </c>
      <c r="Y287" s="6">
        <v>46204</v>
      </c>
      <c r="Z287" t="s">
        <v>1413</v>
      </c>
      <c r="AA287" t="s">
        <v>31</v>
      </c>
      <c r="AB287" t="s">
        <v>63</v>
      </c>
      <c r="AC287" t="s">
        <v>23</v>
      </c>
      <c r="AD287">
        <v>1</v>
      </c>
      <c r="AE287">
        <v>0</v>
      </c>
      <c r="AF287">
        <v>1</v>
      </c>
      <c r="AG287">
        <v>0</v>
      </c>
      <c r="AH287">
        <v>0</v>
      </c>
      <c r="AI287">
        <v>1</v>
      </c>
      <c r="AJ287">
        <v>1</v>
      </c>
    </row>
    <row r="288" spans="1:36">
      <c r="A288" t="s">
        <v>397</v>
      </c>
      <c r="B288">
        <v>23.06</v>
      </c>
      <c r="C288" s="7">
        <v>46215.532638888886</v>
      </c>
      <c r="D288" s="7">
        <v>46216.493512476853</v>
      </c>
      <c r="E288" t="s">
        <v>23</v>
      </c>
      <c r="F288" t="s">
        <v>50</v>
      </c>
      <c r="G288" t="s">
        <v>25</v>
      </c>
      <c r="H288" t="s">
        <v>54</v>
      </c>
      <c r="I288" t="s">
        <v>35</v>
      </c>
      <c r="J288" t="s">
        <v>36</v>
      </c>
      <c r="K288" t="s">
        <v>76</v>
      </c>
      <c r="L288" t="s">
        <v>30</v>
      </c>
      <c r="M288">
        <v>46</v>
      </c>
      <c r="N288">
        <v>4</v>
      </c>
      <c r="O288">
        <v>0</v>
      </c>
      <c r="P288">
        <v>8</v>
      </c>
      <c r="Q288" t="s">
        <v>63</v>
      </c>
      <c r="R288">
        <v>120</v>
      </c>
      <c r="S288">
        <v>24</v>
      </c>
      <c r="T288" t="s">
        <v>63</v>
      </c>
      <c r="U288" t="s">
        <v>63</v>
      </c>
      <c r="V288">
        <v>2026</v>
      </c>
      <c r="W288">
        <v>7</v>
      </c>
      <c r="X288" t="s">
        <v>1422</v>
      </c>
      <c r="Y288" s="6">
        <v>46204</v>
      </c>
      <c r="Z288" t="s">
        <v>1413</v>
      </c>
      <c r="AA288" t="s">
        <v>31</v>
      </c>
      <c r="AB288" t="s">
        <v>63</v>
      </c>
      <c r="AC288" t="s">
        <v>23</v>
      </c>
      <c r="AD288">
        <v>1</v>
      </c>
      <c r="AE288">
        <v>0</v>
      </c>
      <c r="AF288">
        <v>1</v>
      </c>
      <c r="AG288">
        <v>0</v>
      </c>
      <c r="AH288">
        <v>1</v>
      </c>
      <c r="AI288">
        <v>1</v>
      </c>
      <c r="AJ288">
        <v>1</v>
      </c>
    </row>
    <row r="289" spans="1:36">
      <c r="A289" t="s">
        <v>398</v>
      </c>
      <c r="B289">
        <v>7.02</v>
      </c>
      <c r="C289" s="7">
        <v>46140.242361111108</v>
      </c>
      <c r="D289" s="7">
        <v>46140.534722222219</v>
      </c>
      <c r="E289" t="s">
        <v>23</v>
      </c>
      <c r="F289" t="s">
        <v>40</v>
      </c>
      <c r="G289" t="s">
        <v>51</v>
      </c>
      <c r="H289" t="s">
        <v>75</v>
      </c>
      <c r="I289" t="s">
        <v>35</v>
      </c>
      <c r="J289" t="s">
        <v>48</v>
      </c>
      <c r="K289" t="s">
        <v>52</v>
      </c>
      <c r="L289" t="s">
        <v>44</v>
      </c>
      <c r="M289">
        <v>30</v>
      </c>
      <c r="N289">
        <v>4</v>
      </c>
      <c r="O289">
        <v>0</v>
      </c>
      <c r="P289">
        <v>3</v>
      </c>
      <c r="Q289" t="s">
        <v>31</v>
      </c>
      <c r="R289">
        <v>30</v>
      </c>
      <c r="S289">
        <v>8</v>
      </c>
      <c r="T289" t="s">
        <v>63</v>
      </c>
      <c r="U289" t="s">
        <v>63</v>
      </c>
      <c r="V289">
        <v>2026</v>
      </c>
      <c r="W289">
        <v>4</v>
      </c>
      <c r="X289" t="s">
        <v>1412</v>
      </c>
      <c r="Y289" s="6">
        <v>46113</v>
      </c>
      <c r="Z289" t="s">
        <v>1413</v>
      </c>
      <c r="AA289" t="s">
        <v>31</v>
      </c>
      <c r="AB289" t="s">
        <v>63</v>
      </c>
      <c r="AC289" t="s">
        <v>23</v>
      </c>
      <c r="AD289">
        <v>1</v>
      </c>
      <c r="AE289">
        <v>0</v>
      </c>
      <c r="AF289">
        <v>1</v>
      </c>
      <c r="AG289">
        <v>0</v>
      </c>
      <c r="AH289">
        <v>0</v>
      </c>
      <c r="AI289">
        <v>1</v>
      </c>
      <c r="AJ289">
        <v>1</v>
      </c>
    </row>
    <row r="290" spans="1:36">
      <c r="A290" t="s">
        <v>400</v>
      </c>
      <c r="B290">
        <v>14.17</v>
      </c>
      <c r="C290" s="7">
        <v>46264.324305555558</v>
      </c>
      <c r="D290" s="7">
        <v>46264.914630162035</v>
      </c>
      <c r="E290" t="s">
        <v>23</v>
      </c>
      <c r="F290" t="s">
        <v>50</v>
      </c>
      <c r="G290" t="s">
        <v>51</v>
      </c>
      <c r="H290" t="s">
        <v>75</v>
      </c>
      <c r="I290" t="s">
        <v>35</v>
      </c>
      <c r="J290" t="s">
        <v>28</v>
      </c>
      <c r="K290" t="s">
        <v>29</v>
      </c>
      <c r="L290" t="s">
        <v>38</v>
      </c>
      <c r="M290">
        <v>157</v>
      </c>
      <c r="N290">
        <v>4</v>
      </c>
      <c r="O290">
        <v>0</v>
      </c>
      <c r="P290">
        <v>7</v>
      </c>
      <c r="Q290" t="s">
        <v>31</v>
      </c>
      <c r="R290">
        <v>120</v>
      </c>
      <c r="S290">
        <v>24</v>
      </c>
      <c r="T290" t="s">
        <v>31</v>
      </c>
      <c r="U290" t="s">
        <v>63</v>
      </c>
      <c r="V290">
        <v>2026</v>
      </c>
      <c r="W290">
        <v>8</v>
      </c>
      <c r="X290" t="s">
        <v>1417</v>
      </c>
      <c r="Y290" s="6">
        <v>46235</v>
      </c>
      <c r="Z290" t="s">
        <v>1413</v>
      </c>
      <c r="AA290" t="s">
        <v>31</v>
      </c>
      <c r="AB290" t="s">
        <v>63</v>
      </c>
      <c r="AC290" t="s">
        <v>23</v>
      </c>
      <c r="AD290">
        <v>1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1</v>
      </c>
    </row>
    <row r="291" spans="1:36">
      <c r="A291" t="s">
        <v>401</v>
      </c>
      <c r="B291">
        <v>6.06</v>
      </c>
      <c r="C291" s="7">
        <v>46023.592361111114</v>
      </c>
      <c r="D291" s="7">
        <v>46023.844723668983</v>
      </c>
      <c r="E291" t="s">
        <v>23</v>
      </c>
      <c r="F291" t="s">
        <v>33</v>
      </c>
      <c r="G291" t="s">
        <v>41</v>
      </c>
      <c r="H291" t="s">
        <v>75</v>
      </c>
      <c r="I291" t="s">
        <v>42</v>
      </c>
      <c r="J291" t="s">
        <v>28</v>
      </c>
      <c r="K291" t="s">
        <v>29</v>
      </c>
      <c r="L291" t="s">
        <v>68</v>
      </c>
      <c r="M291">
        <v>230</v>
      </c>
      <c r="N291">
        <v>4</v>
      </c>
      <c r="O291">
        <v>0</v>
      </c>
      <c r="P291">
        <v>3</v>
      </c>
      <c r="Q291" t="s">
        <v>31</v>
      </c>
      <c r="R291">
        <v>240</v>
      </c>
      <c r="S291">
        <v>48</v>
      </c>
      <c r="T291" t="s">
        <v>63</v>
      </c>
      <c r="U291" t="s">
        <v>63</v>
      </c>
      <c r="V291">
        <v>2026</v>
      </c>
      <c r="W291">
        <v>1</v>
      </c>
      <c r="X291" t="s">
        <v>1414</v>
      </c>
      <c r="Y291" s="6">
        <v>46023</v>
      </c>
      <c r="Z291" t="s">
        <v>1413</v>
      </c>
      <c r="AA291" t="s">
        <v>31</v>
      </c>
      <c r="AB291" t="s">
        <v>63</v>
      </c>
      <c r="AC291" t="s">
        <v>23</v>
      </c>
      <c r="AD291">
        <v>1</v>
      </c>
      <c r="AE291">
        <v>0</v>
      </c>
      <c r="AF291">
        <v>1</v>
      </c>
      <c r="AG291">
        <v>0</v>
      </c>
      <c r="AH291">
        <v>0</v>
      </c>
      <c r="AI291">
        <v>1</v>
      </c>
      <c r="AJ291">
        <v>1</v>
      </c>
    </row>
    <row r="292" spans="1:36">
      <c r="A292" t="s">
        <v>402</v>
      </c>
      <c r="C292" s="7">
        <v>46248.534722222219</v>
      </c>
      <c r="D292" s="7"/>
      <c r="E292" t="s">
        <v>57</v>
      </c>
      <c r="F292" t="s">
        <v>33</v>
      </c>
      <c r="G292" t="s">
        <v>25</v>
      </c>
      <c r="H292" t="s">
        <v>54</v>
      </c>
      <c r="I292" t="s">
        <v>35</v>
      </c>
      <c r="J292" t="s">
        <v>48</v>
      </c>
      <c r="K292" t="s">
        <v>29</v>
      </c>
      <c r="L292" t="s">
        <v>1401</v>
      </c>
      <c r="M292">
        <v>310</v>
      </c>
      <c r="O292">
        <v>0</v>
      </c>
      <c r="P292">
        <v>4</v>
      </c>
      <c r="Q292" t="s">
        <v>31</v>
      </c>
      <c r="R292">
        <v>240</v>
      </c>
      <c r="S292">
        <v>48</v>
      </c>
      <c r="T292" t="s">
        <v>31</v>
      </c>
      <c r="U292" t="s">
        <v>74</v>
      </c>
      <c r="V292">
        <v>2026</v>
      </c>
      <c r="W292">
        <v>8</v>
      </c>
      <c r="X292" t="s">
        <v>1417</v>
      </c>
      <c r="Y292" s="6">
        <v>46235</v>
      </c>
      <c r="Z292" t="s">
        <v>1420</v>
      </c>
      <c r="AA292" t="s">
        <v>31</v>
      </c>
      <c r="AB292" t="s">
        <v>31</v>
      </c>
      <c r="AC292" t="s">
        <v>57</v>
      </c>
      <c r="AD292">
        <v>1</v>
      </c>
      <c r="AE292">
        <v>1</v>
      </c>
      <c r="AF292">
        <v>0</v>
      </c>
      <c r="AG292">
        <v>0</v>
      </c>
      <c r="AH292">
        <v>0</v>
      </c>
      <c r="AI292">
        <v>0</v>
      </c>
    </row>
    <row r="293" spans="1:36">
      <c r="A293" t="s">
        <v>403</v>
      </c>
      <c r="B293">
        <v>65.260000000000005</v>
      </c>
      <c r="C293" s="7">
        <v>46261.905555555553</v>
      </c>
      <c r="D293" s="7">
        <v>46264.624790902781</v>
      </c>
      <c r="E293" t="s">
        <v>23</v>
      </c>
      <c r="F293" t="s">
        <v>33</v>
      </c>
      <c r="G293" t="s">
        <v>51</v>
      </c>
      <c r="H293" t="s">
        <v>66</v>
      </c>
      <c r="I293" t="s">
        <v>27</v>
      </c>
      <c r="J293" t="s">
        <v>36</v>
      </c>
      <c r="K293" t="s">
        <v>58</v>
      </c>
      <c r="L293" t="s">
        <v>55</v>
      </c>
      <c r="M293">
        <v>184</v>
      </c>
      <c r="N293">
        <v>3</v>
      </c>
      <c r="O293">
        <v>0</v>
      </c>
      <c r="P293">
        <v>5</v>
      </c>
      <c r="Q293" t="s">
        <v>31</v>
      </c>
      <c r="R293">
        <v>240</v>
      </c>
      <c r="S293">
        <v>48</v>
      </c>
      <c r="T293" t="s">
        <v>63</v>
      </c>
      <c r="U293" t="s">
        <v>31</v>
      </c>
      <c r="V293">
        <v>2026</v>
      </c>
      <c r="W293">
        <v>8</v>
      </c>
      <c r="X293" t="s">
        <v>1417</v>
      </c>
      <c r="Y293" s="6">
        <v>46235</v>
      </c>
      <c r="Z293" t="s">
        <v>1418</v>
      </c>
      <c r="AA293" t="s">
        <v>31</v>
      </c>
      <c r="AB293" t="s">
        <v>63</v>
      </c>
      <c r="AC293" t="s">
        <v>23</v>
      </c>
      <c r="AD293">
        <v>1</v>
      </c>
      <c r="AE293">
        <v>0</v>
      </c>
      <c r="AF293">
        <v>1</v>
      </c>
      <c r="AG293">
        <v>0</v>
      </c>
      <c r="AH293">
        <v>0</v>
      </c>
      <c r="AI293">
        <v>1</v>
      </c>
      <c r="AJ293">
        <v>0</v>
      </c>
    </row>
    <row r="294" spans="1:36">
      <c r="A294" t="s">
        <v>404</v>
      </c>
      <c r="B294">
        <v>26.62</v>
      </c>
      <c r="C294" s="7">
        <v>46139.440972222219</v>
      </c>
      <c r="D294" s="7">
        <v>46140.550046157405</v>
      </c>
      <c r="E294" t="s">
        <v>23</v>
      </c>
      <c r="F294" t="s">
        <v>33</v>
      </c>
      <c r="G294" t="s">
        <v>51</v>
      </c>
      <c r="H294" t="s">
        <v>26</v>
      </c>
      <c r="I294" t="s">
        <v>42</v>
      </c>
      <c r="J294" t="s">
        <v>48</v>
      </c>
      <c r="K294" t="s">
        <v>67</v>
      </c>
      <c r="L294" t="s">
        <v>68</v>
      </c>
      <c r="M294">
        <v>487</v>
      </c>
      <c r="N294">
        <v>3</v>
      </c>
      <c r="O294">
        <v>0</v>
      </c>
      <c r="P294">
        <v>2</v>
      </c>
      <c r="Q294" t="s">
        <v>31</v>
      </c>
      <c r="R294">
        <v>240</v>
      </c>
      <c r="S294">
        <v>48</v>
      </c>
      <c r="T294" t="s">
        <v>31</v>
      </c>
      <c r="U294" t="s">
        <v>63</v>
      </c>
      <c r="V294">
        <v>2026</v>
      </c>
      <c r="W294">
        <v>4</v>
      </c>
      <c r="X294" t="s">
        <v>1412</v>
      </c>
      <c r="Y294" s="6">
        <v>46113</v>
      </c>
      <c r="Z294" t="s">
        <v>1418</v>
      </c>
      <c r="AA294" t="s">
        <v>31</v>
      </c>
      <c r="AB294" t="s">
        <v>63</v>
      </c>
      <c r="AC294" t="s">
        <v>23</v>
      </c>
      <c r="AD294">
        <v>1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1</v>
      </c>
    </row>
    <row r="295" spans="1:36">
      <c r="A295" t="s">
        <v>406</v>
      </c>
      <c r="B295">
        <v>25.69</v>
      </c>
      <c r="C295" s="7">
        <v>46146.629861111112</v>
      </c>
      <c r="D295" s="7">
        <v>46147.70045074074</v>
      </c>
      <c r="E295" t="s">
        <v>23</v>
      </c>
      <c r="F295" t="s">
        <v>50</v>
      </c>
      <c r="G295" t="s">
        <v>41</v>
      </c>
      <c r="H295" t="s">
        <v>26</v>
      </c>
      <c r="I295" t="s">
        <v>35</v>
      </c>
      <c r="J295" t="s">
        <v>48</v>
      </c>
      <c r="K295" t="s">
        <v>37</v>
      </c>
      <c r="L295" t="s">
        <v>85</v>
      </c>
      <c r="M295">
        <v>118</v>
      </c>
      <c r="N295">
        <v>4</v>
      </c>
      <c r="O295">
        <v>0</v>
      </c>
      <c r="P295">
        <v>7</v>
      </c>
      <c r="Q295" t="s">
        <v>31</v>
      </c>
      <c r="R295">
        <v>120</v>
      </c>
      <c r="S295">
        <v>24</v>
      </c>
      <c r="T295" t="s">
        <v>63</v>
      </c>
      <c r="U295" t="s">
        <v>31</v>
      </c>
      <c r="V295">
        <v>2026</v>
      </c>
      <c r="W295">
        <v>5</v>
      </c>
      <c r="X295" t="s">
        <v>1416</v>
      </c>
      <c r="Y295" s="6">
        <v>46143</v>
      </c>
      <c r="Z295" t="s">
        <v>1413</v>
      </c>
      <c r="AA295" t="s">
        <v>31</v>
      </c>
      <c r="AB295" t="s">
        <v>63</v>
      </c>
      <c r="AC295" t="s">
        <v>23</v>
      </c>
      <c r="AD295">
        <v>1</v>
      </c>
      <c r="AE295">
        <v>0</v>
      </c>
      <c r="AF295">
        <v>1</v>
      </c>
      <c r="AG295">
        <v>0</v>
      </c>
      <c r="AH295">
        <v>0</v>
      </c>
      <c r="AI295">
        <v>1</v>
      </c>
      <c r="AJ295">
        <v>0</v>
      </c>
    </row>
    <row r="296" spans="1:36">
      <c r="A296" t="s">
        <v>407</v>
      </c>
      <c r="B296">
        <v>37.979999999999997</v>
      </c>
      <c r="C296" s="7">
        <v>46211.95</v>
      </c>
      <c r="D296" s="7">
        <v>46213.532478935187</v>
      </c>
      <c r="E296" t="s">
        <v>23</v>
      </c>
      <c r="F296" t="s">
        <v>33</v>
      </c>
      <c r="G296" t="s">
        <v>41</v>
      </c>
      <c r="H296" t="s">
        <v>66</v>
      </c>
      <c r="I296" t="s">
        <v>35</v>
      </c>
      <c r="J296" t="s">
        <v>36</v>
      </c>
      <c r="K296" t="s">
        <v>76</v>
      </c>
      <c r="L296" t="s">
        <v>38</v>
      </c>
      <c r="M296">
        <v>116</v>
      </c>
      <c r="N296">
        <v>4</v>
      </c>
      <c r="O296">
        <v>0</v>
      </c>
      <c r="P296">
        <v>7</v>
      </c>
      <c r="Q296" t="s">
        <v>31</v>
      </c>
      <c r="R296">
        <v>240</v>
      </c>
      <c r="S296">
        <v>48</v>
      </c>
      <c r="T296" t="s">
        <v>63</v>
      </c>
      <c r="U296" t="s">
        <v>63</v>
      </c>
      <c r="V296">
        <v>2026</v>
      </c>
      <c r="W296">
        <v>7</v>
      </c>
      <c r="X296" t="s">
        <v>1422</v>
      </c>
      <c r="Y296" s="6">
        <v>46204</v>
      </c>
      <c r="Z296" t="s">
        <v>1413</v>
      </c>
      <c r="AA296" t="s">
        <v>31</v>
      </c>
      <c r="AB296" t="s">
        <v>63</v>
      </c>
      <c r="AC296" t="s">
        <v>23</v>
      </c>
      <c r="AD296">
        <v>1</v>
      </c>
      <c r="AE296">
        <v>0</v>
      </c>
      <c r="AF296">
        <v>1</v>
      </c>
      <c r="AG296">
        <v>0</v>
      </c>
      <c r="AH296">
        <v>0</v>
      </c>
      <c r="AI296">
        <v>1</v>
      </c>
      <c r="AJ296">
        <v>1</v>
      </c>
    </row>
    <row r="297" spans="1:36">
      <c r="A297" t="s">
        <v>408</v>
      </c>
      <c r="B297">
        <v>29.64</v>
      </c>
      <c r="C297" s="7">
        <v>46074.579861111109</v>
      </c>
      <c r="D297" s="7">
        <v>46075.814782372683</v>
      </c>
      <c r="E297" t="s">
        <v>23</v>
      </c>
      <c r="F297" t="s">
        <v>33</v>
      </c>
      <c r="G297" t="s">
        <v>41</v>
      </c>
      <c r="H297" t="s">
        <v>75</v>
      </c>
      <c r="I297" t="s">
        <v>27</v>
      </c>
      <c r="J297" t="s">
        <v>43</v>
      </c>
      <c r="K297" t="s">
        <v>37</v>
      </c>
      <c r="L297" t="s">
        <v>101</v>
      </c>
      <c r="M297">
        <v>380</v>
      </c>
      <c r="N297">
        <v>4</v>
      </c>
      <c r="O297">
        <v>0</v>
      </c>
      <c r="P297">
        <v>4</v>
      </c>
      <c r="Q297" t="s">
        <v>31</v>
      </c>
      <c r="R297">
        <v>240</v>
      </c>
      <c r="S297">
        <v>48</v>
      </c>
      <c r="T297" t="s">
        <v>31</v>
      </c>
      <c r="U297" t="s">
        <v>63</v>
      </c>
      <c r="V297">
        <v>2026</v>
      </c>
      <c r="W297">
        <v>2</v>
      </c>
      <c r="X297" t="s">
        <v>1419</v>
      </c>
      <c r="Y297" s="6">
        <v>46054</v>
      </c>
      <c r="Z297" t="s">
        <v>1413</v>
      </c>
      <c r="AA297" t="s">
        <v>31</v>
      </c>
      <c r="AB297" t="s">
        <v>63</v>
      </c>
      <c r="AC297" t="s">
        <v>23</v>
      </c>
      <c r="AD297">
        <v>1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1</v>
      </c>
    </row>
    <row r="298" spans="1:36">
      <c r="A298" t="s">
        <v>409</v>
      </c>
      <c r="B298">
        <v>95.03</v>
      </c>
      <c r="C298" s="7">
        <v>46137.519444444442</v>
      </c>
      <c r="D298" s="7">
        <v>46141.479167430552</v>
      </c>
      <c r="E298" t="s">
        <v>23</v>
      </c>
      <c r="F298" t="s">
        <v>33</v>
      </c>
      <c r="G298" t="s">
        <v>25</v>
      </c>
      <c r="H298" t="s">
        <v>54</v>
      </c>
      <c r="I298" t="s">
        <v>42</v>
      </c>
      <c r="J298" t="s">
        <v>36</v>
      </c>
      <c r="K298" t="s">
        <v>58</v>
      </c>
      <c r="L298" t="s">
        <v>93</v>
      </c>
      <c r="M298">
        <v>179</v>
      </c>
      <c r="N298">
        <v>3</v>
      </c>
      <c r="O298">
        <v>0</v>
      </c>
      <c r="P298">
        <v>4</v>
      </c>
      <c r="Q298" t="s">
        <v>31</v>
      </c>
      <c r="R298">
        <v>240</v>
      </c>
      <c r="S298">
        <v>48</v>
      </c>
      <c r="T298" t="s">
        <v>63</v>
      </c>
      <c r="U298" t="s">
        <v>31</v>
      </c>
      <c r="V298">
        <v>2026</v>
      </c>
      <c r="W298">
        <v>4</v>
      </c>
      <c r="X298" t="s">
        <v>1412</v>
      </c>
      <c r="Y298" s="6">
        <v>46113</v>
      </c>
      <c r="Z298" t="s">
        <v>1418</v>
      </c>
      <c r="AA298" t="s">
        <v>31</v>
      </c>
      <c r="AB298" t="s">
        <v>63</v>
      </c>
      <c r="AC298" t="s">
        <v>23</v>
      </c>
      <c r="AD298">
        <v>1</v>
      </c>
      <c r="AE298">
        <v>0</v>
      </c>
      <c r="AF298">
        <v>1</v>
      </c>
      <c r="AG298">
        <v>0</v>
      </c>
      <c r="AH298">
        <v>0</v>
      </c>
      <c r="AI298">
        <v>1</v>
      </c>
      <c r="AJ298">
        <v>0</v>
      </c>
    </row>
    <row r="299" spans="1:36">
      <c r="A299" t="s">
        <v>411</v>
      </c>
      <c r="B299">
        <v>41.31</v>
      </c>
      <c r="C299" s="7">
        <v>46144.137499999997</v>
      </c>
      <c r="D299" s="7">
        <v>46145.858546608797</v>
      </c>
      <c r="E299" t="s">
        <v>23</v>
      </c>
      <c r="F299" t="s">
        <v>50</v>
      </c>
      <c r="G299" t="s">
        <v>51</v>
      </c>
      <c r="H299" t="s">
        <v>34</v>
      </c>
      <c r="I299" t="s">
        <v>35</v>
      </c>
      <c r="J299" t="s">
        <v>48</v>
      </c>
      <c r="K299" t="s">
        <v>52</v>
      </c>
      <c r="L299" t="s">
        <v>55</v>
      </c>
      <c r="M299">
        <v>110</v>
      </c>
      <c r="N299">
        <v>4</v>
      </c>
      <c r="O299">
        <v>0</v>
      </c>
      <c r="P299">
        <v>4</v>
      </c>
      <c r="Q299" t="s">
        <v>31</v>
      </c>
      <c r="R299">
        <v>120</v>
      </c>
      <c r="S299">
        <v>24</v>
      </c>
      <c r="T299" t="s">
        <v>63</v>
      </c>
      <c r="U299" t="s">
        <v>31</v>
      </c>
      <c r="V299">
        <v>2026</v>
      </c>
      <c r="W299">
        <v>5</v>
      </c>
      <c r="X299" t="s">
        <v>1416</v>
      </c>
      <c r="Y299" s="6">
        <v>46143</v>
      </c>
      <c r="Z299" t="s">
        <v>1413</v>
      </c>
      <c r="AA299" t="s">
        <v>31</v>
      </c>
      <c r="AB299" t="s">
        <v>63</v>
      </c>
      <c r="AC299" t="s">
        <v>23</v>
      </c>
      <c r="AD299">
        <v>1</v>
      </c>
      <c r="AE299">
        <v>0</v>
      </c>
      <c r="AF299">
        <v>1</v>
      </c>
      <c r="AG299">
        <v>0</v>
      </c>
      <c r="AH299">
        <v>0</v>
      </c>
      <c r="AI299">
        <v>1</v>
      </c>
      <c r="AJ299">
        <v>0</v>
      </c>
    </row>
    <row r="300" spans="1:36">
      <c r="A300" t="s">
        <v>412</v>
      </c>
      <c r="B300">
        <v>43.31</v>
      </c>
      <c r="C300" s="7">
        <v>46068.52847222222</v>
      </c>
      <c r="D300" s="7">
        <v>46070.333100682874</v>
      </c>
      <c r="E300" t="s">
        <v>23</v>
      </c>
      <c r="F300" t="s">
        <v>50</v>
      </c>
      <c r="G300" t="s">
        <v>51</v>
      </c>
      <c r="H300" t="s">
        <v>34</v>
      </c>
      <c r="I300" t="s">
        <v>35</v>
      </c>
      <c r="J300" t="s">
        <v>36</v>
      </c>
      <c r="K300" t="s">
        <v>52</v>
      </c>
      <c r="L300" t="s">
        <v>68</v>
      </c>
      <c r="M300">
        <v>55</v>
      </c>
      <c r="N300">
        <v>4</v>
      </c>
      <c r="O300">
        <v>0</v>
      </c>
      <c r="P300">
        <v>6</v>
      </c>
      <c r="Q300" t="s">
        <v>31</v>
      </c>
      <c r="R300">
        <v>120</v>
      </c>
      <c r="S300">
        <v>24</v>
      </c>
      <c r="T300" t="s">
        <v>63</v>
      </c>
      <c r="U300" t="s">
        <v>31</v>
      </c>
      <c r="V300">
        <v>2026</v>
      </c>
      <c r="W300">
        <v>2</v>
      </c>
      <c r="X300" t="s">
        <v>1419</v>
      </c>
      <c r="Y300" s="6">
        <v>46054</v>
      </c>
      <c r="Z300" t="s">
        <v>1413</v>
      </c>
      <c r="AA300" t="s">
        <v>31</v>
      </c>
      <c r="AB300" t="s">
        <v>63</v>
      </c>
      <c r="AC300" t="s">
        <v>23</v>
      </c>
      <c r="AD300">
        <v>1</v>
      </c>
      <c r="AE300">
        <v>0</v>
      </c>
      <c r="AF300">
        <v>1</v>
      </c>
      <c r="AG300">
        <v>0</v>
      </c>
      <c r="AH300">
        <v>0</v>
      </c>
      <c r="AI300">
        <v>1</v>
      </c>
      <c r="AJ300">
        <v>0</v>
      </c>
    </row>
    <row r="301" spans="1:36">
      <c r="A301" t="s">
        <v>413</v>
      </c>
      <c r="B301">
        <v>50.39</v>
      </c>
      <c r="C301" s="7">
        <v>46136.882638888892</v>
      </c>
      <c r="D301" s="7">
        <v>46138.982300416668</v>
      </c>
      <c r="E301" t="s">
        <v>23</v>
      </c>
      <c r="F301" t="s">
        <v>33</v>
      </c>
      <c r="G301" t="s">
        <v>25</v>
      </c>
      <c r="H301" t="s">
        <v>34</v>
      </c>
      <c r="I301" t="s">
        <v>35</v>
      </c>
      <c r="J301" t="s">
        <v>28</v>
      </c>
      <c r="K301" t="s">
        <v>67</v>
      </c>
      <c r="L301" t="s">
        <v>93</v>
      </c>
      <c r="M301">
        <v>227</v>
      </c>
      <c r="N301">
        <v>3</v>
      </c>
      <c r="O301">
        <v>0</v>
      </c>
      <c r="P301">
        <v>4</v>
      </c>
      <c r="Q301" t="s">
        <v>31</v>
      </c>
      <c r="R301">
        <v>240</v>
      </c>
      <c r="S301">
        <v>48</v>
      </c>
      <c r="T301" t="s">
        <v>63</v>
      </c>
      <c r="U301" t="s">
        <v>31</v>
      </c>
      <c r="V301">
        <v>2026</v>
      </c>
      <c r="W301">
        <v>4</v>
      </c>
      <c r="X301" t="s">
        <v>1412</v>
      </c>
      <c r="Y301" s="6">
        <v>46113</v>
      </c>
      <c r="Z301" t="s">
        <v>1418</v>
      </c>
      <c r="AA301" t="s">
        <v>31</v>
      </c>
      <c r="AB301" t="s">
        <v>63</v>
      </c>
      <c r="AC301" t="s">
        <v>23</v>
      </c>
      <c r="AD301">
        <v>1</v>
      </c>
      <c r="AE301">
        <v>0</v>
      </c>
      <c r="AF301">
        <v>1</v>
      </c>
      <c r="AG301">
        <v>0</v>
      </c>
      <c r="AH301">
        <v>0</v>
      </c>
      <c r="AI301">
        <v>1</v>
      </c>
      <c r="AJ301">
        <v>0</v>
      </c>
    </row>
    <row r="302" spans="1:36">
      <c r="A302" t="s">
        <v>414</v>
      </c>
      <c r="B302">
        <v>38.840000000000003</v>
      </c>
      <c r="C302" s="7">
        <v>46128.329861111109</v>
      </c>
      <c r="D302" s="7">
        <v>46129.948041087962</v>
      </c>
      <c r="E302" t="s">
        <v>23</v>
      </c>
      <c r="F302" t="s">
        <v>50</v>
      </c>
      <c r="G302" t="s">
        <v>25</v>
      </c>
      <c r="H302" t="s">
        <v>26</v>
      </c>
      <c r="I302" t="s">
        <v>27</v>
      </c>
      <c r="J302" t="s">
        <v>36</v>
      </c>
      <c r="K302" t="s">
        <v>76</v>
      </c>
      <c r="L302" t="s">
        <v>93</v>
      </c>
      <c r="M302">
        <v>38</v>
      </c>
      <c r="N302">
        <v>4</v>
      </c>
      <c r="O302">
        <v>0</v>
      </c>
      <c r="P302">
        <v>4</v>
      </c>
      <c r="Q302" t="s">
        <v>31</v>
      </c>
      <c r="R302">
        <v>120</v>
      </c>
      <c r="S302">
        <v>24</v>
      </c>
      <c r="T302" t="s">
        <v>63</v>
      </c>
      <c r="U302" t="s">
        <v>31</v>
      </c>
      <c r="V302">
        <v>2026</v>
      </c>
      <c r="W302">
        <v>4</v>
      </c>
      <c r="X302" t="s">
        <v>1412</v>
      </c>
      <c r="Y302" s="6">
        <v>46113</v>
      </c>
      <c r="Z302" t="s">
        <v>1413</v>
      </c>
      <c r="AA302" t="s">
        <v>31</v>
      </c>
      <c r="AB302" t="s">
        <v>63</v>
      </c>
      <c r="AC302" t="s">
        <v>23</v>
      </c>
      <c r="AD302">
        <v>1</v>
      </c>
      <c r="AE302">
        <v>0</v>
      </c>
      <c r="AF302">
        <v>1</v>
      </c>
      <c r="AG302">
        <v>0</v>
      </c>
      <c r="AH302">
        <v>0</v>
      </c>
      <c r="AI302">
        <v>1</v>
      </c>
      <c r="AJ302">
        <v>0</v>
      </c>
    </row>
    <row r="303" spans="1:36">
      <c r="A303" t="s">
        <v>415</v>
      </c>
      <c r="B303">
        <v>14.45</v>
      </c>
      <c r="C303" s="7">
        <v>46205.129861111112</v>
      </c>
      <c r="D303" s="7">
        <v>46205.731944224535</v>
      </c>
      <c r="E303" t="s">
        <v>23</v>
      </c>
      <c r="F303" t="s">
        <v>33</v>
      </c>
      <c r="G303" t="s">
        <v>25</v>
      </c>
      <c r="H303" t="s">
        <v>75</v>
      </c>
      <c r="I303" t="s">
        <v>35</v>
      </c>
      <c r="J303" t="s">
        <v>36</v>
      </c>
      <c r="K303" t="s">
        <v>52</v>
      </c>
      <c r="L303" t="s">
        <v>55</v>
      </c>
      <c r="M303">
        <v>222</v>
      </c>
      <c r="N303">
        <v>4</v>
      </c>
      <c r="O303">
        <v>0</v>
      </c>
      <c r="P303">
        <v>2</v>
      </c>
      <c r="Q303" t="s">
        <v>31</v>
      </c>
      <c r="R303">
        <v>240</v>
      </c>
      <c r="S303">
        <v>48</v>
      </c>
      <c r="T303" t="s">
        <v>63</v>
      </c>
      <c r="U303" t="s">
        <v>63</v>
      </c>
      <c r="V303">
        <v>2026</v>
      </c>
      <c r="W303">
        <v>7</v>
      </c>
      <c r="X303" t="s">
        <v>1422</v>
      </c>
      <c r="Y303" s="6">
        <v>46204</v>
      </c>
      <c r="Z303" t="s">
        <v>1413</v>
      </c>
      <c r="AA303" t="s">
        <v>31</v>
      </c>
      <c r="AB303" t="s">
        <v>63</v>
      </c>
      <c r="AC303" t="s">
        <v>23</v>
      </c>
      <c r="AD303">
        <v>1</v>
      </c>
      <c r="AE303">
        <v>0</v>
      </c>
      <c r="AF303">
        <v>1</v>
      </c>
      <c r="AG303">
        <v>0</v>
      </c>
      <c r="AH303">
        <v>0</v>
      </c>
      <c r="AI303">
        <v>1</v>
      </c>
      <c r="AJ303">
        <v>1</v>
      </c>
    </row>
    <row r="304" spans="1:36">
      <c r="A304" t="s">
        <v>416</v>
      </c>
      <c r="B304">
        <v>21.54</v>
      </c>
      <c r="C304" s="7">
        <v>46131.957638888889</v>
      </c>
      <c r="D304" s="7">
        <v>46132.855249513887</v>
      </c>
      <c r="E304" t="s">
        <v>23</v>
      </c>
      <c r="F304" t="s">
        <v>33</v>
      </c>
      <c r="G304" t="s">
        <v>25</v>
      </c>
      <c r="H304" t="s">
        <v>26</v>
      </c>
      <c r="I304" t="s">
        <v>42</v>
      </c>
      <c r="J304" t="s">
        <v>43</v>
      </c>
      <c r="K304" t="s">
        <v>29</v>
      </c>
      <c r="L304" t="s">
        <v>62</v>
      </c>
      <c r="M304">
        <v>102</v>
      </c>
      <c r="N304">
        <v>4</v>
      </c>
      <c r="O304">
        <v>0</v>
      </c>
      <c r="P304">
        <v>5</v>
      </c>
      <c r="Q304" t="s">
        <v>31</v>
      </c>
      <c r="R304">
        <v>240</v>
      </c>
      <c r="S304">
        <v>48</v>
      </c>
      <c r="T304" t="s">
        <v>63</v>
      </c>
      <c r="U304" t="s">
        <v>63</v>
      </c>
      <c r="V304">
        <v>2026</v>
      </c>
      <c r="W304">
        <v>4</v>
      </c>
      <c r="X304" t="s">
        <v>1412</v>
      </c>
      <c r="Y304" s="6">
        <v>46113</v>
      </c>
      <c r="Z304" t="s">
        <v>1413</v>
      </c>
      <c r="AA304" t="s">
        <v>31</v>
      </c>
      <c r="AB304" t="s">
        <v>63</v>
      </c>
      <c r="AC304" t="s">
        <v>23</v>
      </c>
      <c r="AD304">
        <v>1</v>
      </c>
      <c r="AE304">
        <v>0</v>
      </c>
      <c r="AF304">
        <v>1</v>
      </c>
      <c r="AG304">
        <v>0</v>
      </c>
      <c r="AH304">
        <v>0</v>
      </c>
      <c r="AI304">
        <v>1</v>
      </c>
      <c r="AJ304">
        <v>1</v>
      </c>
    </row>
    <row r="305" spans="1:36">
      <c r="A305" t="s">
        <v>417</v>
      </c>
      <c r="B305">
        <v>35.6</v>
      </c>
      <c r="C305" s="7">
        <v>46202.743750000001</v>
      </c>
      <c r="D305" s="7">
        <v>46204.22698042824</v>
      </c>
      <c r="E305" t="s">
        <v>23</v>
      </c>
      <c r="F305" t="s">
        <v>50</v>
      </c>
      <c r="G305" t="s">
        <v>41</v>
      </c>
      <c r="H305" t="s">
        <v>75</v>
      </c>
      <c r="I305" t="s">
        <v>27</v>
      </c>
      <c r="J305" t="s">
        <v>48</v>
      </c>
      <c r="K305" t="s">
        <v>58</v>
      </c>
      <c r="L305" t="s">
        <v>38</v>
      </c>
      <c r="M305">
        <v>148</v>
      </c>
      <c r="N305">
        <v>3</v>
      </c>
      <c r="O305">
        <v>1</v>
      </c>
      <c r="P305">
        <v>7</v>
      </c>
      <c r="Q305" t="s">
        <v>31</v>
      </c>
      <c r="R305">
        <v>120</v>
      </c>
      <c r="S305">
        <v>24</v>
      </c>
      <c r="T305" t="s">
        <v>31</v>
      </c>
      <c r="U305" t="s">
        <v>31</v>
      </c>
      <c r="V305">
        <v>2026</v>
      </c>
      <c r="W305">
        <v>6</v>
      </c>
      <c r="X305" t="s">
        <v>1421</v>
      </c>
      <c r="Y305" s="6">
        <v>46174</v>
      </c>
      <c r="Z305" t="s">
        <v>1418</v>
      </c>
      <c r="AA305" t="s">
        <v>63</v>
      </c>
      <c r="AB305" t="s">
        <v>63</v>
      </c>
      <c r="AC305" t="s">
        <v>23</v>
      </c>
      <c r="AD305">
        <v>1</v>
      </c>
      <c r="AE305">
        <v>0</v>
      </c>
      <c r="AF305">
        <v>1</v>
      </c>
      <c r="AG305">
        <v>1</v>
      </c>
      <c r="AH305">
        <v>0</v>
      </c>
      <c r="AI305">
        <v>0</v>
      </c>
      <c r="AJ305">
        <v>0</v>
      </c>
    </row>
    <row r="306" spans="1:36">
      <c r="A306" t="s">
        <v>418</v>
      </c>
      <c r="B306">
        <v>28.86</v>
      </c>
      <c r="C306" s="7">
        <v>46144.975694444445</v>
      </c>
      <c r="D306" s="7">
        <v>46146.178243553244</v>
      </c>
      <c r="E306" t="s">
        <v>23</v>
      </c>
      <c r="F306" t="s">
        <v>33</v>
      </c>
      <c r="G306" t="s">
        <v>25</v>
      </c>
      <c r="H306" t="s">
        <v>26</v>
      </c>
      <c r="I306" t="s">
        <v>35</v>
      </c>
      <c r="J306" t="s">
        <v>36</v>
      </c>
      <c r="K306" t="s">
        <v>29</v>
      </c>
      <c r="L306" t="s">
        <v>71</v>
      </c>
      <c r="M306">
        <v>234</v>
      </c>
      <c r="N306">
        <v>4</v>
      </c>
      <c r="O306">
        <v>0</v>
      </c>
      <c r="P306">
        <v>5</v>
      </c>
      <c r="Q306" t="s">
        <v>31</v>
      </c>
      <c r="R306">
        <v>240</v>
      </c>
      <c r="S306">
        <v>48</v>
      </c>
      <c r="T306" t="s">
        <v>63</v>
      </c>
      <c r="U306" t="s">
        <v>63</v>
      </c>
      <c r="V306">
        <v>2026</v>
      </c>
      <c r="W306">
        <v>5</v>
      </c>
      <c r="X306" t="s">
        <v>1416</v>
      </c>
      <c r="Y306" s="6">
        <v>46143</v>
      </c>
      <c r="Z306" t="s">
        <v>1413</v>
      </c>
      <c r="AA306" t="s">
        <v>31</v>
      </c>
      <c r="AB306" t="s">
        <v>63</v>
      </c>
      <c r="AC306" t="s">
        <v>23</v>
      </c>
      <c r="AD306">
        <v>1</v>
      </c>
      <c r="AE306">
        <v>0</v>
      </c>
      <c r="AF306">
        <v>1</v>
      </c>
      <c r="AG306">
        <v>0</v>
      </c>
      <c r="AH306">
        <v>0</v>
      </c>
      <c r="AI306">
        <v>1</v>
      </c>
      <c r="AJ306">
        <v>1</v>
      </c>
    </row>
    <row r="307" spans="1:36">
      <c r="A307" t="s">
        <v>419</v>
      </c>
      <c r="B307">
        <v>51.09</v>
      </c>
      <c r="C307" s="7">
        <v>46151.088194444441</v>
      </c>
      <c r="D307" s="7">
        <v>46153.216902893517</v>
      </c>
      <c r="E307" t="s">
        <v>23</v>
      </c>
      <c r="F307" t="s">
        <v>50</v>
      </c>
      <c r="G307" t="s">
        <v>51</v>
      </c>
      <c r="H307" t="s">
        <v>75</v>
      </c>
      <c r="I307" t="s">
        <v>42</v>
      </c>
      <c r="J307" t="s">
        <v>43</v>
      </c>
      <c r="K307" t="s">
        <v>58</v>
      </c>
      <c r="L307" t="s">
        <v>38</v>
      </c>
      <c r="M307">
        <v>89</v>
      </c>
      <c r="N307">
        <v>3</v>
      </c>
      <c r="O307">
        <v>0</v>
      </c>
      <c r="P307">
        <v>4</v>
      </c>
      <c r="Q307" t="s">
        <v>31</v>
      </c>
      <c r="R307">
        <v>120</v>
      </c>
      <c r="S307">
        <v>24</v>
      </c>
      <c r="T307" t="s">
        <v>63</v>
      </c>
      <c r="U307" t="s">
        <v>31</v>
      </c>
      <c r="V307">
        <v>2026</v>
      </c>
      <c r="W307">
        <v>5</v>
      </c>
      <c r="X307" t="s">
        <v>1416</v>
      </c>
      <c r="Y307" s="6">
        <v>46143</v>
      </c>
      <c r="Z307" t="s">
        <v>1418</v>
      </c>
      <c r="AA307" t="s">
        <v>31</v>
      </c>
      <c r="AB307" t="s">
        <v>63</v>
      </c>
      <c r="AC307" t="s">
        <v>23</v>
      </c>
      <c r="AD307">
        <v>1</v>
      </c>
      <c r="AE307">
        <v>0</v>
      </c>
      <c r="AF307">
        <v>1</v>
      </c>
      <c r="AG307">
        <v>0</v>
      </c>
      <c r="AH307">
        <v>0</v>
      </c>
      <c r="AI307">
        <v>1</v>
      </c>
      <c r="AJ307">
        <v>0</v>
      </c>
    </row>
    <row r="308" spans="1:36">
      <c r="A308" t="s">
        <v>420</v>
      </c>
      <c r="B308">
        <v>28.06</v>
      </c>
      <c r="C308" s="7">
        <v>46240.209722222222</v>
      </c>
      <c r="D308" s="7">
        <v>46241.378696319443</v>
      </c>
      <c r="E308" t="s">
        <v>23</v>
      </c>
      <c r="F308" t="s">
        <v>33</v>
      </c>
      <c r="G308" t="s">
        <v>25</v>
      </c>
      <c r="H308" t="s">
        <v>26</v>
      </c>
      <c r="I308" t="s">
        <v>35</v>
      </c>
      <c r="J308" t="s">
        <v>36</v>
      </c>
      <c r="K308" t="s">
        <v>58</v>
      </c>
      <c r="L308" t="s">
        <v>68</v>
      </c>
      <c r="M308">
        <v>443</v>
      </c>
      <c r="N308">
        <v>3</v>
      </c>
      <c r="O308">
        <v>0</v>
      </c>
      <c r="P308">
        <v>4</v>
      </c>
      <c r="Q308" t="s">
        <v>31</v>
      </c>
      <c r="R308">
        <v>240</v>
      </c>
      <c r="S308">
        <v>48</v>
      </c>
      <c r="T308" t="s">
        <v>31</v>
      </c>
      <c r="U308" t="s">
        <v>63</v>
      </c>
      <c r="V308">
        <v>2026</v>
      </c>
      <c r="W308">
        <v>8</v>
      </c>
      <c r="X308" t="s">
        <v>1417</v>
      </c>
      <c r="Y308" s="6">
        <v>46235</v>
      </c>
      <c r="Z308" t="s">
        <v>1418</v>
      </c>
      <c r="AA308" t="s">
        <v>31</v>
      </c>
      <c r="AB308" t="s">
        <v>63</v>
      </c>
      <c r="AC308" t="s">
        <v>23</v>
      </c>
      <c r="AD308">
        <v>1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1</v>
      </c>
    </row>
    <row r="309" spans="1:36">
      <c r="A309" t="s">
        <v>421</v>
      </c>
      <c r="B309">
        <v>17.25</v>
      </c>
      <c r="C309" s="7">
        <v>46224.705555555556</v>
      </c>
      <c r="D309" s="7">
        <v>46225.424177118053</v>
      </c>
      <c r="E309" t="s">
        <v>23</v>
      </c>
      <c r="F309" t="s">
        <v>50</v>
      </c>
      <c r="G309" t="s">
        <v>51</v>
      </c>
      <c r="H309" t="s">
        <v>34</v>
      </c>
      <c r="I309" t="s">
        <v>35</v>
      </c>
      <c r="J309" t="s">
        <v>28</v>
      </c>
      <c r="K309" t="s">
        <v>76</v>
      </c>
      <c r="L309" t="s">
        <v>38</v>
      </c>
      <c r="M309">
        <v>101</v>
      </c>
      <c r="N309">
        <v>4</v>
      </c>
      <c r="O309">
        <v>0</v>
      </c>
      <c r="P309">
        <v>2</v>
      </c>
      <c r="Q309" t="s">
        <v>31</v>
      </c>
      <c r="R309">
        <v>120</v>
      </c>
      <c r="S309">
        <v>24</v>
      </c>
      <c r="T309" t="s">
        <v>63</v>
      </c>
      <c r="U309" t="s">
        <v>63</v>
      </c>
      <c r="V309">
        <v>2026</v>
      </c>
      <c r="W309">
        <v>7</v>
      </c>
      <c r="X309" t="s">
        <v>1422</v>
      </c>
      <c r="Y309" s="6">
        <v>46204</v>
      </c>
      <c r="Z309" t="s">
        <v>1413</v>
      </c>
      <c r="AA309" t="s">
        <v>31</v>
      </c>
      <c r="AB309" t="s">
        <v>63</v>
      </c>
      <c r="AC309" t="s">
        <v>23</v>
      </c>
      <c r="AD309">
        <v>1</v>
      </c>
      <c r="AE309">
        <v>0</v>
      </c>
      <c r="AF309">
        <v>1</v>
      </c>
      <c r="AG309">
        <v>0</v>
      </c>
      <c r="AH309">
        <v>0</v>
      </c>
      <c r="AI309">
        <v>1</v>
      </c>
      <c r="AJ309">
        <v>1</v>
      </c>
    </row>
    <row r="310" spans="1:36">
      <c r="A310" t="s">
        <v>422</v>
      </c>
      <c r="B310">
        <v>23.36</v>
      </c>
      <c r="C310" s="7">
        <v>46157.378472222219</v>
      </c>
      <c r="D310" s="7">
        <v>46158.351631087964</v>
      </c>
      <c r="E310" t="s">
        <v>23</v>
      </c>
      <c r="F310" t="s">
        <v>33</v>
      </c>
      <c r="G310" t="s">
        <v>51</v>
      </c>
      <c r="H310" t="s">
        <v>66</v>
      </c>
      <c r="I310" t="s">
        <v>35</v>
      </c>
      <c r="J310" t="s">
        <v>48</v>
      </c>
      <c r="K310" t="s">
        <v>52</v>
      </c>
      <c r="L310" t="s">
        <v>55</v>
      </c>
      <c r="M310">
        <v>172</v>
      </c>
      <c r="N310">
        <v>4</v>
      </c>
      <c r="O310">
        <v>1</v>
      </c>
      <c r="P310">
        <v>12</v>
      </c>
      <c r="Q310" t="s">
        <v>31</v>
      </c>
      <c r="R310">
        <v>240</v>
      </c>
      <c r="S310">
        <v>48</v>
      </c>
      <c r="T310" t="s">
        <v>63</v>
      </c>
      <c r="U310" t="s">
        <v>63</v>
      </c>
      <c r="V310">
        <v>2026</v>
      </c>
      <c r="W310">
        <v>5</v>
      </c>
      <c r="X310" t="s">
        <v>1416</v>
      </c>
      <c r="Y310" s="6">
        <v>46143</v>
      </c>
      <c r="Z310" t="s">
        <v>1413</v>
      </c>
      <c r="AA310" t="s">
        <v>63</v>
      </c>
      <c r="AB310" t="s">
        <v>63</v>
      </c>
      <c r="AC310" t="s">
        <v>23</v>
      </c>
      <c r="AD310">
        <v>1</v>
      </c>
      <c r="AE310">
        <v>0</v>
      </c>
      <c r="AF310">
        <v>1</v>
      </c>
      <c r="AG310">
        <v>1</v>
      </c>
      <c r="AH310">
        <v>0</v>
      </c>
      <c r="AI310">
        <v>1</v>
      </c>
      <c r="AJ310">
        <v>1</v>
      </c>
    </row>
    <row r="311" spans="1:36">
      <c r="A311" t="s">
        <v>423</v>
      </c>
      <c r="B311">
        <v>17.25</v>
      </c>
      <c r="C311" s="7">
        <v>46161.553472222222</v>
      </c>
      <c r="D311" s="7">
        <v>46162.272076527777</v>
      </c>
      <c r="E311" t="s">
        <v>23</v>
      </c>
      <c r="F311" t="s">
        <v>33</v>
      </c>
      <c r="G311" t="s">
        <v>51</v>
      </c>
      <c r="H311" t="s">
        <v>26</v>
      </c>
      <c r="I311" t="s">
        <v>35</v>
      </c>
      <c r="J311" t="s">
        <v>36</v>
      </c>
      <c r="K311" t="s">
        <v>37</v>
      </c>
      <c r="L311" t="s">
        <v>62</v>
      </c>
      <c r="M311">
        <v>416</v>
      </c>
      <c r="N311">
        <v>3</v>
      </c>
      <c r="O311">
        <v>0</v>
      </c>
      <c r="P311">
        <v>6</v>
      </c>
      <c r="Q311" t="s">
        <v>31</v>
      </c>
      <c r="R311">
        <v>240</v>
      </c>
      <c r="S311">
        <v>48</v>
      </c>
      <c r="T311" t="s">
        <v>31</v>
      </c>
      <c r="U311" t="s">
        <v>63</v>
      </c>
      <c r="V311">
        <v>2026</v>
      </c>
      <c r="W311">
        <v>5</v>
      </c>
      <c r="X311" t="s">
        <v>1416</v>
      </c>
      <c r="Y311" s="6">
        <v>46143</v>
      </c>
      <c r="Z311" t="s">
        <v>1418</v>
      </c>
      <c r="AA311" t="s">
        <v>31</v>
      </c>
      <c r="AB311" t="s">
        <v>63</v>
      </c>
      <c r="AC311" t="s">
        <v>23</v>
      </c>
      <c r="AD311">
        <v>1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1</v>
      </c>
    </row>
    <row r="312" spans="1:36">
      <c r="A312" t="s">
        <v>424</v>
      </c>
      <c r="B312">
        <v>15.41</v>
      </c>
      <c r="C312" s="7">
        <v>46047.125</v>
      </c>
      <c r="D312" s="7">
        <v>46047.766928460645</v>
      </c>
      <c r="E312" t="s">
        <v>23</v>
      </c>
      <c r="F312" t="s">
        <v>33</v>
      </c>
      <c r="G312" t="s">
        <v>41</v>
      </c>
      <c r="H312" t="s">
        <v>75</v>
      </c>
      <c r="I312" t="s">
        <v>27</v>
      </c>
      <c r="J312" t="s">
        <v>43</v>
      </c>
      <c r="K312" t="s">
        <v>29</v>
      </c>
      <c r="L312" t="s">
        <v>85</v>
      </c>
      <c r="M312">
        <v>115</v>
      </c>
      <c r="N312">
        <v>4</v>
      </c>
      <c r="O312">
        <v>0</v>
      </c>
      <c r="P312">
        <v>7</v>
      </c>
      <c r="Q312" t="s">
        <v>31</v>
      </c>
      <c r="R312">
        <v>240</v>
      </c>
      <c r="S312">
        <v>48</v>
      </c>
      <c r="T312" t="s">
        <v>63</v>
      </c>
      <c r="U312" t="s">
        <v>63</v>
      </c>
      <c r="V312">
        <v>2026</v>
      </c>
      <c r="W312">
        <v>1</v>
      </c>
      <c r="X312" t="s">
        <v>1414</v>
      </c>
      <c r="Y312" s="6">
        <v>46023</v>
      </c>
      <c r="Z312" t="s">
        <v>1413</v>
      </c>
      <c r="AA312" t="s">
        <v>31</v>
      </c>
      <c r="AB312" t="s">
        <v>63</v>
      </c>
      <c r="AC312" t="s">
        <v>23</v>
      </c>
      <c r="AD312">
        <v>1</v>
      </c>
      <c r="AE312">
        <v>0</v>
      </c>
      <c r="AF312">
        <v>1</v>
      </c>
      <c r="AG312">
        <v>0</v>
      </c>
      <c r="AH312">
        <v>0</v>
      </c>
      <c r="AI312">
        <v>1</v>
      </c>
      <c r="AJ312">
        <v>1</v>
      </c>
    </row>
    <row r="313" spans="1:36">
      <c r="A313" t="s">
        <v>425</v>
      </c>
      <c r="B313">
        <v>19.079999999999998</v>
      </c>
      <c r="C313" s="7">
        <v>46236.851388888892</v>
      </c>
      <c r="D313" s="7">
        <v>46237.646346562498</v>
      </c>
      <c r="E313" t="s">
        <v>23</v>
      </c>
      <c r="F313" t="s">
        <v>50</v>
      </c>
      <c r="G313" t="s">
        <v>51</v>
      </c>
      <c r="H313" t="s">
        <v>54</v>
      </c>
      <c r="I313" t="s">
        <v>42</v>
      </c>
      <c r="J313" t="s">
        <v>48</v>
      </c>
      <c r="K313" t="s">
        <v>67</v>
      </c>
      <c r="L313" t="s">
        <v>55</v>
      </c>
      <c r="M313">
        <v>61</v>
      </c>
      <c r="N313">
        <v>4</v>
      </c>
      <c r="O313">
        <v>0</v>
      </c>
      <c r="P313">
        <v>5</v>
      </c>
      <c r="Q313" t="s">
        <v>31</v>
      </c>
      <c r="R313">
        <v>120</v>
      </c>
      <c r="S313">
        <v>24</v>
      </c>
      <c r="T313" t="s">
        <v>63</v>
      </c>
      <c r="U313" t="s">
        <v>63</v>
      </c>
      <c r="V313">
        <v>2026</v>
      </c>
      <c r="W313">
        <v>8</v>
      </c>
      <c r="X313" t="s">
        <v>1417</v>
      </c>
      <c r="Y313" s="6">
        <v>46235</v>
      </c>
      <c r="Z313" t="s">
        <v>1413</v>
      </c>
      <c r="AA313" t="s">
        <v>31</v>
      </c>
      <c r="AB313" t="s">
        <v>63</v>
      </c>
      <c r="AC313" t="s">
        <v>23</v>
      </c>
      <c r="AD313">
        <v>1</v>
      </c>
      <c r="AE313">
        <v>0</v>
      </c>
      <c r="AF313">
        <v>1</v>
      </c>
      <c r="AG313">
        <v>0</v>
      </c>
      <c r="AH313">
        <v>0</v>
      </c>
      <c r="AI313">
        <v>1</v>
      </c>
      <c r="AJ313">
        <v>1</v>
      </c>
    </row>
    <row r="314" spans="1:36">
      <c r="A314" t="s">
        <v>426</v>
      </c>
      <c r="B314">
        <v>31.46</v>
      </c>
      <c r="C314" s="7">
        <v>46187.415277777778</v>
      </c>
      <c r="D314" s="7">
        <v>46188.72598372685</v>
      </c>
      <c r="E314" t="s">
        <v>23</v>
      </c>
      <c r="F314" t="s">
        <v>50</v>
      </c>
      <c r="G314" t="s">
        <v>65</v>
      </c>
      <c r="H314" t="s">
        <v>66</v>
      </c>
      <c r="I314" t="s">
        <v>42</v>
      </c>
      <c r="J314" t="s">
        <v>48</v>
      </c>
      <c r="K314" t="s">
        <v>67</v>
      </c>
      <c r="L314" t="s">
        <v>38</v>
      </c>
      <c r="M314">
        <v>131</v>
      </c>
      <c r="N314">
        <v>4</v>
      </c>
      <c r="O314">
        <v>0</v>
      </c>
      <c r="P314">
        <v>7</v>
      </c>
      <c r="Q314" t="s">
        <v>31</v>
      </c>
      <c r="R314">
        <v>120</v>
      </c>
      <c r="S314">
        <v>24</v>
      </c>
      <c r="T314" t="s">
        <v>31</v>
      </c>
      <c r="U314" t="s">
        <v>31</v>
      </c>
      <c r="V314">
        <v>2026</v>
      </c>
      <c r="W314">
        <v>6</v>
      </c>
      <c r="X314" t="s">
        <v>1421</v>
      </c>
      <c r="Y314" s="6">
        <v>46174</v>
      </c>
      <c r="Z314" t="s">
        <v>1413</v>
      </c>
      <c r="AA314" t="s">
        <v>31</v>
      </c>
      <c r="AB314" t="s">
        <v>63</v>
      </c>
      <c r="AC314" t="s">
        <v>23</v>
      </c>
      <c r="AD314">
        <v>1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</row>
    <row r="315" spans="1:36">
      <c r="A315" t="s">
        <v>427</v>
      </c>
      <c r="B315">
        <v>60.05</v>
      </c>
      <c r="C315" s="7">
        <v>46176.07916666667</v>
      </c>
      <c r="D315" s="7">
        <v>46178.581148217592</v>
      </c>
      <c r="E315" t="s">
        <v>23</v>
      </c>
      <c r="F315" t="s">
        <v>33</v>
      </c>
      <c r="G315" t="s">
        <v>51</v>
      </c>
      <c r="H315" t="s">
        <v>34</v>
      </c>
      <c r="I315" t="s">
        <v>42</v>
      </c>
      <c r="J315" t="s">
        <v>43</v>
      </c>
      <c r="K315" t="s">
        <v>67</v>
      </c>
      <c r="L315" t="s">
        <v>55</v>
      </c>
      <c r="M315">
        <v>173</v>
      </c>
      <c r="N315">
        <v>4</v>
      </c>
      <c r="O315">
        <v>0</v>
      </c>
      <c r="P315">
        <v>5</v>
      </c>
      <c r="Q315" t="s">
        <v>31</v>
      </c>
      <c r="R315">
        <v>240</v>
      </c>
      <c r="S315">
        <v>48</v>
      </c>
      <c r="T315" t="s">
        <v>63</v>
      </c>
      <c r="U315" t="s">
        <v>31</v>
      </c>
      <c r="V315">
        <v>2026</v>
      </c>
      <c r="W315">
        <v>6</v>
      </c>
      <c r="X315" t="s">
        <v>1421</v>
      </c>
      <c r="Y315" s="6">
        <v>46174</v>
      </c>
      <c r="Z315" t="s">
        <v>1413</v>
      </c>
      <c r="AA315" t="s">
        <v>31</v>
      </c>
      <c r="AB315" t="s">
        <v>63</v>
      </c>
      <c r="AC315" t="s">
        <v>23</v>
      </c>
      <c r="AD315">
        <v>1</v>
      </c>
      <c r="AE315">
        <v>0</v>
      </c>
      <c r="AF315">
        <v>1</v>
      </c>
      <c r="AG315">
        <v>0</v>
      </c>
      <c r="AH315">
        <v>0</v>
      </c>
      <c r="AI315">
        <v>1</v>
      </c>
      <c r="AJ315">
        <v>0</v>
      </c>
    </row>
    <row r="316" spans="1:36">
      <c r="A316" t="s">
        <v>428</v>
      </c>
      <c r="B316">
        <v>56.22</v>
      </c>
      <c r="C316" s="7">
        <v>46151.767361111109</v>
      </c>
      <c r="D316" s="7">
        <v>46154.109797777775</v>
      </c>
      <c r="E316" t="s">
        <v>23</v>
      </c>
      <c r="F316" t="s">
        <v>33</v>
      </c>
      <c r="G316" t="s">
        <v>65</v>
      </c>
      <c r="H316" t="s">
        <v>34</v>
      </c>
      <c r="I316" t="s">
        <v>35</v>
      </c>
      <c r="J316" t="s">
        <v>48</v>
      </c>
      <c r="K316" t="s">
        <v>52</v>
      </c>
      <c r="L316" t="s">
        <v>93</v>
      </c>
      <c r="M316">
        <v>128</v>
      </c>
      <c r="N316">
        <v>4</v>
      </c>
      <c r="O316">
        <v>0</v>
      </c>
      <c r="P316">
        <v>2</v>
      </c>
      <c r="Q316" t="s">
        <v>31</v>
      </c>
      <c r="R316">
        <v>240</v>
      </c>
      <c r="S316">
        <v>48</v>
      </c>
      <c r="T316" t="s">
        <v>63</v>
      </c>
      <c r="U316" t="s">
        <v>31</v>
      </c>
      <c r="V316">
        <v>2026</v>
      </c>
      <c r="W316">
        <v>5</v>
      </c>
      <c r="X316" t="s">
        <v>1416</v>
      </c>
      <c r="Y316" s="6">
        <v>46143</v>
      </c>
      <c r="Z316" t="s">
        <v>1413</v>
      </c>
      <c r="AA316" t="s">
        <v>31</v>
      </c>
      <c r="AB316" t="s">
        <v>63</v>
      </c>
      <c r="AC316" t="s">
        <v>23</v>
      </c>
      <c r="AD316">
        <v>1</v>
      </c>
      <c r="AE316">
        <v>0</v>
      </c>
      <c r="AF316">
        <v>1</v>
      </c>
      <c r="AG316">
        <v>0</v>
      </c>
      <c r="AH316">
        <v>0</v>
      </c>
      <c r="AI316">
        <v>1</v>
      </c>
      <c r="AJ316">
        <v>0</v>
      </c>
    </row>
    <row r="317" spans="1:36">
      <c r="A317" t="s">
        <v>429</v>
      </c>
      <c r="B317">
        <v>18.34</v>
      </c>
      <c r="C317" s="7">
        <v>46118.495833333334</v>
      </c>
      <c r="D317" s="7">
        <v>46119.260041458336</v>
      </c>
      <c r="E317" t="s">
        <v>23</v>
      </c>
      <c r="F317" t="s">
        <v>33</v>
      </c>
      <c r="G317" t="s">
        <v>25</v>
      </c>
      <c r="H317" t="s">
        <v>34</v>
      </c>
      <c r="I317" t="s">
        <v>27</v>
      </c>
      <c r="J317" t="s">
        <v>43</v>
      </c>
      <c r="K317" t="s">
        <v>29</v>
      </c>
      <c r="L317" t="s">
        <v>93</v>
      </c>
      <c r="M317">
        <v>147</v>
      </c>
      <c r="N317">
        <v>4</v>
      </c>
      <c r="O317">
        <v>0</v>
      </c>
      <c r="P317">
        <v>3</v>
      </c>
      <c r="Q317" t="s">
        <v>31</v>
      </c>
      <c r="R317">
        <v>240</v>
      </c>
      <c r="S317">
        <v>48</v>
      </c>
      <c r="T317" t="s">
        <v>63</v>
      </c>
      <c r="U317" t="s">
        <v>63</v>
      </c>
      <c r="V317">
        <v>2026</v>
      </c>
      <c r="W317">
        <v>4</v>
      </c>
      <c r="X317" t="s">
        <v>1412</v>
      </c>
      <c r="Y317" s="6">
        <v>46113</v>
      </c>
      <c r="Z317" t="s">
        <v>1413</v>
      </c>
      <c r="AA317" t="s">
        <v>31</v>
      </c>
      <c r="AB317" t="s">
        <v>63</v>
      </c>
      <c r="AC317" t="s">
        <v>23</v>
      </c>
      <c r="AD317">
        <v>1</v>
      </c>
      <c r="AE317">
        <v>0</v>
      </c>
      <c r="AF317">
        <v>1</v>
      </c>
      <c r="AG317">
        <v>0</v>
      </c>
      <c r="AH317">
        <v>0</v>
      </c>
      <c r="AI317">
        <v>1</v>
      </c>
      <c r="AJ317">
        <v>1</v>
      </c>
    </row>
    <row r="318" spans="1:36">
      <c r="A318" t="s">
        <v>430</v>
      </c>
      <c r="B318">
        <v>22.47</v>
      </c>
      <c r="C318" s="7">
        <v>46234.73333333333</v>
      </c>
      <c r="D318" s="7">
        <v>46235.6697421875</v>
      </c>
      <c r="E318" t="s">
        <v>23</v>
      </c>
      <c r="F318" t="s">
        <v>50</v>
      </c>
      <c r="G318" t="s">
        <v>41</v>
      </c>
      <c r="H318" t="s">
        <v>34</v>
      </c>
      <c r="I318" t="s">
        <v>35</v>
      </c>
      <c r="J318" t="s">
        <v>48</v>
      </c>
      <c r="K318" t="s">
        <v>67</v>
      </c>
      <c r="L318" t="s">
        <v>55</v>
      </c>
      <c r="M318">
        <v>134</v>
      </c>
      <c r="N318">
        <v>4</v>
      </c>
      <c r="O318">
        <v>0</v>
      </c>
      <c r="P318">
        <v>4</v>
      </c>
      <c r="Q318" t="s">
        <v>31</v>
      </c>
      <c r="R318">
        <v>120</v>
      </c>
      <c r="S318">
        <v>24</v>
      </c>
      <c r="T318" t="s">
        <v>31</v>
      </c>
      <c r="U318" t="s">
        <v>63</v>
      </c>
      <c r="V318">
        <v>2026</v>
      </c>
      <c r="W318">
        <v>7</v>
      </c>
      <c r="X318" t="s">
        <v>1422</v>
      </c>
      <c r="Y318" s="6">
        <v>46204</v>
      </c>
      <c r="Z318" t="s">
        <v>1413</v>
      </c>
      <c r="AA318" t="s">
        <v>31</v>
      </c>
      <c r="AB318" t="s">
        <v>63</v>
      </c>
      <c r="AC318" t="s">
        <v>23</v>
      </c>
      <c r="AD318">
        <v>1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1</v>
      </c>
    </row>
    <row r="319" spans="1:36">
      <c r="A319" t="s">
        <v>431</v>
      </c>
      <c r="B319">
        <v>31.7</v>
      </c>
      <c r="C319" s="7">
        <v>46255.406944444447</v>
      </c>
      <c r="D319" s="7">
        <v>46256.727875011573</v>
      </c>
      <c r="E319" t="s">
        <v>23</v>
      </c>
      <c r="F319" t="s">
        <v>50</v>
      </c>
      <c r="G319" t="s">
        <v>51</v>
      </c>
      <c r="H319" t="s">
        <v>54</v>
      </c>
      <c r="I319" t="s">
        <v>35</v>
      </c>
      <c r="J319" t="s">
        <v>36</v>
      </c>
      <c r="K319" t="s">
        <v>67</v>
      </c>
      <c r="L319" t="s">
        <v>62</v>
      </c>
      <c r="M319">
        <v>132</v>
      </c>
      <c r="N319">
        <v>4</v>
      </c>
      <c r="O319">
        <v>0</v>
      </c>
      <c r="P319">
        <v>4</v>
      </c>
      <c r="Q319" t="s">
        <v>31</v>
      </c>
      <c r="R319">
        <v>120</v>
      </c>
      <c r="S319">
        <v>24</v>
      </c>
      <c r="T319" t="s">
        <v>31</v>
      </c>
      <c r="U319" t="s">
        <v>31</v>
      </c>
      <c r="V319">
        <v>2026</v>
      </c>
      <c r="W319">
        <v>8</v>
      </c>
      <c r="X319" t="s">
        <v>1417</v>
      </c>
      <c r="Y319" s="6">
        <v>46235</v>
      </c>
      <c r="Z319" t="s">
        <v>1413</v>
      </c>
      <c r="AA319" t="s">
        <v>31</v>
      </c>
      <c r="AB319" t="s">
        <v>63</v>
      </c>
      <c r="AC319" t="s">
        <v>23</v>
      </c>
      <c r="AD319">
        <v>1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</row>
    <row r="320" spans="1:36">
      <c r="A320" t="s">
        <v>433</v>
      </c>
      <c r="B320">
        <v>22.64</v>
      </c>
      <c r="C320" s="7">
        <v>46114.974999999999</v>
      </c>
      <c r="D320" s="7">
        <v>46115.918347175924</v>
      </c>
      <c r="E320" t="s">
        <v>23</v>
      </c>
      <c r="F320" t="s">
        <v>50</v>
      </c>
      <c r="G320" t="s">
        <v>41</v>
      </c>
      <c r="H320" t="s">
        <v>26</v>
      </c>
      <c r="I320" t="s">
        <v>42</v>
      </c>
      <c r="J320" t="s">
        <v>48</v>
      </c>
      <c r="K320" t="s">
        <v>67</v>
      </c>
      <c r="L320" t="s">
        <v>71</v>
      </c>
      <c r="M320">
        <v>99</v>
      </c>
      <c r="N320">
        <v>4</v>
      </c>
      <c r="O320">
        <v>0</v>
      </c>
      <c r="P320">
        <v>2</v>
      </c>
      <c r="Q320" t="s">
        <v>31</v>
      </c>
      <c r="R320">
        <v>120</v>
      </c>
      <c r="S320">
        <v>24</v>
      </c>
      <c r="T320" t="s">
        <v>63</v>
      </c>
      <c r="U320" t="s">
        <v>63</v>
      </c>
      <c r="V320">
        <v>2026</v>
      </c>
      <c r="W320">
        <v>4</v>
      </c>
      <c r="X320" t="s">
        <v>1412</v>
      </c>
      <c r="Y320" s="6">
        <v>46113</v>
      </c>
      <c r="Z320" t="s">
        <v>1413</v>
      </c>
      <c r="AA320" t="s">
        <v>31</v>
      </c>
      <c r="AB320" t="s">
        <v>63</v>
      </c>
      <c r="AC320" t="s">
        <v>23</v>
      </c>
      <c r="AD320">
        <v>1</v>
      </c>
      <c r="AE320">
        <v>0</v>
      </c>
      <c r="AF320">
        <v>1</v>
      </c>
      <c r="AG320">
        <v>0</v>
      </c>
      <c r="AH320">
        <v>0</v>
      </c>
      <c r="AI320">
        <v>1</v>
      </c>
      <c r="AJ320">
        <v>1</v>
      </c>
    </row>
    <row r="321" spans="1:36">
      <c r="A321" t="s">
        <v>434</v>
      </c>
      <c r="B321">
        <v>5.57</v>
      </c>
      <c r="C321" s="7">
        <v>46142.136111111111</v>
      </c>
      <c r="D321" s="7">
        <v>46142.368210787034</v>
      </c>
      <c r="E321" t="s">
        <v>23</v>
      </c>
      <c r="F321" t="s">
        <v>40</v>
      </c>
      <c r="G321" t="s">
        <v>51</v>
      </c>
      <c r="H321" t="s">
        <v>26</v>
      </c>
      <c r="I321" t="s">
        <v>42</v>
      </c>
      <c r="J321" t="s">
        <v>36</v>
      </c>
      <c r="K321" t="s">
        <v>37</v>
      </c>
      <c r="L321" t="s">
        <v>62</v>
      </c>
      <c r="M321">
        <v>27</v>
      </c>
      <c r="N321">
        <v>4</v>
      </c>
      <c r="O321">
        <v>0</v>
      </c>
      <c r="P321">
        <v>4</v>
      </c>
      <c r="Q321" t="s">
        <v>31</v>
      </c>
      <c r="R321">
        <v>30</v>
      </c>
      <c r="S321">
        <v>8</v>
      </c>
      <c r="T321" t="s">
        <v>63</v>
      </c>
      <c r="U321" t="s">
        <v>63</v>
      </c>
      <c r="V321">
        <v>2026</v>
      </c>
      <c r="W321">
        <v>4</v>
      </c>
      <c r="X321" t="s">
        <v>1412</v>
      </c>
      <c r="Y321" s="6">
        <v>46113</v>
      </c>
      <c r="Z321" t="s">
        <v>1413</v>
      </c>
      <c r="AA321" t="s">
        <v>31</v>
      </c>
      <c r="AB321" t="s">
        <v>63</v>
      </c>
      <c r="AC321" t="s">
        <v>23</v>
      </c>
      <c r="AD321">
        <v>1</v>
      </c>
      <c r="AE321">
        <v>0</v>
      </c>
      <c r="AF321">
        <v>1</v>
      </c>
      <c r="AG321">
        <v>0</v>
      </c>
      <c r="AH321">
        <v>0</v>
      </c>
      <c r="AI321">
        <v>1</v>
      </c>
      <c r="AJ321">
        <v>1</v>
      </c>
    </row>
    <row r="322" spans="1:36">
      <c r="A322" t="s">
        <v>435</v>
      </c>
      <c r="B322">
        <v>1.08</v>
      </c>
      <c r="C322" s="7">
        <v>46096.480555555558</v>
      </c>
      <c r="D322" s="7">
        <v>46096.525449375004</v>
      </c>
      <c r="E322" t="s">
        <v>23</v>
      </c>
      <c r="F322" t="s">
        <v>24</v>
      </c>
      <c r="G322" t="s">
        <v>65</v>
      </c>
      <c r="H322" t="s">
        <v>34</v>
      </c>
      <c r="I322" t="s">
        <v>27</v>
      </c>
      <c r="J322" t="s">
        <v>36</v>
      </c>
      <c r="K322" t="s">
        <v>29</v>
      </c>
      <c r="L322" t="s">
        <v>71</v>
      </c>
      <c r="M322">
        <v>15</v>
      </c>
      <c r="N322">
        <v>5</v>
      </c>
      <c r="O322">
        <v>0</v>
      </c>
      <c r="P322">
        <v>7</v>
      </c>
      <c r="Q322" t="s">
        <v>31</v>
      </c>
      <c r="R322">
        <v>15</v>
      </c>
      <c r="S322">
        <v>4</v>
      </c>
      <c r="T322" t="s">
        <v>63</v>
      </c>
      <c r="U322" t="s">
        <v>63</v>
      </c>
      <c r="V322">
        <v>2026</v>
      </c>
      <c r="W322">
        <v>3</v>
      </c>
      <c r="X322" t="s">
        <v>1423</v>
      </c>
      <c r="Y322" s="6">
        <v>46082</v>
      </c>
      <c r="Z322" t="s">
        <v>1413</v>
      </c>
      <c r="AA322" t="s">
        <v>31</v>
      </c>
      <c r="AB322" t="s">
        <v>63</v>
      </c>
      <c r="AC322" t="s">
        <v>23</v>
      </c>
      <c r="AD322">
        <v>1</v>
      </c>
      <c r="AE322">
        <v>0</v>
      </c>
      <c r="AF322">
        <v>1</v>
      </c>
      <c r="AG322">
        <v>0</v>
      </c>
      <c r="AH322">
        <v>0</v>
      </c>
      <c r="AI322">
        <v>1</v>
      </c>
      <c r="AJ322">
        <v>1</v>
      </c>
    </row>
    <row r="323" spans="1:36">
      <c r="A323" t="s">
        <v>436</v>
      </c>
      <c r="B323">
        <v>49.08</v>
      </c>
      <c r="C323" s="7">
        <v>46090.444444444445</v>
      </c>
      <c r="D323" s="7">
        <v>46092.489583333336</v>
      </c>
      <c r="E323" t="s">
        <v>23</v>
      </c>
      <c r="F323" t="s">
        <v>50</v>
      </c>
      <c r="G323" t="s">
        <v>41</v>
      </c>
      <c r="H323" t="s">
        <v>75</v>
      </c>
      <c r="I323" t="s">
        <v>35</v>
      </c>
      <c r="J323" t="s">
        <v>48</v>
      </c>
      <c r="K323" t="s">
        <v>67</v>
      </c>
      <c r="L323" t="s">
        <v>93</v>
      </c>
      <c r="M323">
        <v>171</v>
      </c>
      <c r="N323">
        <v>3</v>
      </c>
      <c r="O323">
        <v>0</v>
      </c>
      <c r="P323">
        <v>6</v>
      </c>
      <c r="Q323" t="s">
        <v>63</v>
      </c>
      <c r="R323">
        <v>120</v>
      </c>
      <c r="S323">
        <v>24</v>
      </c>
      <c r="T323" t="s">
        <v>31</v>
      </c>
      <c r="U323" t="s">
        <v>31</v>
      </c>
      <c r="V323">
        <v>2026</v>
      </c>
      <c r="W323">
        <v>3</v>
      </c>
      <c r="X323" t="s">
        <v>1423</v>
      </c>
      <c r="Y323" s="6">
        <v>46082</v>
      </c>
      <c r="Z323" t="s">
        <v>1418</v>
      </c>
      <c r="AA323" t="s">
        <v>31</v>
      </c>
      <c r="AB323" t="s">
        <v>63</v>
      </c>
      <c r="AC323" t="s">
        <v>23</v>
      </c>
      <c r="AD323">
        <v>1</v>
      </c>
      <c r="AE323">
        <v>0</v>
      </c>
      <c r="AF323">
        <v>1</v>
      </c>
      <c r="AG323">
        <v>0</v>
      </c>
      <c r="AH323">
        <v>1</v>
      </c>
      <c r="AI323">
        <v>0</v>
      </c>
      <c r="AJ323">
        <v>0</v>
      </c>
    </row>
    <row r="324" spans="1:36">
      <c r="A324" t="s">
        <v>439</v>
      </c>
      <c r="B324">
        <v>55.18</v>
      </c>
      <c r="C324" s="7">
        <v>46036.790972222225</v>
      </c>
      <c r="D324" s="7">
        <v>46039.090079953705</v>
      </c>
      <c r="E324" t="s">
        <v>23</v>
      </c>
      <c r="F324" t="s">
        <v>33</v>
      </c>
      <c r="G324" t="s">
        <v>25</v>
      </c>
      <c r="H324" t="s">
        <v>34</v>
      </c>
      <c r="I324" t="s">
        <v>42</v>
      </c>
      <c r="J324" t="s">
        <v>28</v>
      </c>
      <c r="K324" t="s">
        <v>58</v>
      </c>
      <c r="L324" t="s">
        <v>38</v>
      </c>
      <c r="M324">
        <v>65</v>
      </c>
      <c r="N324">
        <v>4</v>
      </c>
      <c r="O324">
        <v>0</v>
      </c>
      <c r="P324">
        <v>2</v>
      </c>
      <c r="Q324" t="s">
        <v>31</v>
      </c>
      <c r="R324">
        <v>240</v>
      </c>
      <c r="S324">
        <v>48</v>
      </c>
      <c r="T324" t="s">
        <v>63</v>
      </c>
      <c r="U324" t="s">
        <v>31</v>
      </c>
      <c r="V324">
        <v>2026</v>
      </c>
      <c r="W324">
        <v>1</v>
      </c>
      <c r="X324" t="s">
        <v>1414</v>
      </c>
      <c r="Y324" s="6">
        <v>46023</v>
      </c>
      <c r="Z324" t="s">
        <v>1413</v>
      </c>
      <c r="AA324" t="s">
        <v>31</v>
      </c>
      <c r="AB324" t="s">
        <v>63</v>
      </c>
      <c r="AC324" t="s">
        <v>23</v>
      </c>
      <c r="AD324">
        <v>1</v>
      </c>
      <c r="AE324">
        <v>0</v>
      </c>
      <c r="AF324">
        <v>1</v>
      </c>
      <c r="AG324">
        <v>0</v>
      </c>
      <c r="AH324">
        <v>0</v>
      </c>
      <c r="AI324">
        <v>1</v>
      </c>
      <c r="AJ324">
        <v>0</v>
      </c>
    </row>
    <row r="325" spans="1:36">
      <c r="A325" t="s">
        <v>440</v>
      </c>
      <c r="C325" s="7">
        <v>46131.841666666667</v>
      </c>
      <c r="D325" s="7"/>
      <c r="E325" t="s">
        <v>57</v>
      </c>
      <c r="F325" t="s">
        <v>40</v>
      </c>
      <c r="G325" t="s">
        <v>51</v>
      </c>
      <c r="H325" t="s">
        <v>75</v>
      </c>
      <c r="I325" t="s">
        <v>42</v>
      </c>
      <c r="J325" t="s">
        <v>48</v>
      </c>
      <c r="K325" t="s">
        <v>76</v>
      </c>
      <c r="L325" t="s">
        <v>93</v>
      </c>
      <c r="M325">
        <v>75</v>
      </c>
      <c r="O325">
        <v>0</v>
      </c>
      <c r="P325">
        <v>7</v>
      </c>
      <c r="Q325" t="s">
        <v>31</v>
      </c>
      <c r="R325">
        <v>30</v>
      </c>
      <c r="S325">
        <v>8</v>
      </c>
      <c r="T325" t="s">
        <v>31</v>
      </c>
      <c r="U325" t="s">
        <v>74</v>
      </c>
      <c r="V325">
        <v>2026</v>
      </c>
      <c r="W325">
        <v>4</v>
      </c>
      <c r="X325" t="s">
        <v>1412</v>
      </c>
      <c r="Y325" s="6">
        <v>46113</v>
      </c>
      <c r="Z325" t="s">
        <v>1420</v>
      </c>
      <c r="AA325" t="s">
        <v>31</v>
      </c>
      <c r="AB325" t="s">
        <v>31</v>
      </c>
      <c r="AC325" t="s">
        <v>57</v>
      </c>
      <c r="AD325">
        <v>1</v>
      </c>
      <c r="AE325">
        <v>1</v>
      </c>
      <c r="AF325">
        <v>0</v>
      </c>
      <c r="AG325">
        <v>0</v>
      </c>
      <c r="AH325">
        <v>0</v>
      </c>
      <c r="AI325">
        <v>0</v>
      </c>
    </row>
    <row r="326" spans="1:36">
      <c r="A326" t="s">
        <v>441</v>
      </c>
      <c r="B326">
        <v>86.74</v>
      </c>
      <c r="C326" s="7">
        <v>46136.634027777778</v>
      </c>
      <c r="D326" s="7">
        <v>46140.248306134257</v>
      </c>
      <c r="E326" t="s">
        <v>23</v>
      </c>
      <c r="F326" t="s">
        <v>33</v>
      </c>
      <c r="G326" t="s">
        <v>65</v>
      </c>
      <c r="H326" t="s">
        <v>75</v>
      </c>
      <c r="I326" t="s">
        <v>35</v>
      </c>
      <c r="J326" t="s">
        <v>28</v>
      </c>
      <c r="K326" t="s">
        <v>67</v>
      </c>
      <c r="L326" t="s">
        <v>38</v>
      </c>
      <c r="M326">
        <v>130</v>
      </c>
      <c r="N326">
        <v>3</v>
      </c>
      <c r="O326">
        <v>0</v>
      </c>
      <c r="P326">
        <v>4</v>
      </c>
      <c r="Q326" t="s">
        <v>31</v>
      </c>
      <c r="R326">
        <v>240</v>
      </c>
      <c r="S326">
        <v>48</v>
      </c>
      <c r="T326" t="s">
        <v>63</v>
      </c>
      <c r="U326" t="s">
        <v>31</v>
      </c>
      <c r="V326">
        <v>2026</v>
      </c>
      <c r="W326">
        <v>4</v>
      </c>
      <c r="X326" t="s">
        <v>1412</v>
      </c>
      <c r="Y326" s="6">
        <v>46113</v>
      </c>
      <c r="Z326" t="s">
        <v>1418</v>
      </c>
      <c r="AA326" t="s">
        <v>31</v>
      </c>
      <c r="AB326" t="s">
        <v>63</v>
      </c>
      <c r="AC326" t="s">
        <v>23</v>
      </c>
      <c r="AD326">
        <v>1</v>
      </c>
      <c r="AE326">
        <v>0</v>
      </c>
      <c r="AF326">
        <v>1</v>
      </c>
      <c r="AG326">
        <v>0</v>
      </c>
      <c r="AH326">
        <v>0</v>
      </c>
      <c r="AI326">
        <v>1</v>
      </c>
      <c r="AJ326">
        <v>0</v>
      </c>
    </row>
    <row r="327" spans="1:36">
      <c r="A327" t="s">
        <v>442</v>
      </c>
      <c r="B327">
        <v>25.75</v>
      </c>
      <c r="C327" s="7">
        <v>46253.723611111112</v>
      </c>
      <c r="D327" s="7">
        <v>46254.796435949072</v>
      </c>
      <c r="E327" t="s">
        <v>23</v>
      </c>
      <c r="F327" t="s">
        <v>50</v>
      </c>
      <c r="G327" t="s">
        <v>51</v>
      </c>
      <c r="H327" t="s">
        <v>54</v>
      </c>
      <c r="I327" t="s">
        <v>27</v>
      </c>
      <c r="J327" t="s">
        <v>28</v>
      </c>
      <c r="K327" t="s">
        <v>37</v>
      </c>
      <c r="L327" t="s">
        <v>93</v>
      </c>
      <c r="M327">
        <v>58</v>
      </c>
      <c r="N327">
        <v>4</v>
      </c>
      <c r="O327">
        <v>1</v>
      </c>
      <c r="P327">
        <v>7</v>
      </c>
      <c r="Q327" t="s">
        <v>31</v>
      </c>
      <c r="R327">
        <v>120</v>
      </c>
      <c r="S327">
        <v>24</v>
      </c>
      <c r="T327" t="s">
        <v>63</v>
      </c>
      <c r="U327" t="s">
        <v>31</v>
      </c>
      <c r="V327">
        <v>2026</v>
      </c>
      <c r="W327">
        <v>8</v>
      </c>
      <c r="X327" t="s">
        <v>1417</v>
      </c>
      <c r="Y327" s="6">
        <v>46235</v>
      </c>
      <c r="Z327" t="s">
        <v>1413</v>
      </c>
      <c r="AA327" t="s">
        <v>63</v>
      </c>
      <c r="AB327" t="s">
        <v>63</v>
      </c>
      <c r="AC327" t="s">
        <v>23</v>
      </c>
      <c r="AD327">
        <v>1</v>
      </c>
      <c r="AE327">
        <v>0</v>
      </c>
      <c r="AF327">
        <v>1</v>
      </c>
      <c r="AG327">
        <v>1</v>
      </c>
      <c r="AH327">
        <v>0</v>
      </c>
      <c r="AI327">
        <v>1</v>
      </c>
      <c r="AJ327">
        <v>0</v>
      </c>
    </row>
    <row r="328" spans="1:36">
      <c r="A328" t="s">
        <v>443</v>
      </c>
      <c r="B328">
        <v>27.8</v>
      </c>
      <c r="C328" s="7">
        <v>46263.35833333333</v>
      </c>
      <c r="D328" s="7">
        <v>46264.516619131944</v>
      </c>
      <c r="E328" t="s">
        <v>23</v>
      </c>
      <c r="F328" t="s">
        <v>33</v>
      </c>
      <c r="G328" t="s">
        <v>51</v>
      </c>
      <c r="H328" t="s">
        <v>75</v>
      </c>
      <c r="I328" t="s">
        <v>35</v>
      </c>
      <c r="J328" t="s">
        <v>28</v>
      </c>
      <c r="K328" t="s">
        <v>52</v>
      </c>
      <c r="L328" t="s">
        <v>71</v>
      </c>
      <c r="M328">
        <v>271</v>
      </c>
      <c r="N328">
        <v>3</v>
      </c>
      <c r="O328">
        <v>1</v>
      </c>
      <c r="P328">
        <v>5</v>
      </c>
      <c r="Q328" t="s">
        <v>31</v>
      </c>
      <c r="R328">
        <v>240</v>
      </c>
      <c r="S328">
        <v>48</v>
      </c>
      <c r="T328" t="s">
        <v>31</v>
      </c>
      <c r="U328" t="s">
        <v>63</v>
      </c>
      <c r="V328">
        <v>2026</v>
      </c>
      <c r="W328">
        <v>8</v>
      </c>
      <c r="X328" t="s">
        <v>1417</v>
      </c>
      <c r="Y328" s="6">
        <v>46235</v>
      </c>
      <c r="Z328" t="s">
        <v>1418</v>
      </c>
      <c r="AA328" t="s">
        <v>63</v>
      </c>
      <c r="AB328" t="s">
        <v>63</v>
      </c>
      <c r="AC328" t="s">
        <v>23</v>
      </c>
      <c r="AD328">
        <v>1</v>
      </c>
      <c r="AE328">
        <v>0</v>
      </c>
      <c r="AF328">
        <v>1</v>
      </c>
      <c r="AG328">
        <v>1</v>
      </c>
      <c r="AH328">
        <v>0</v>
      </c>
      <c r="AI328">
        <v>0</v>
      </c>
      <c r="AJ328">
        <v>1</v>
      </c>
    </row>
    <row r="329" spans="1:36">
      <c r="A329" t="s">
        <v>444</v>
      </c>
      <c r="B329">
        <v>11.42</v>
      </c>
      <c r="C329" s="7">
        <v>46259.810416666667</v>
      </c>
      <c r="D329" s="7">
        <v>46260.286063680556</v>
      </c>
      <c r="E329" t="s">
        <v>23</v>
      </c>
      <c r="F329" t="s">
        <v>40</v>
      </c>
      <c r="G329" t="s">
        <v>51</v>
      </c>
      <c r="H329" t="s">
        <v>66</v>
      </c>
      <c r="I329" t="s">
        <v>42</v>
      </c>
      <c r="J329" t="s">
        <v>48</v>
      </c>
      <c r="K329" t="s">
        <v>37</v>
      </c>
      <c r="L329" t="s">
        <v>68</v>
      </c>
      <c r="M329">
        <v>68</v>
      </c>
      <c r="N329">
        <v>4</v>
      </c>
      <c r="O329">
        <v>0</v>
      </c>
      <c r="P329">
        <v>7</v>
      </c>
      <c r="Q329" t="s">
        <v>31</v>
      </c>
      <c r="R329">
        <v>30</v>
      </c>
      <c r="S329">
        <v>8</v>
      </c>
      <c r="T329" t="s">
        <v>31</v>
      </c>
      <c r="U329" t="s">
        <v>31</v>
      </c>
      <c r="V329">
        <v>2026</v>
      </c>
      <c r="W329">
        <v>8</v>
      </c>
      <c r="X329" t="s">
        <v>1417</v>
      </c>
      <c r="Y329" s="6">
        <v>46235</v>
      </c>
      <c r="Z329" t="s">
        <v>1413</v>
      </c>
      <c r="AA329" t="s">
        <v>31</v>
      </c>
      <c r="AB329" t="s">
        <v>63</v>
      </c>
      <c r="AC329" t="s">
        <v>23</v>
      </c>
      <c r="AD329">
        <v>1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</row>
    <row r="330" spans="1:36">
      <c r="A330" t="s">
        <v>445</v>
      </c>
      <c r="B330">
        <v>18.559999999999999</v>
      </c>
      <c r="C330" s="7">
        <v>46211.90902777778</v>
      </c>
      <c r="D330" s="7">
        <v>46212.68231895833</v>
      </c>
      <c r="E330" t="s">
        <v>23</v>
      </c>
      <c r="F330" t="s">
        <v>50</v>
      </c>
      <c r="G330" t="s">
        <v>25</v>
      </c>
      <c r="H330" t="s">
        <v>34</v>
      </c>
      <c r="I330" t="s">
        <v>35</v>
      </c>
      <c r="J330" t="s">
        <v>43</v>
      </c>
      <c r="K330" t="s">
        <v>37</v>
      </c>
      <c r="L330" t="s">
        <v>85</v>
      </c>
      <c r="M330">
        <v>106</v>
      </c>
      <c r="N330">
        <v>4</v>
      </c>
      <c r="O330">
        <v>1</v>
      </c>
      <c r="P330">
        <v>7</v>
      </c>
      <c r="Q330" t="s">
        <v>31</v>
      </c>
      <c r="R330">
        <v>120</v>
      </c>
      <c r="S330">
        <v>24</v>
      </c>
      <c r="T330" t="s">
        <v>63</v>
      </c>
      <c r="U330" t="s">
        <v>63</v>
      </c>
      <c r="V330">
        <v>2026</v>
      </c>
      <c r="W330">
        <v>7</v>
      </c>
      <c r="X330" t="s">
        <v>1422</v>
      </c>
      <c r="Y330" s="6">
        <v>46204</v>
      </c>
      <c r="Z330" t="s">
        <v>1413</v>
      </c>
      <c r="AA330" t="s">
        <v>63</v>
      </c>
      <c r="AB330" t="s">
        <v>63</v>
      </c>
      <c r="AC330" t="s">
        <v>23</v>
      </c>
      <c r="AD330">
        <v>1</v>
      </c>
      <c r="AE330">
        <v>0</v>
      </c>
      <c r="AF330">
        <v>1</v>
      </c>
      <c r="AG330">
        <v>1</v>
      </c>
      <c r="AH330">
        <v>0</v>
      </c>
      <c r="AI330">
        <v>1</v>
      </c>
      <c r="AJ330">
        <v>1</v>
      </c>
    </row>
    <row r="331" spans="1:36">
      <c r="A331" t="s">
        <v>446</v>
      </c>
      <c r="B331">
        <v>9.56</v>
      </c>
      <c r="C331" s="7">
        <v>46023.936805555553</v>
      </c>
      <c r="D331" s="7">
        <v>46024.334931273152</v>
      </c>
      <c r="E331" t="s">
        <v>23</v>
      </c>
      <c r="F331" t="s">
        <v>40</v>
      </c>
      <c r="G331" t="s">
        <v>65</v>
      </c>
      <c r="H331" t="s">
        <v>26</v>
      </c>
      <c r="I331" t="s">
        <v>35</v>
      </c>
      <c r="J331" t="s">
        <v>43</v>
      </c>
      <c r="K331" t="s">
        <v>67</v>
      </c>
      <c r="L331" t="s">
        <v>62</v>
      </c>
      <c r="M331">
        <v>38</v>
      </c>
      <c r="N331">
        <v>5</v>
      </c>
      <c r="O331">
        <v>0</v>
      </c>
      <c r="P331">
        <v>7</v>
      </c>
      <c r="Q331" t="s">
        <v>31</v>
      </c>
      <c r="R331">
        <v>30</v>
      </c>
      <c r="S331">
        <v>8</v>
      </c>
      <c r="T331" t="s">
        <v>31</v>
      </c>
      <c r="U331" t="s">
        <v>31</v>
      </c>
      <c r="V331">
        <v>2026</v>
      </c>
      <c r="W331">
        <v>1</v>
      </c>
      <c r="X331" t="s">
        <v>1414</v>
      </c>
      <c r="Y331" s="6">
        <v>46023</v>
      </c>
      <c r="Z331" t="s">
        <v>1413</v>
      </c>
      <c r="AA331" t="s">
        <v>31</v>
      </c>
      <c r="AB331" t="s">
        <v>63</v>
      </c>
      <c r="AC331" t="s">
        <v>23</v>
      </c>
      <c r="AD331">
        <v>1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</row>
    <row r="332" spans="1:36">
      <c r="A332" t="s">
        <v>447</v>
      </c>
      <c r="B332">
        <v>19.170000000000002</v>
      </c>
      <c r="C332" s="7">
        <v>46200.569444444445</v>
      </c>
      <c r="D332" s="7">
        <v>46201.36814056713</v>
      </c>
      <c r="E332" t="s">
        <v>23</v>
      </c>
      <c r="F332" t="s">
        <v>50</v>
      </c>
      <c r="G332" t="s">
        <v>25</v>
      </c>
      <c r="H332" t="s">
        <v>26</v>
      </c>
      <c r="I332" t="s">
        <v>35</v>
      </c>
      <c r="J332" t="s">
        <v>43</v>
      </c>
      <c r="K332" t="s">
        <v>37</v>
      </c>
      <c r="L332" t="s">
        <v>71</v>
      </c>
      <c r="M332">
        <v>132</v>
      </c>
      <c r="N332">
        <v>3</v>
      </c>
      <c r="O332">
        <v>1</v>
      </c>
      <c r="P332">
        <v>14</v>
      </c>
      <c r="Q332" t="s">
        <v>63</v>
      </c>
      <c r="R332">
        <v>120</v>
      </c>
      <c r="S332">
        <v>24</v>
      </c>
      <c r="T332" t="s">
        <v>31</v>
      </c>
      <c r="U332" t="s">
        <v>63</v>
      </c>
      <c r="V332">
        <v>2026</v>
      </c>
      <c r="W332">
        <v>6</v>
      </c>
      <c r="X332" t="s">
        <v>1421</v>
      </c>
      <c r="Y332" s="6">
        <v>46174</v>
      </c>
      <c r="Z332" t="s">
        <v>1418</v>
      </c>
      <c r="AA332" t="s">
        <v>63</v>
      </c>
      <c r="AB332" t="s">
        <v>63</v>
      </c>
      <c r="AC332" t="s">
        <v>23</v>
      </c>
      <c r="AD332">
        <v>1</v>
      </c>
      <c r="AE332">
        <v>0</v>
      </c>
      <c r="AF332">
        <v>1</v>
      </c>
      <c r="AG332">
        <v>1</v>
      </c>
      <c r="AH332">
        <v>1</v>
      </c>
      <c r="AI332">
        <v>0</v>
      </c>
      <c r="AJ332">
        <v>1</v>
      </c>
    </row>
    <row r="333" spans="1:36">
      <c r="A333" t="s">
        <v>448</v>
      </c>
      <c r="B333">
        <v>42.44</v>
      </c>
      <c r="C333" s="7">
        <v>46240.275694444441</v>
      </c>
      <c r="D333" s="7">
        <v>46242.044129317132</v>
      </c>
      <c r="E333" t="s">
        <v>23</v>
      </c>
      <c r="F333" t="s">
        <v>33</v>
      </c>
      <c r="G333" t="s">
        <v>51</v>
      </c>
      <c r="H333" t="s">
        <v>34</v>
      </c>
      <c r="I333" t="s">
        <v>27</v>
      </c>
      <c r="J333" t="s">
        <v>43</v>
      </c>
      <c r="K333" t="s">
        <v>76</v>
      </c>
      <c r="L333" t="s">
        <v>30</v>
      </c>
      <c r="M333">
        <v>287</v>
      </c>
      <c r="N333">
        <v>3</v>
      </c>
      <c r="O333">
        <v>0</v>
      </c>
      <c r="P333">
        <v>3</v>
      </c>
      <c r="Q333" t="s">
        <v>31</v>
      </c>
      <c r="R333">
        <v>240</v>
      </c>
      <c r="S333">
        <v>48</v>
      </c>
      <c r="T333" t="s">
        <v>31</v>
      </c>
      <c r="U333" t="s">
        <v>63</v>
      </c>
      <c r="V333">
        <v>2026</v>
      </c>
      <c r="W333">
        <v>8</v>
      </c>
      <c r="X333" t="s">
        <v>1417</v>
      </c>
      <c r="Y333" s="6">
        <v>46235</v>
      </c>
      <c r="Z333" t="s">
        <v>1418</v>
      </c>
      <c r="AA333" t="s">
        <v>31</v>
      </c>
      <c r="AB333" t="s">
        <v>63</v>
      </c>
      <c r="AC333" t="s">
        <v>23</v>
      </c>
      <c r="AD333">
        <v>1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1</v>
      </c>
    </row>
    <row r="334" spans="1:36">
      <c r="A334" t="s">
        <v>449</v>
      </c>
      <c r="B334">
        <v>19.309999999999999</v>
      </c>
      <c r="C334" s="7">
        <v>46082.311805555553</v>
      </c>
      <c r="D334" s="7">
        <v>46083.11655053241</v>
      </c>
      <c r="E334" t="s">
        <v>23</v>
      </c>
      <c r="F334" t="s">
        <v>33</v>
      </c>
      <c r="G334" t="s">
        <v>51</v>
      </c>
      <c r="H334" t="s">
        <v>34</v>
      </c>
      <c r="I334" t="s">
        <v>35</v>
      </c>
      <c r="J334" t="s">
        <v>43</v>
      </c>
      <c r="K334" t="s">
        <v>52</v>
      </c>
      <c r="L334" t="s">
        <v>93</v>
      </c>
      <c r="M334">
        <v>911</v>
      </c>
      <c r="N334">
        <v>3</v>
      </c>
      <c r="O334">
        <v>0</v>
      </c>
      <c r="P334">
        <v>4</v>
      </c>
      <c r="Q334" t="s">
        <v>31</v>
      </c>
      <c r="R334">
        <v>240</v>
      </c>
      <c r="S334">
        <v>48</v>
      </c>
      <c r="T334" t="s">
        <v>31</v>
      </c>
      <c r="U334" t="s">
        <v>63</v>
      </c>
      <c r="V334">
        <v>2026</v>
      </c>
      <c r="W334">
        <v>3</v>
      </c>
      <c r="X334" t="s">
        <v>1423</v>
      </c>
      <c r="Y334" s="6">
        <v>46082</v>
      </c>
      <c r="Z334" t="s">
        <v>1418</v>
      </c>
      <c r="AA334" t="s">
        <v>31</v>
      </c>
      <c r="AB334" t="s">
        <v>63</v>
      </c>
      <c r="AC334" t="s">
        <v>23</v>
      </c>
      <c r="AD334">
        <v>1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1</v>
      </c>
    </row>
    <row r="335" spans="1:36">
      <c r="A335" t="s">
        <v>450</v>
      </c>
      <c r="B335">
        <v>12.19</v>
      </c>
      <c r="C335" s="7">
        <v>46254.463194444441</v>
      </c>
      <c r="D335" s="7">
        <v>46254.9709874537</v>
      </c>
      <c r="E335" t="s">
        <v>23</v>
      </c>
      <c r="F335" t="s">
        <v>50</v>
      </c>
      <c r="G335" t="s">
        <v>51</v>
      </c>
      <c r="H335" t="s">
        <v>66</v>
      </c>
      <c r="I335" t="s">
        <v>42</v>
      </c>
      <c r="J335" t="s">
        <v>36</v>
      </c>
      <c r="K335" t="s">
        <v>52</v>
      </c>
      <c r="L335" t="s">
        <v>1401</v>
      </c>
      <c r="M335">
        <v>84</v>
      </c>
      <c r="N335">
        <v>4</v>
      </c>
      <c r="O335">
        <v>1</v>
      </c>
      <c r="P335">
        <v>12</v>
      </c>
      <c r="Q335" t="s">
        <v>31</v>
      </c>
      <c r="R335">
        <v>120</v>
      </c>
      <c r="S335">
        <v>24</v>
      </c>
      <c r="T335" t="s">
        <v>63</v>
      </c>
      <c r="U335" t="s">
        <v>63</v>
      </c>
      <c r="V335">
        <v>2026</v>
      </c>
      <c r="W335">
        <v>8</v>
      </c>
      <c r="X335" t="s">
        <v>1417</v>
      </c>
      <c r="Y335" s="6">
        <v>46235</v>
      </c>
      <c r="Z335" t="s">
        <v>1413</v>
      </c>
      <c r="AA335" t="s">
        <v>63</v>
      </c>
      <c r="AB335" t="s">
        <v>63</v>
      </c>
      <c r="AC335" t="s">
        <v>23</v>
      </c>
      <c r="AD335">
        <v>1</v>
      </c>
      <c r="AE335">
        <v>0</v>
      </c>
      <c r="AF335">
        <v>1</v>
      </c>
      <c r="AG335">
        <v>1</v>
      </c>
      <c r="AH335">
        <v>0</v>
      </c>
      <c r="AI335">
        <v>1</v>
      </c>
      <c r="AJ335">
        <v>1</v>
      </c>
    </row>
    <row r="336" spans="1:36">
      <c r="A336" t="s">
        <v>451</v>
      </c>
      <c r="B336">
        <v>7.68</v>
      </c>
      <c r="C336" s="7">
        <v>46174.065972222219</v>
      </c>
      <c r="D336" s="7">
        <v>46174.386165798613</v>
      </c>
      <c r="E336" t="s">
        <v>23</v>
      </c>
      <c r="F336" t="s">
        <v>50</v>
      </c>
      <c r="G336" t="s">
        <v>25</v>
      </c>
      <c r="H336" t="s">
        <v>54</v>
      </c>
      <c r="I336" t="s">
        <v>35</v>
      </c>
      <c r="J336" t="s">
        <v>43</v>
      </c>
      <c r="K336" t="s">
        <v>52</v>
      </c>
      <c r="L336" t="s">
        <v>30</v>
      </c>
      <c r="M336">
        <v>162</v>
      </c>
      <c r="N336">
        <v>4</v>
      </c>
      <c r="O336">
        <v>0</v>
      </c>
      <c r="P336">
        <v>3</v>
      </c>
      <c r="Q336" t="s">
        <v>31</v>
      </c>
      <c r="R336">
        <v>120</v>
      </c>
      <c r="S336">
        <v>24</v>
      </c>
      <c r="T336" t="s">
        <v>31</v>
      </c>
      <c r="U336" t="s">
        <v>63</v>
      </c>
      <c r="V336">
        <v>2026</v>
      </c>
      <c r="W336">
        <v>6</v>
      </c>
      <c r="X336" t="s">
        <v>1421</v>
      </c>
      <c r="Y336" s="6">
        <v>46174</v>
      </c>
      <c r="Z336" t="s">
        <v>1413</v>
      </c>
      <c r="AA336" t="s">
        <v>31</v>
      </c>
      <c r="AB336" t="s">
        <v>63</v>
      </c>
      <c r="AC336" t="s">
        <v>23</v>
      </c>
      <c r="AD336">
        <v>1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1</v>
      </c>
    </row>
    <row r="337" spans="1:36">
      <c r="A337" t="s">
        <v>452</v>
      </c>
      <c r="B337">
        <v>66.44</v>
      </c>
      <c r="C337" s="7">
        <v>46226.770833333336</v>
      </c>
      <c r="D337" s="7">
        <v>46229.539123657407</v>
      </c>
      <c r="E337" t="s">
        <v>23</v>
      </c>
      <c r="F337" t="s">
        <v>33</v>
      </c>
      <c r="G337" t="s">
        <v>25</v>
      </c>
      <c r="H337" t="s">
        <v>34</v>
      </c>
      <c r="I337" t="s">
        <v>35</v>
      </c>
      <c r="J337" t="s">
        <v>28</v>
      </c>
      <c r="K337" t="s">
        <v>37</v>
      </c>
      <c r="L337" t="s">
        <v>101</v>
      </c>
      <c r="M337">
        <v>130</v>
      </c>
      <c r="N337">
        <v>4</v>
      </c>
      <c r="O337">
        <v>0</v>
      </c>
      <c r="P337">
        <v>7</v>
      </c>
      <c r="Q337" t="s">
        <v>31</v>
      </c>
      <c r="R337">
        <v>240</v>
      </c>
      <c r="S337">
        <v>48</v>
      </c>
      <c r="T337" t="s">
        <v>63</v>
      </c>
      <c r="U337" t="s">
        <v>31</v>
      </c>
      <c r="V337">
        <v>2026</v>
      </c>
      <c r="W337">
        <v>7</v>
      </c>
      <c r="X337" t="s">
        <v>1422</v>
      </c>
      <c r="Y337" s="6">
        <v>46204</v>
      </c>
      <c r="Z337" t="s">
        <v>1413</v>
      </c>
      <c r="AA337" t="s">
        <v>31</v>
      </c>
      <c r="AB337" t="s">
        <v>63</v>
      </c>
      <c r="AC337" t="s">
        <v>23</v>
      </c>
      <c r="AD337">
        <v>1</v>
      </c>
      <c r="AE337">
        <v>0</v>
      </c>
      <c r="AF337">
        <v>1</v>
      </c>
      <c r="AG337">
        <v>0</v>
      </c>
      <c r="AH337">
        <v>0</v>
      </c>
      <c r="AI337">
        <v>1</v>
      </c>
      <c r="AJ337">
        <v>0</v>
      </c>
    </row>
    <row r="338" spans="1:36">
      <c r="A338" t="s">
        <v>453</v>
      </c>
      <c r="B338">
        <v>25.01</v>
      </c>
      <c r="C338" s="7">
        <v>46053.48541666667</v>
      </c>
      <c r="D338" s="7">
        <v>46054.527438460645</v>
      </c>
      <c r="E338" t="s">
        <v>23</v>
      </c>
      <c r="F338" t="s">
        <v>50</v>
      </c>
      <c r="G338" t="s">
        <v>41</v>
      </c>
      <c r="H338" t="s">
        <v>26</v>
      </c>
      <c r="I338" t="s">
        <v>35</v>
      </c>
      <c r="J338" t="s">
        <v>43</v>
      </c>
      <c r="K338" t="s">
        <v>37</v>
      </c>
      <c r="L338" t="s">
        <v>85</v>
      </c>
      <c r="M338">
        <v>57</v>
      </c>
      <c r="N338">
        <v>4</v>
      </c>
      <c r="O338">
        <v>0</v>
      </c>
      <c r="P338">
        <v>7</v>
      </c>
      <c r="Q338" t="s">
        <v>31</v>
      </c>
      <c r="R338">
        <v>120</v>
      </c>
      <c r="S338">
        <v>24</v>
      </c>
      <c r="T338" t="s">
        <v>63</v>
      </c>
      <c r="U338" t="s">
        <v>31</v>
      </c>
      <c r="V338">
        <v>2026</v>
      </c>
      <c r="W338">
        <v>1</v>
      </c>
      <c r="X338" t="s">
        <v>1414</v>
      </c>
      <c r="Y338" s="6">
        <v>46023</v>
      </c>
      <c r="Z338" t="s">
        <v>1413</v>
      </c>
      <c r="AA338" t="s">
        <v>31</v>
      </c>
      <c r="AB338" t="s">
        <v>63</v>
      </c>
      <c r="AC338" t="s">
        <v>23</v>
      </c>
      <c r="AD338">
        <v>1</v>
      </c>
      <c r="AE338">
        <v>0</v>
      </c>
      <c r="AF338">
        <v>1</v>
      </c>
      <c r="AG338">
        <v>0</v>
      </c>
      <c r="AH338">
        <v>0</v>
      </c>
      <c r="AI338">
        <v>1</v>
      </c>
      <c r="AJ338">
        <v>0</v>
      </c>
    </row>
    <row r="339" spans="1:36">
      <c r="A339" t="s">
        <v>455</v>
      </c>
      <c r="B339">
        <v>8.5399999999999991</v>
      </c>
      <c r="C339" s="7">
        <v>46239.755555555559</v>
      </c>
      <c r="D339" s="7">
        <v>46240.111372789353</v>
      </c>
      <c r="E339" t="s">
        <v>23</v>
      </c>
      <c r="F339" t="s">
        <v>24</v>
      </c>
      <c r="G339" t="s">
        <v>65</v>
      </c>
      <c r="H339" t="s">
        <v>26</v>
      </c>
      <c r="I339" t="s">
        <v>35</v>
      </c>
      <c r="J339" t="s">
        <v>28</v>
      </c>
      <c r="K339" t="s">
        <v>37</v>
      </c>
      <c r="L339" t="s">
        <v>38</v>
      </c>
      <c r="M339">
        <v>12</v>
      </c>
      <c r="N339">
        <v>4</v>
      </c>
      <c r="O339">
        <v>0</v>
      </c>
      <c r="P339">
        <v>4</v>
      </c>
      <c r="Q339" t="s">
        <v>31</v>
      </c>
      <c r="R339">
        <v>15</v>
      </c>
      <c r="S339">
        <v>4</v>
      </c>
      <c r="T339" t="s">
        <v>63</v>
      </c>
      <c r="U339" t="s">
        <v>31</v>
      </c>
      <c r="V339">
        <v>2026</v>
      </c>
      <c r="W339">
        <v>8</v>
      </c>
      <c r="X339" t="s">
        <v>1417</v>
      </c>
      <c r="Y339" s="6">
        <v>46235</v>
      </c>
      <c r="Z339" t="s">
        <v>1413</v>
      </c>
      <c r="AA339" t="s">
        <v>31</v>
      </c>
      <c r="AB339" t="s">
        <v>63</v>
      </c>
      <c r="AC339" t="s">
        <v>23</v>
      </c>
      <c r="AD339">
        <v>1</v>
      </c>
      <c r="AE339">
        <v>0</v>
      </c>
      <c r="AF339">
        <v>1</v>
      </c>
      <c r="AG339">
        <v>0</v>
      </c>
      <c r="AH339">
        <v>0</v>
      </c>
      <c r="AI339">
        <v>1</v>
      </c>
      <c r="AJ339">
        <v>0</v>
      </c>
    </row>
    <row r="340" spans="1:36">
      <c r="A340" t="s">
        <v>456</v>
      </c>
      <c r="B340">
        <v>5.38</v>
      </c>
      <c r="C340" s="7">
        <v>46024.304861111108</v>
      </c>
      <c r="D340" s="7">
        <v>46024.529085798611</v>
      </c>
      <c r="E340" t="s">
        <v>23</v>
      </c>
      <c r="F340" t="s">
        <v>40</v>
      </c>
      <c r="G340" t="s">
        <v>41</v>
      </c>
      <c r="H340" t="s">
        <v>54</v>
      </c>
      <c r="I340" t="s">
        <v>35</v>
      </c>
      <c r="J340" t="s">
        <v>36</v>
      </c>
      <c r="K340" t="s">
        <v>52</v>
      </c>
      <c r="L340" t="s">
        <v>44</v>
      </c>
      <c r="M340">
        <v>34</v>
      </c>
      <c r="N340">
        <v>5</v>
      </c>
      <c r="O340">
        <v>0</v>
      </c>
      <c r="P340">
        <v>7</v>
      </c>
      <c r="Q340" t="s">
        <v>31</v>
      </c>
      <c r="R340">
        <v>30</v>
      </c>
      <c r="S340">
        <v>8</v>
      </c>
      <c r="T340" t="s">
        <v>31</v>
      </c>
      <c r="U340" t="s">
        <v>63</v>
      </c>
      <c r="V340">
        <v>2026</v>
      </c>
      <c r="W340">
        <v>1</v>
      </c>
      <c r="X340" t="s">
        <v>1414</v>
      </c>
      <c r="Y340" s="6">
        <v>46023</v>
      </c>
      <c r="Z340" t="s">
        <v>1413</v>
      </c>
      <c r="AA340" t="s">
        <v>31</v>
      </c>
      <c r="AB340" t="s">
        <v>63</v>
      </c>
      <c r="AC340" t="s">
        <v>23</v>
      </c>
      <c r="AD340">
        <v>1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1</v>
      </c>
    </row>
    <row r="341" spans="1:36">
      <c r="A341" t="s">
        <v>457</v>
      </c>
      <c r="B341">
        <v>32.85</v>
      </c>
      <c r="C341" s="7">
        <v>46094.779861111114</v>
      </c>
      <c r="D341" s="7">
        <v>46096.148805208337</v>
      </c>
      <c r="E341" t="s">
        <v>23</v>
      </c>
      <c r="F341" t="s">
        <v>50</v>
      </c>
      <c r="G341" t="s">
        <v>51</v>
      </c>
      <c r="H341" t="s">
        <v>34</v>
      </c>
      <c r="I341" t="s">
        <v>27</v>
      </c>
      <c r="J341" t="s">
        <v>43</v>
      </c>
      <c r="K341" t="s">
        <v>37</v>
      </c>
      <c r="L341" t="s">
        <v>68</v>
      </c>
      <c r="M341">
        <v>176</v>
      </c>
      <c r="O341">
        <v>1</v>
      </c>
      <c r="P341">
        <v>7</v>
      </c>
      <c r="Q341" t="s">
        <v>31</v>
      </c>
      <c r="R341">
        <v>120</v>
      </c>
      <c r="S341">
        <v>24</v>
      </c>
      <c r="T341" t="s">
        <v>31</v>
      </c>
      <c r="U341" t="s">
        <v>31</v>
      </c>
      <c r="V341">
        <v>2026</v>
      </c>
      <c r="W341">
        <v>3</v>
      </c>
      <c r="X341" t="s">
        <v>1423</v>
      </c>
      <c r="Y341" s="6">
        <v>46082</v>
      </c>
      <c r="Z341" t="s">
        <v>1420</v>
      </c>
      <c r="AA341" t="s">
        <v>63</v>
      </c>
      <c r="AB341" t="s">
        <v>31</v>
      </c>
      <c r="AC341" t="s">
        <v>23</v>
      </c>
      <c r="AD341">
        <v>1</v>
      </c>
      <c r="AE341">
        <v>0</v>
      </c>
      <c r="AF341">
        <v>1</v>
      </c>
      <c r="AG341">
        <v>1</v>
      </c>
      <c r="AH341">
        <v>0</v>
      </c>
      <c r="AI341">
        <v>0</v>
      </c>
      <c r="AJ341">
        <v>0</v>
      </c>
    </row>
    <row r="342" spans="1:36">
      <c r="A342" t="s">
        <v>458</v>
      </c>
      <c r="B342">
        <v>9.9499999999999993</v>
      </c>
      <c r="C342" s="7">
        <v>46081.657638888886</v>
      </c>
      <c r="D342" s="7">
        <v>46082.072364502317</v>
      </c>
      <c r="E342" t="s">
        <v>23</v>
      </c>
      <c r="F342" t="s">
        <v>40</v>
      </c>
      <c r="G342" t="s">
        <v>41</v>
      </c>
      <c r="H342" t="s">
        <v>54</v>
      </c>
      <c r="I342" t="s">
        <v>42</v>
      </c>
      <c r="J342" t="s">
        <v>43</v>
      </c>
      <c r="K342" t="s">
        <v>76</v>
      </c>
      <c r="L342" t="s">
        <v>68</v>
      </c>
      <c r="M342">
        <v>22</v>
      </c>
      <c r="N342">
        <v>5</v>
      </c>
      <c r="O342">
        <v>0</v>
      </c>
      <c r="P342">
        <v>2</v>
      </c>
      <c r="Q342" t="s">
        <v>31</v>
      </c>
      <c r="R342">
        <v>30</v>
      </c>
      <c r="S342">
        <v>8</v>
      </c>
      <c r="T342" t="s">
        <v>63</v>
      </c>
      <c r="U342" t="s">
        <v>31</v>
      </c>
      <c r="V342">
        <v>2026</v>
      </c>
      <c r="W342">
        <v>2</v>
      </c>
      <c r="X342" t="s">
        <v>1419</v>
      </c>
      <c r="Y342" s="6">
        <v>46054</v>
      </c>
      <c r="Z342" t="s">
        <v>1413</v>
      </c>
      <c r="AA342" t="s">
        <v>31</v>
      </c>
      <c r="AB342" t="s">
        <v>63</v>
      </c>
      <c r="AC342" t="s">
        <v>23</v>
      </c>
      <c r="AD342">
        <v>1</v>
      </c>
      <c r="AE342">
        <v>0</v>
      </c>
      <c r="AF342">
        <v>1</v>
      </c>
      <c r="AG342">
        <v>0</v>
      </c>
      <c r="AH342">
        <v>0</v>
      </c>
      <c r="AI342">
        <v>1</v>
      </c>
      <c r="AJ342">
        <v>0</v>
      </c>
    </row>
    <row r="343" spans="1:36">
      <c r="A343" t="s">
        <v>459</v>
      </c>
      <c r="B343">
        <v>78.63</v>
      </c>
      <c r="C343" s="7">
        <v>46188.593055555553</v>
      </c>
      <c r="D343" s="7">
        <v>46191.869217523148</v>
      </c>
      <c r="E343" t="s">
        <v>23</v>
      </c>
      <c r="F343" t="s">
        <v>33</v>
      </c>
      <c r="G343" t="s">
        <v>51</v>
      </c>
      <c r="H343" t="s">
        <v>75</v>
      </c>
      <c r="I343" t="s">
        <v>35</v>
      </c>
      <c r="J343" t="s">
        <v>36</v>
      </c>
      <c r="K343" t="s">
        <v>58</v>
      </c>
      <c r="L343" t="s">
        <v>55</v>
      </c>
      <c r="M343">
        <v>849</v>
      </c>
      <c r="N343">
        <v>2</v>
      </c>
      <c r="O343">
        <v>0</v>
      </c>
      <c r="P343">
        <v>5</v>
      </c>
      <c r="Q343" t="s">
        <v>31</v>
      </c>
      <c r="R343">
        <v>240</v>
      </c>
      <c r="S343">
        <v>48</v>
      </c>
      <c r="T343" t="s">
        <v>31</v>
      </c>
      <c r="U343" t="s">
        <v>31</v>
      </c>
      <c r="V343">
        <v>2026</v>
      </c>
      <c r="W343">
        <v>6</v>
      </c>
      <c r="X343" t="s">
        <v>1421</v>
      </c>
      <c r="Y343" s="6">
        <v>46174</v>
      </c>
      <c r="Z343" t="s">
        <v>1415</v>
      </c>
      <c r="AA343" t="s">
        <v>31</v>
      </c>
      <c r="AB343" t="s">
        <v>63</v>
      </c>
      <c r="AC343" t="s">
        <v>23</v>
      </c>
      <c r="AD343">
        <v>1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</row>
    <row r="344" spans="1:36">
      <c r="A344" t="s">
        <v>460</v>
      </c>
      <c r="B344">
        <v>8.26</v>
      </c>
      <c r="C344" s="7">
        <v>46105.365972222222</v>
      </c>
      <c r="D344" s="7">
        <v>46105.710153981483</v>
      </c>
      <c r="E344" t="s">
        <v>23</v>
      </c>
      <c r="F344" t="s">
        <v>33</v>
      </c>
      <c r="G344" t="s">
        <v>51</v>
      </c>
      <c r="H344" t="s">
        <v>34</v>
      </c>
      <c r="I344" t="s">
        <v>35</v>
      </c>
      <c r="J344" t="s">
        <v>43</v>
      </c>
      <c r="K344" t="s">
        <v>29</v>
      </c>
      <c r="L344" t="s">
        <v>68</v>
      </c>
      <c r="M344">
        <v>315</v>
      </c>
      <c r="N344">
        <v>4</v>
      </c>
      <c r="O344">
        <v>0</v>
      </c>
      <c r="P344">
        <v>3</v>
      </c>
      <c r="Q344" t="s">
        <v>31</v>
      </c>
      <c r="R344">
        <v>240</v>
      </c>
      <c r="S344">
        <v>48</v>
      </c>
      <c r="T344" t="s">
        <v>31</v>
      </c>
      <c r="U344" t="s">
        <v>63</v>
      </c>
      <c r="V344">
        <v>2026</v>
      </c>
      <c r="W344">
        <v>3</v>
      </c>
      <c r="X344" t="s">
        <v>1423</v>
      </c>
      <c r="Y344" s="6">
        <v>46082</v>
      </c>
      <c r="Z344" t="s">
        <v>1413</v>
      </c>
      <c r="AA344" t="s">
        <v>31</v>
      </c>
      <c r="AB344" t="s">
        <v>63</v>
      </c>
      <c r="AC344" t="s">
        <v>23</v>
      </c>
      <c r="AD344">
        <v>1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1</v>
      </c>
    </row>
    <row r="345" spans="1:36">
      <c r="A345" t="s">
        <v>461</v>
      </c>
      <c r="B345">
        <v>47.7</v>
      </c>
      <c r="C345" s="7">
        <v>46046.697222222225</v>
      </c>
      <c r="D345" s="7">
        <v>46048.684560277776</v>
      </c>
      <c r="E345" t="s">
        <v>23</v>
      </c>
      <c r="F345" t="s">
        <v>1402</v>
      </c>
      <c r="G345" t="s">
        <v>25</v>
      </c>
      <c r="H345" t="s">
        <v>26</v>
      </c>
      <c r="I345" t="s">
        <v>35</v>
      </c>
      <c r="J345" t="s">
        <v>43</v>
      </c>
      <c r="K345" t="s">
        <v>37</v>
      </c>
      <c r="L345" t="s">
        <v>101</v>
      </c>
      <c r="M345">
        <v>192</v>
      </c>
      <c r="N345">
        <v>3</v>
      </c>
      <c r="O345">
        <v>0</v>
      </c>
      <c r="P345">
        <v>6</v>
      </c>
      <c r="Q345" t="s">
        <v>63</v>
      </c>
      <c r="V345">
        <v>2026</v>
      </c>
      <c r="W345">
        <v>1</v>
      </c>
      <c r="X345" t="s">
        <v>1414</v>
      </c>
      <c r="Y345" s="6">
        <v>46023</v>
      </c>
      <c r="Z345" t="s">
        <v>1418</v>
      </c>
      <c r="AA345" t="s">
        <v>31</v>
      </c>
      <c r="AB345" t="s">
        <v>63</v>
      </c>
      <c r="AC345" t="s">
        <v>23</v>
      </c>
      <c r="AD345">
        <v>1</v>
      </c>
      <c r="AE345">
        <v>0</v>
      </c>
      <c r="AF345">
        <v>1</v>
      </c>
      <c r="AG345">
        <v>0</v>
      </c>
      <c r="AH345">
        <v>1</v>
      </c>
    </row>
    <row r="346" spans="1:36">
      <c r="A346" t="s">
        <v>463</v>
      </c>
      <c r="B346">
        <v>16.59</v>
      </c>
      <c r="C346" s="7">
        <v>46075.462500000001</v>
      </c>
      <c r="D346" s="7">
        <v>46076.153692465276</v>
      </c>
      <c r="E346" t="s">
        <v>23</v>
      </c>
      <c r="F346" t="s">
        <v>50</v>
      </c>
      <c r="G346" t="s">
        <v>51</v>
      </c>
      <c r="H346" t="s">
        <v>26</v>
      </c>
      <c r="I346" t="s">
        <v>35</v>
      </c>
      <c r="J346" t="s">
        <v>48</v>
      </c>
      <c r="K346" t="s">
        <v>37</v>
      </c>
      <c r="L346" t="s">
        <v>68</v>
      </c>
      <c r="M346">
        <v>252</v>
      </c>
      <c r="N346">
        <v>4</v>
      </c>
      <c r="O346">
        <v>0</v>
      </c>
      <c r="P346">
        <v>5</v>
      </c>
      <c r="Q346" t="s">
        <v>31</v>
      </c>
      <c r="R346">
        <v>120</v>
      </c>
      <c r="S346">
        <v>24</v>
      </c>
      <c r="T346" t="s">
        <v>31</v>
      </c>
      <c r="U346" t="s">
        <v>63</v>
      </c>
      <c r="V346">
        <v>2026</v>
      </c>
      <c r="W346">
        <v>2</v>
      </c>
      <c r="X346" t="s">
        <v>1419</v>
      </c>
      <c r="Y346" s="6">
        <v>46054</v>
      </c>
      <c r="Z346" t="s">
        <v>1413</v>
      </c>
      <c r="AA346" t="s">
        <v>31</v>
      </c>
      <c r="AB346" t="s">
        <v>63</v>
      </c>
      <c r="AC346" t="s">
        <v>23</v>
      </c>
      <c r="AD346">
        <v>1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1</v>
      </c>
    </row>
    <row r="347" spans="1:36">
      <c r="A347" t="s">
        <v>464</v>
      </c>
      <c r="B347">
        <v>87.14</v>
      </c>
      <c r="C347" s="7">
        <v>46059.031944444447</v>
      </c>
      <c r="D347" s="7">
        <v>46062.662626134261</v>
      </c>
      <c r="E347" t="s">
        <v>23</v>
      </c>
      <c r="F347" t="s">
        <v>33</v>
      </c>
      <c r="G347" t="s">
        <v>51</v>
      </c>
      <c r="H347" t="s">
        <v>66</v>
      </c>
      <c r="I347" t="s">
        <v>35</v>
      </c>
      <c r="J347" t="s">
        <v>28</v>
      </c>
      <c r="K347" t="s">
        <v>37</v>
      </c>
      <c r="L347" t="s">
        <v>85</v>
      </c>
      <c r="M347">
        <v>148</v>
      </c>
      <c r="N347">
        <v>3</v>
      </c>
      <c r="O347">
        <v>0</v>
      </c>
      <c r="P347">
        <v>6</v>
      </c>
      <c r="Q347" t="s">
        <v>31</v>
      </c>
      <c r="R347">
        <v>240</v>
      </c>
      <c r="S347">
        <v>48</v>
      </c>
      <c r="T347" t="s">
        <v>63</v>
      </c>
      <c r="U347" t="s">
        <v>31</v>
      </c>
      <c r="V347">
        <v>2026</v>
      </c>
      <c r="W347">
        <v>2</v>
      </c>
      <c r="X347" t="s">
        <v>1419</v>
      </c>
      <c r="Y347" s="6">
        <v>46054</v>
      </c>
      <c r="Z347" t="s">
        <v>1418</v>
      </c>
      <c r="AA347" t="s">
        <v>31</v>
      </c>
      <c r="AB347" t="s">
        <v>63</v>
      </c>
      <c r="AC347" t="s">
        <v>23</v>
      </c>
      <c r="AD347">
        <v>1</v>
      </c>
      <c r="AE347">
        <v>0</v>
      </c>
      <c r="AF347">
        <v>1</v>
      </c>
      <c r="AG347">
        <v>0</v>
      </c>
      <c r="AH347">
        <v>0</v>
      </c>
      <c r="AI347">
        <v>1</v>
      </c>
      <c r="AJ347">
        <v>0</v>
      </c>
    </row>
    <row r="348" spans="1:36">
      <c r="A348" t="s">
        <v>465</v>
      </c>
      <c r="B348">
        <v>19.38</v>
      </c>
      <c r="C348" s="7">
        <v>46196.348611111112</v>
      </c>
      <c r="D348" s="7">
        <v>46197.15625</v>
      </c>
      <c r="E348" t="s">
        <v>23</v>
      </c>
      <c r="F348" t="s">
        <v>1402</v>
      </c>
      <c r="G348" t="s">
        <v>51</v>
      </c>
      <c r="H348" t="s">
        <v>75</v>
      </c>
      <c r="I348" t="s">
        <v>42</v>
      </c>
      <c r="J348" t="s">
        <v>43</v>
      </c>
      <c r="K348" t="s">
        <v>76</v>
      </c>
      <c r="L348" t="s">
        <v>101</v>
      </c>
      <c r="M348">
        <v>17</v>
      </c>
      <c r="N348">
        <v>4</v>
      </c>
      <c r="O348">
        <v>0</v>
      </c>
      <c r="P348">
        <v>6</v>
      </c>
      <c r="Q348" t="s">
        <v>31</v>
      </c>
      <c r="V348">
        <v>2026</v>
      </c>
      <c r="W348">
        <v>6</v>
      </c>
      <c r="X348" t="s">
        <v>1421</v>
      </c>
      <c r="Y348" s="6">
        <v>46174</v>
      </c>
      <c r="Z348" t="s">
        <v>1413</v>
      </c>
      <c r="AA348" t="s">
        <v>31</v>
      </c>
      <c r="AB348" t="s">
        <v>63</v>
      </c>
      <c r="AC348" t="s">
        <v>23</v>
      </c>
      <c r="AD348">
        <v>1</v>
      </c>
      <c r="AE348">
        <v>0</v>
      </c>
      <c r="AF348">
        <v>1</v>
      </c>
      <c r="AG348">
        <v>0</v>
      </c>
      <c r="AH348">
        <v>0</v>
      </c>
    </row>
    <row r="349" spans="1:36">
      <c r="A349" t="s">
        <v>467</v>
      </c>
      <c r="B349">
        <v>28.52</v>
      </c>
      <c r="C349" s="7">
        <v>46175.64166666667</v>
      </c>
      <c r="D349" s="7">
        <v>46176.830072627316</v>
      </c>
      <c r="E349" t="s">
        <v>23</v>
      </c>
      <c r="F349" t="s">
        <v>33</v>
      </c>
      <c r="G349" t="s">
        <v>51</v>
      </c>
      <c r="H349" t="s">
        <v>54</v>
      </c>
      <c r="I349" t="s">
        <v>35</v>
      </c>
      <c r="J349" t="s">
        <v>36</v>
      </c>
      <c r="K349" t="s">
        <v>37</v>
      </c>
      <c r="L349" t="s">
        <v>93</v>
      </c>
      <c r="M349">
        <v>227</v>
      </c>
      <c r="N349">
        <v>2</v>
      </c>
      <c r="O349">
        <v>3</v>
      </c>
      <c r="P349">
        <v>22</v>
      </c>
      <c r="Q349" t="s">
        <v>31</v>
      </c>
      <c r="R349">
        <v>240</v>
      </c>
      <c r="S349">
        <v>48</v>
      </c>
      <c r="T349" t="s">
        <v>63</v>
      </c>
      <c r="U349" t="s">
        <v>63</v>
      </c>
      <c r="V349">
        <v>2026</v>
      </c>
      <c r="W349">
        <v>6</v>
      </c>
      <c r="X349" t="s">
        <v>1421</v>
      </c>
      <c r="Y349" s="6">
        <v>46174</v>
      </c>
      <c r="Z349" t="s">
        <v>1415</v>
      </c>
      <c r="AA349" t="s">
        <v>63</v>
      </c>
      <c r="AB349" t="s">
        <v>63</v>
      </c>
      <c r="AC349" t="s">
        <v>23</v>
      </c>
      <c r="AD349">
        <v>1</v>
      </c>
      <c r="AE349">
        <v>0</v>
      </c>
      <c r="AF349">
        <v>1</v>
      </c>
      <c r="AG349">
        <v>1</v>
      </c>
      <c r="AH349">
        <v>0</v>
      </c>
      <c r="AI349">
        <v>1</v>
      </c>
      <c r="AJ349">
        <v>1</v>
      </c>
    </row>
    <row r="350" spans="1:36">
      <c r="A350" t="s">
        <v>468</v>
      </c>
      <c r="C350" s="7">
        <v>46264.25</v>
      </c>
      <c r="D350" s="7"/>
      <c r="E350" t="s">
        <v>57</v>
      </c>
      <c r="F350" t="s">
        <v>50</v>
      </c>
      <c r="G350" t="s">
        <v>51</v>
      </c>
      <c r="H350" t="s">
        <v>26</v>
      </c>
      <c r="I350" t="s">
        <v>27</v>
      </c>
      <c r="J350" t="s">
        <v>28</v>
      </c>
      <c r="K350" t="s">
        <v>37</v>
      </c>
      <c r="L350" t="s">
        <v>44</v>
      </c>
      <c r="M350">
        <v>171</v>
      </c>
      <c r="O350">
        <v>0</v>
      </c>
      <c r="P350">
        <v>3</v>
      </c>
      <c r="Q350" t="s">
        <v>31</v>
      </c>
      <c r="R350">
        <v>120</v>
      </c>
      <c r="S350">
        <v>24</v>
      </c>
      <c r="T350" t="s">
        <v>31</v>
      </c>
      <c r="U350" t="s">
        <v>74</v>
      </c>
      <c r="V350">
        <v>2026</v>
      </c>
      <c r="W350">
        <v>8</v>
      </c>
      <c r="X350" t="s">
        <v>1417</v>
      </c>
      <c r="Y350" s="6">
        <v>46235</v>
      </c>
      <c r="Z350" t="s">
        <v>1420</v>
      </c>
      <c r="AA350" t="s">
        <v>31</v>
      </c>
      <c r="AB350" t="s">
        <v>31</v>
      </c>
      <c r="AC350" t="s">
        <v>57</v>
      </c>
      <c r="AD350">
        <v>1</v>
      </c>
      <c r="AE350">
        <v>1</v>
      </c>
      <c r="AF350">
        <v>0</v>
      </c>
      <c r="AG350">
        <v>0</v>
      </c>
      <c r="AH350">
        <v>0</v>
      </c>
      <c r="AI350">
        <v>0</v>
      </c>
    </row>
    <row r="351" spans="1:36">
      <c r="A351" t="s">
        <v>469</v>
      </c>
      <c r="B351">
        <v>44.61</v>
      </c>
      <c r="C351" s="7">
        <v>46113.442361111112</v>
      </c>
      <c r="D351" s="7">
        <v>46115.301134212961</v>
      </c>
      <c r="E351" t="s">
        <v>23</v>
      </c>
      <c r="F351" t="s">
        <v>50</v>
      </c>
      <c r="G351" t="s">
        <v>25</v>
      </c>
      <c r="H351" t="s">
        <v>34</v>
      </c>
      <c r="I351" t="s">
        <v>35</v>
      </c>
      <c r="J351" t="s">
        <v>36</v>
      </c>
      <c r="K351" t="s">
        <v>76</v>
      </c>
      <c r="L351" t="s">
        <v>55</v>
      </c>
      <c r="M351">
        <v>207</v>
      </c>
      <c r="N351">
        <v>3</v>
      </c>
      <c r="O351">
        <v>0</v>
      </c>
      <c r="P351">
        <v>4</v>
      </c>
      <c r="Q351" t="s">
        <v>31</v>
      </c>
      <c r="R351">
        <v>120</v>
      </c>
      <c r="S351">
        <v>24</v>
      </c>
      <c r="T351" t="s">
        <v>31</v>
      </c>
      <c r="U351" t="s">
        <v>31</v>
      </c>
      <c r="V351">
        <v>2026</v>
      </c>
      <c r="W351">
        <v>4</v>
      </c>
      <c r="X351" t="s">
        <v>1412</v>
      </c>
      <c r="Y351" s="6">
        <v>46113</v>
      </c>
      <c r="Z351" t="s">
        <v>1418</v>
      </c>
      <c r="AA351" t="s">
        <v>31</v>
      </c>
      <c r="AB351" t="s">
        <v>63</v>
      </c>
      <c r="AC351" t="s">
        <v>23</v>
      </c>
      <c r="AD351">
        <v>1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</row>
    <row r="352" spans="1:36">
      <c r="A352" t="s">
        <v>470</v>
      </c>
      <c r="B352">
        <v>212.89</v>
      </c>
      <c r="C352" s="7">
        <v>46024.173611111109</v>
      </c>
      <c r="D352" s="7">
        <v>46033.044213344911</v>
      </c>
      <c r="E352" t="s">
        <v>23</v>
      </c>
      <c r="F352" t="s">
        <v>33</v>
      </c>
      <c r="G352" t="s">
        <v>51</v>
      </c>
      <c r="H352" t="s">
        <v>66</v>
      </c>
      <c r="I352" t="s">
        <v>27</v>
      </c>
      <c r="J352" t="s">
        <v>48</v>
      </c>
      <c r="K352" t="s">
        <v>76</v>
      </c>
      <c r="L352" t="s">
        <v>71</v>
      </c>
      <c r="M352">
        <v>303</v>
      </c>
      <c r="N352">
        <v>3</v>
      </c>
      <c r="O352">
        <v>0</v>
      </c>
      <c r="P352">
        <v>2</v>
      </c>
      <c r="Q352" t="s">
        <v>31</v>
      </c>
      <c r="R352">
        <v>240</v>
      </c>
      <c r="S352">
        <v>48</v>
      </c>
      <c r="T352" t="s">
        <v>31</v>
      </c>
      <c r="U352" t="s">
        <v>31</v>
      </c>
      <c r="V352">
        <v>2026</v>
      </c>
      <c r="W352">
        <v>1</v>
      </c>
      <c r="X352" t="s">
        <v>1414</v>
      </c>
      <c r="Y352" s="6">
        <v>46023</v>
      </c>
      <c r="Z352" t="s">
        <v>1418</v>
      </c>
      <c r="AA352" t="s">
        <v>31</v>
      </c>
      <c r="AB352" t="s">
        <v>63</v>
      </c>
      <c r="AC352" t="s">
        <v>23</v>
      </c>
      <c r="AD352">
        <v>1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</row>
    <row r="353" spans="1:36">
      <c r="A353" t="s">
        <v>471</v>
      </c>
      <c r="B353">
        <v>1.78</v>
      </c>
      <c r="C353" s="7">
        <v>46222.868055555555</v>
      </c>
      <c r="D353" s="7">
        <v>46222.942118865743</v>
      </c>
      <c r="E353" t="s">
        <v>23</v>
      </c>
      <c r="F353" t="s">
        <v>24</v>
      </c>
      <c r="G353" t="s">
        <v>41</v>
      </c>
      <c r="H353" t="s">
        <v>26</v>
      </c>
      <c r="I353" t="s">
        <v>35</v>
      </c>
      <c r="J353" t="s">
        <v>36</v>
      </c>
      <c r="K353" t="s">
        <v>76</v>
      </c>
      <c r="L353" t="s">
        <v>71</v>
      </c>
      <c r="M353">
        <v>13</v>
      </c>
      <c r="N353">
        <v>4</v>
      </c>
      <c r="O353">
        <v>0</v>
      </c>
      <c r="P353">
        <v>6</v>
      </c>
      <c r="Q353" t="s">
        <v>31</v>
      </c>
      <c r="R353">
        <v>15</v>
      </c>
      <c r="S353">
        <v>4</v>
      </c>
      <c r="T353" t="s">
        <v>63</v>
      </c>
      <c r="U353" t="s">
        <v>63</v>
      </c>
      <c r="V353">
        <v>2026</v>
      </c>
      <c r="W353">
        <v>7</v>
      </c>
      <c r="X353" t="s">
        <v>1422</v>
      </c>
      <c r="Y353" s="6">
        <v>46204</v>
      </c>
      <c r="Z353" t="s">
        <v>1413</v>
      </c>
      <c r="AA353" t="s">
        <v>31</v>
      </c>
      <c r="AB353" t="s">
        <v>63</v>
      </c>
      <c r="AC353" t="s">
        <v>23</v>
      </c>
      <c r="AD353">
        <v>1</v>
      </c>
      <c r="AE353">
        <v>0</v>
      </c>
      <c r="AF353">
        <v>1</v>
      </c>
      <c r="AG353">
        <v>0</v>
      </c>
      <c r="AH353">
        <v>0</v>
      </c>
      <c r="AI353">
        <v>1</v>
      </c>
      <c r="AJ353">
        <v>1</v>
      </c>
    </row>
    <row r="354" spans="1:36">
      <c r="A354" t="s">
        <v>472</v>
      </c>
      <c r="C354" s="7">
        <v>46040.597916666666</v>
      </c>
      <c r="D354" s="7"/>
      <c r="E354" t="s">
        <v>74</v>
      </c>
      <c r="F354" t="s">
        <v>33</v>
      </c>
      <c r="G354" t="s">
        <v>41</v>
      </c>
      <c r="H354" t="s">
        <v>75</v>
      </c>
      <c r="I354" t="s">
        <v>35</v>
      </c>
      <c r="J354" t="s">
        <v>48</v>
      </c>
      <c r="K354" t="s">
        <v>37</v>
      </c>
      <c r="L354" t="s">
        <v>44</v>
      </c>
      <c r="M354">
        <v>133</v>
      </c>
      <c r="O354">
        <v>0</v>
      </c>
      <c r="P354">
        <v>7</v>
      </c>
      <c r="Q354" t="s">
        <v>31</v>
      </c>
      <c r="R354">
        <v>240</v>
      </c>
      <c r="S354">
        <v>48</v>
      </c>
      <c r="T354" t="s">
        <v>63</v>
      </c>
      <c r="U354" t="s">
        <v>74</v>
      </c>
      <c r="V354">
        <v>2026</v>
      </c>
      <c r="W354">
        <v>1</v>
      </c>
      <c r="X354" t="s">
        <v>1414</v>
      </c>
      <c r="Y354" s="6">
        <v>46023</v>
      </c>
      <c r="Z354" t="s">
        <v>1420</v>
      </c>
      <c r="AA354" t="s">
        <v>31</v>
      </c>
      <c r="AB354" t="s">
        <v>31</v>
      </c>
      <c r="AC354" t="s">
        <v>74</v>
      </c>
      <c r="AD354">
        <v>1</v>
      </c>
      <c r="AE354">
        <v>1</v>
      </c>
      <c r="AF354">
        <v>0</v>
      </c>
      <c r="AG354">
        <v>0</v>
      </c>
      <c r="AH354">
        <v>0</v>
      </c>
      <c r="AI354">
        <v>1</v>
      </c>
    </row>
    <row r="355" spans="1:36">
      <c r="A355" t="s">
        <v>473</v>
      </c>
      <c r="B355">
        <v>10.45</v>
      </c>
      <c r="C355" s="7">
        <v>46261.694444444445</v>
      </c>
      <c r="D355" s="7">
        <v>46262.12975777778</v>
      </c>
      <c r="E355" t="s">
        <v>23</v>
      </c>
      <c r="F355" t="s">
        <v>40</v>
      </c>
      <c r="G355" t="s">
        <v>51</v>
      </c>
      <c r="H355" t="s">
        <v>34</v>
      </c>
      <c r="I355" t="s">
        <v>27</v>
      </c>
      <c r="J355" t="s">
        <v>43</v>
      </c>
      <c r="K355" t="s">
        <v>76</v>
      </c>
      <c r="L355" t="s">
        <v>55</v>
      </c>
      <c r="M355">
        <v>73</v>
      </c>
      <c r="N355">
        <v>5</v>
      </c>
      <c r="O355">
        <v>0</v>
      </c>
      <c r="P355">
        <v>2</v>
      </c>
      <c r="Q355" t="s">
        <v>31</v>
      </c>
      <c r="R355">
        <v>30</v>
      </c>
      <c r="S355">
        <v>8</v>
      </c>
      <c r="T355" t="s">
        <v>31</v>
      </c>
      <c r="U355" t="s">
        <v>31</v>
      </c>
      <c r="V355">
        <v>2026</v>
      </c>
      <c r="W355">
        <v>8</v>
      </c>
      <c r="X355" t="s">
        <v>1417</v>
      </c>
      <c r="Y355" s="6">
        <v>46235</v>
      </c>
      <c r="Z355" t="s">
        <v>1413</v>
      </c>
      <c r="AA355" t="s">
        <v>31</v>
      </c>
      <c r="AB355" t="s">
        <v>63</v>
      </c>
      <c r="AC355" t="s">
        <v>23</v>
      </c>
      <c r="AD355">
        <v>1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</row>
    <row r="356" spans="1:36">
      <c r="A356" t="s">
        <v>474</v>
      </c>
      <c r="B356">
        <v>12.71</v>
      </c>
      <c r="C356" s="7">
        <v>46190.741666666669</v>
      </c>
      <c r="D356" s="7">
        <v>46191.271191585649</v>
      </c>
      <c r="E356" t="s">
        <v>23</v>
      </c>
      <c r="F356" t="s">
        <v>40</v>
      </c>
      <c r="G356" t="s">
        <v>51</v>
      </c>
      <c r="H356" t="s">
        <v>34</v>
      </c>
      <c r="I356" t="s">
        <v>27</v>
      </c>
      <c r="J356" t="s">
        <v>48</v>
      </c>
      <c r="K356" t="s">
        <v>76</v>
      </c>
      <c r="L356" t="s">
        <v>93</v>
      </c>
      <c r="M356">
        <v>36</v>
      </c>
      <c r="N356">
        <v>4</v>
      </c>
      <c r="O356">
        <v>0</v>
      </c>
      <c r="P356">
        <v>7</v>
      </c>
      <c r="Q356" t="s">
        <v>31</v>
      </c>
      <c r="R356">
        <v>30</v>
      </c>
      <c r="S356">
        <v>8</v>
      </c>
      <c r="T356" t="s">
        <v>31</v>
      </c>
      <c r="U356" t="s">
        <v>31</v>
      </c>
      <c r="V356">
        <v>2026</v>
      </c>
      <c r="W356">
        <v>6</v>
      </c>
      <c r="X356" t="s">
        <v>1421</v>
      </c>
      <c r="Y356" s="6">
        <v>46174</v>
      </c>
      <c r="Z356" t="s">
        <v>1413</v>
      </c>
      <c r="AA356" t="s">
        <v>31</v>
      </c>
      <c r="AB356" t="s">
        <v>63</v>
      </c>
      <c r="AC356" t="s">
        <v>23</v>
      </c>
      <c r="AD356">
        <v>1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</row>
    <row r="357" spans="1:36">
      <c r="A357" t="s">
        <v>475</v>
      </c>
      <c r="B357">
        <v>47.85</v>
      </c>
      <c r="C357" s="7">
        <v>46178.686805555553</v>
      </c>
      <c r="D357" s="7">
        <v>46180.680657592595</v>
      </c>
      <c r="E357" t="s">
        <v>23</v>
      </c>
      <c r="F357" t="s">
        <v>33</v>
      </c>
      <c r="G357" t="s">
        <v>25</v>
      </c>
      <c r="H357" t="s">
        <v>54</v>
      </c>
      <c r="I357" t="s">
        <v>27</v>
      </c>
      <c r="J357" t="s">
        <v>36</v>
      </c>
      <c r="K357" t="s">
        <v>37</v>
      </c>
      <c r="L357" t="s">
        <v>62</v>
      </c>
      <c r="M357">
        <v>117</v>
      </c>
      <c r="N357">
        <v>4</v>
      </c>
      <c r="O357">
        <v>1</v>
      </c>
      <c r="P357">
        <v>10</v>
      </c>
      <c r="Q357" t="s">
        <v>31</v>
      </c>
      <c r="R357">
        <v>240</v>
      </c>
      <c r="S357">
        <v>48</v>
      </c>
      <c r="T357" t="s">
        <v>63</v>
      </c>
      <c r="U357" t="s">
        <v>63</v>
      </c>
      <c r="V357">
        <v>2026</v>
      </c>
      <c r="W357">
        <v>6</v>
      </c>
      <c r="X357" t="s">
        <v>1421</v>
      </c>
      <c r="Y357" s="6">
        <v>46174</v>
      </c>
      <c r="Z357" t="s">
        <v>1413</v>
      </c>
      <c r="AA357" t="s">
        <v>63</v>
      </c>
      <c r="AB357" t="s">
        <v>63</v>
      </c>
      <c r="AC357" t="s">
        <v>23</v>
      </c>
      <c r="AD357">
        <v>1</v>
      </c>
      <c r="AE357">
        <v>0</v>
      </c>
      <c r="AF357">
        <v>1</v>
      </c>
      <c r="AG357">
        <v>1</v>
      </c>
      <c r="AH357">
        <v>0</v>
      </c>
      <c r="AI357">
        <v>1</v>
      </c>
      <c r="AJ357">
        <v>1</v>
      </c>
    </row>
    <row r="358" spans="1:36">
      <c r="A358" t="s">
        <v>476</v>
      </c>
      <c r="B358">
        <v>19.3</v>
      </c>
      <c r="C358" s="7">
        <v>46143.589583333334</v>
      </c>
      <c r="D358" s="7">
        <v>46144.393748784722</v>
      </c>
      <c r="E358" t="s">
        <v>23</v>
      </c>
      <c r="F358" t="s">
        <v>50</v>
      </c>
      <c r="G358" t="s">
        <v>41</v>
      </c>
      <c r="H358" t="s">
        <v>34</v>
      </c>
      <c r="I358" t="s">
        <v>42</v>
      </c>
      <c r="J358" t="s">
        <v>28</v>
      </c>
      <c r="K358" t="s">
        <v>37</v>
      </c>
      <c r="L358" t="s">
        <v>55</v>
      </c>
      <c r="M358">
        <v>119</v>
      </c>
      <c r="N358">
        <v>3</v>
      </c>
      <c r="O358">
        <v>1</v>
      </c>
      <c r="P358">
        <v>6</v>
      </c>
      <c r="Q358" t="s">
        <v>31</v>
      </c>
      <c r="R358">
        <v>120</v>
      </c>
      <c r="S358">
        <v>24</v>
      </c>
      <c r="T358" t="s">
        <v>63</v>
      </c>
      <c r="U358" t="s">
        <v>63</v>
      </c>
      <c r="V358">
        <v>2026</v>
      </c>
      <c r="W358">
        <v>5</v>
      </c>
      <c r="X358" t="s">
        <v>1416</v>
      </c>
      <c r="Y358" s="6">
        <v>46143</v>
      </c>
      <c r="Z358" t="s">
        <v>1418</v>
      </c>
      <c r="AA358" t="s">
        <v>63</v>
      </c>
      <c r="AB358" t="s">
        <v>63</v>
      </c>
      <c r="AC358" t="s">
        <v>23</v>
      </c>
      <c r="AD358">
        <v>1</v>
      </c>
      <c r="AE358">
        <v>0</v>
      </c>
      <c r="AF358">
        <v>1</v>
      </c>
      <c r="AG358">
        <v>1</v>
      </c>
      <c r="AH358">
        <v>0</v>
      </c>
      <c r="AI358">
        <v>1</v>
      </c>
      <c r="AJ358">
        <v>1</v>
      </c>
    </row>
    <row r="359" spans="1:36">
      <c r="A359" t="s">
        <v>477</v>
      </c>
      <c r="C359" s="7">
        <v>46172.335416666669</v>
      </c>
      <c r="D359" s="7"/>
      <c r="E359" t="s">
        <v>57</v>
      </c>
      <c r="F359" t="s">
        <v>33</v>
      </c>
      <c r="G359" t="s">
        <v>51</v>
      </c>
      <c r="H359" t="s">
        <v>66</v>
      </c>
      <c r="I359" t="s">
        <v>42</v>
      </c>
      <c r="J359" t="s">
        <v>36</v>
      </c>
      <c r="K359" t="s">
        <v>37</v>
      </c>
      <c r="L359" t="s">
        <v>38</v>
      </c>
      <c r="M359">
        <v>192</v>
      </c>
      <c r="O359">
        <v>0</v>
      </c>
      <c r="P359">
        <v>7</v>
      </c>
      <c r="Q359" t="s">
        <v>31</v>
      </c>
      <c r="R359">
        <v>240</v>
      </c>
      <c r="S359">
        <v>48</v>
      </c>
      <c r="T359" t="s">
        <v>63</v>
      </c>
      <c r="U359" t="s">
        <v>74</v>
      </c>
      <c r="V359">
        <v>2026</v>
      </c>
      <c r="W359">
        <v>5</v>
      </c>
      <c r="X359" t="s">
        <v>1416</v>
      </c>
      <c r="Y359" s="6">
        <v>46143</v>
      </c>
      <c r="Z359" t="s">
        <v>1420</v>
      </c>
      <c r="AA359" t="s">
        <v>31</v>
      </c>
      <c r="AB359" t="s">
        <v>31</v>
      </c>
      <c r="AC359" t="s">
        <v>57</v>
      </c>
      <c r="AD359">
        <v>1</v>
      </c>
      <c r="AE359">
        <v>1</v>
      </c>
      <c r="AF359">
        <v>0</v>
      </c>
      <c r="AG359">
        <v>0</v>
      </c>
      <c r="AH359">
        <v>0</v>
      </c>
      <c r="AI359">
        <v>1</v>
      </c>
    </row>
    <row r="360" spans="1:36">
      <c r="A360" t="s">
        <v>479</v>
      </c>
      <c r="B360">
        <v>28.86</v>
      </c>
      <c r="C360" s="7">
        <v>46032.57708333333</v>
      </c>
      <c r="D360" s="7">
        <v>46033.779639791668</v>
      </c>
      <c r="E360" t="s">
        <v>23</v>
      </c>
      <c r="F360" t="s">
        <v>50</v>
      </c>
      <c r="G360" t="s">
        <v>25</v>
      </c>
      <c r="H360" t="s">
        <v>54</v>
      </c>
      <c r="I360" t="s">
        <v>35</v>
      </c>
      <c r="J360" t="s">
        <v>48</v>
      </c>
      <c r="K360" t="s">
        <v>37</v>
      </c>
      <c r="L360" t="s">
        <v>38</v>
      </c>
      <c r="M360">
        <v>131</v>
      </c>
      <c r="N360">
        <v>4</v>
      </c>
      <c r="O360">
        <v>0</v>
      </c>
      <c r="P360">
        <v>6</v>
      </c>
      <c r="Q360" t="s">
        <v>31</v>
      </c>
      <c r="R360">
        <v>120</v>
      </c>
      <c r="S360">
        <v>24</v>
      </c>
      <c r="T360" t="s">
        <v>31</v>
      </c>
      <c r="U360" t="s">
        <v>31</v>
      </c>
      <c r="V360">
        <v>2026</v>
      </c>
      <c r="W360">
        <v>1</v>
      </c>
      <c r="X360" t="s">
        <v>1414</v>
      </c>
      <c r="Y360" s="6">
        <v>46023</v>
      </c>
      <c r="Z360" t="s">
        <v>1413</v>
      </c>
      <c r="AA360" t="s">
        <v>31</v>
      </c>
      <c r="AB360" t="s">
        <v>63</v>
      </c>
      <c r="AC360" t="s">
        <v>23</v>
      </c>
      <c r="AD360">
        <v>1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</row>
    <row r="361" spans="1:36">
      <c r="A361" t="s">
        <v>480</v>
      </c>
      <c r="B361">
        <v>34.590000000000003</v>
      </c>
      <c r="C361" s="7">
        <v>46144.036805555559</v>
      </c>
      <c r="D361" s="7">
        <v>46145.478026793979</v>
      </c>
      <c r="E361" t="s">
        <v>23</v>
      </c>
      <c r="F361" t="s">
        <v>50</v>
      </c>
      <c r="G361" t="s">
        <v>25</v>
      </c>
      <c r="H361" t="s">
        <v>75</v>
      </c>
      <c r="I361" t="s">
        <v>35</v>
      </c>
      <c r="J361" t="s">
        <v>43</v>
      </c>
      <c r="K361" t="s">
        <v>37</v>
      </c>
      <c r="L361" t="s">
        <v>62</v>
      </c>
      <c r="M361">
        <v>93</v>
      </c>
      <c r="N361">
        <v>4</v>
      </c>
      <c r="O361">
        <v>0</v>
      </c>
      <c r="P361">
        <v>4</v>
      </c>
      <c r="Q361" t="s">
        <v>31</v>
      </c>
      <c r="R361">
        <v>120</v>
      </c>
      <c r="S361">
        <v>24</v>
      </c>
      <c r="T361" t="s">
        <v>63</v>
      </c>
      <c r="U361" t="s">
        <v>31</v>
      </c>
      <c r="V361">
        <v>2026</v>
      </c>
      <c r="W361">
        <v>5</v>
      </c>
      <c r="X361" t="s">
        <v>1416</v>
      </c>
      <c r="Y361" s="6">
        <v>46143</v>
      </c>
      <c r="Z361" t="s">
        <v>1413</v>
      </c>
      <c r="AA361" t="s">
        <v>31</v>
      </c>
      <c r="AB361" t="s">
        <v>63</v>
      </c>
      <c r="AC361" t="s">
        <v>23</v>
      </c>
      <c r="AD361">
        <v>1</v>
      </c>
      <c r="AE361">
        <v>0</v>
      </c>
      <c r="AF361">
        <v>1</v>
      </c>
      <c r="AG361">
        <v>0</v>
      </c>
      <c r="AH361">
        <v>0</v>
      </c>
      <c r="AI361">
        <v>1</v>
      </c>
      <c r="AJ361">
        <v>0</v>
      </c>
    </row>
    <row r="362" spans="1:36">
      <c r="A362" t="s">
        <v>481</v>
      </c>
      <c r="B362">
        <v>71.06</v>
      </c>
      <c r="C362" s="7">
        <v>46127.591666666667</v>
      </c>
      <c r="D362" s="7">
        <v>46130.552559849537</v>
      </c>
      <c r="E362" t="s">
        <v>23</v>
      </c>
      <c r="F362" t="s">
        <v>33</v>
      </c>
      <c r="G362" t="s">
        <v>41</v>
      </c>
      <c r="H362" t="s">
        <v>75</v>
      </c>
      <c r="I362" t="s">
        <v>35</v>
      </c>
      <c r="J362" t="s">
        <v>43</v>
      </c>
      <c r="K362" t="s">
        <v>29</v>
      </c>
      <c r="L362" t="s">
        <v>68</v>
      </c>
      <c r="M362">
        <v>187</v>
      </c>
      <c r="N362">
        <v>4</v>
      </c>
      <c r="O362">
        <v>0</v>
      </c>
      <c r="P362">
        <v>5</v>
      </c>
      <c r="Q362" t="s">
        <v>31</v>
      </c>
      <c r="R362">
        <v>240</v>
      </c>
      <c r="S362">
        <v>48</v>
      </c>
      <c r="T362" t="s">
        <v>63</v>
      </c>
      <c r="U362" t="s">
        <v>31</v>
      </c>
      <c r="V362">
        <v>2026</v>
      </c>
      <c r="W362">
        <v>4</v>
      </c>
      <c r="X362" t="s">
        <v>1412</v>
      </c>
      <c r="Y362" s="6">
        <v>46113</v>
      </c>
      <c r="Z362" t="s">
        <v>1413</v>
      </c>
      <c r="AA362" t="s">
        <v>31</v>
      </c>
      <c r="AB362" t="s">
        <v>63</v>
      </c>
      <c r="AC362" t="s">
        <v>23</v>
      </c>
      <c r="AD362">
        <v>1</v>
      </c>
      <c r="AE362">
        <v>0</v>
      </c>
      <c r="AF362">
        <v>1</v>
      </c>
      <c r="AG362">
        <v>0</v>
      </c>
      <c r="AH362">
        <v>0</v>
      </c>
      <c r="AI362">
        <v>1</v>
      </c>
      <c r="AJ362">
        <v>0</v>
      </c>
    </row>
    <row r="363" spans="1:36">
      <c r="A363" t="s">
        <v>482</v>
      </c>
      <c r="B363">
        <v>48.04</v>
      </c>
      <c r="C363" s="7">
        <v>46243.164583333331</v>
      </c>
      <c r="D363" s="7">
        <v>46245.166097638888</v>
      </c>
      <c r="E363" t="s">
        <v>23</v>
      </c>
      <c r="F363" t="s">
        <v>50</v>
      </c>
      <c r="G363" t="s">
        <v>51</v>
      </c>
      <c r="H363" t="s">
        <v>26</v>
      </c>
      <c r="I363" t="s">
        <v>42</v>
      </c>
      <c r="J363" t="s">
        <v>28</v>
      </c>
      <c r="K363" t="s">
        <v>37</v>
      </c>
      <c r="L363" t="s">
        <v>101</v>
      </c>
      <c r="M363">
        <v>84</v>
      </c>
      <c r="N363">
        <v>4</v>
      </c>
      <c r="O363">
        <v>0</v>
      </c>
      <c r="P363">
        <v>4</v>
      </c>
      <c r="Q363" t="s">
        <v>31</v>
      </c>
      <c r="R363">
        <v>120</v>
      </c>
      <c r="S363">
        <v>24</v>
      </c>
      <c r="T363" t="s">
        <v>63</v>
      </c>
      <c r="U363" t="s">
        <v>31</v>
      </c>
      <c r="V363">
        <v>2026</v>
      </c>
      <c r="W363">
        <v>8</v>
      </c>
      <c r="X363" t="s">
        <v>1417</v>
      </c>
      <c r="Y363" s="6">
        <v>46235</v>
      </c>
      <c r="Z363" t="s">
        <v>1413</v>
      </c>
      <c r="AA363" t="s">
        <v>31</v>
      </c>
      <c r="AB363" t="s">
        <v>63</v>
      </c>
      <c r="AC363" t="s">
        <v>23</v>
      </c>
      <c r="AD363">
        <v>1</v>
      </c>
      <c r="AE363">
        <v>0</v>
      </c>
      <c r="AF363">
        <v>1</v>
      </c>
      <c r="AG363">
        <v>0</v>
      </c>
      <c r="AH363">
        <v>0</v>
      </c>
      <c r="AI363">
        <v>1</v>
      </c>
      <c r="AJ363">
        <v>0</v>
      </c>
    </row>
    <row r="364" spans="1:36">
      <c r="A364" t="s">
        <v>483</v>
      </c>
      <c r="B364">
        <v>15.84</v>
      </c>
      <c r="C364" s="7">
        <v>46122.362500000003</v>
      </c>
      <c r="D364" s="7">
        <v>46123.022541493054</v>
      </c>
      <c r="E364" t="s">
        <v>23</v>
      </c>
      <c r="F364" t="s">
        <v>50</v>
      </c>
      <c r="G364" t="s">
        <v>25</v>
      </c>
      <c r="H364" t="s">
        <v>34</v>
      </c>
      <c r="I364" t="s">
        <v>27</v>
      </c>
      <c r="J364" t="s">
        <v>48</v>
      </c>
      <c r="K364" t="s">
        <v>52</v>
      </c>
      <c r="L364" t="s">
        <v>101</v>
      </c>
      <c r="M364">
        <v>62</v>
      </c>
      <c r="N364">
        <v>4</v>
      </c>
      <c r="O364">
        <v>0</v>
      </c>
      <c r="P364">
        <v>11</v>
      </c>
      <c r="Q364" t="s">
        <v>63</v>
      </c>
      <c r="R364">
        <v>120</v>
      </c>
      <c r="S364">
        <v>24</v>
      </c>
      <c r="T364" t="s">
        <v>63</v>
      </c>
      <c r="U364" t="s">
        <v>63</v>
      </c>
      <c r="V364">
        <v>2026</v>
      </c>
      <c r="W364">
        <v>4</v>
      </c>
      <c r="X364" t="s">
        <v>1412</v>
      </c>
      <c r="Y364" s="6">
        <v>46113</v>
      </c>
      <c r="Z364" t="s">
        <v>1413</v>
      </c>
      <c r="AA364" t="s">
        <v>31</v>
      </c>
      <c r="AB364" t="s">
        <v>63</v>
      </c>
      <c r="AC364" t="s">
        <v>23</v>
      </c>
      <c r="AD364">
        <v>1</v>
      </c>
      <c r="AE364">
        <v>0</v>
      </c>
      <c r="AF364">
        <v>1</v>
      </c>
      <c r="AG364">
        <v>0</v>
      </c>
      <c r="AH364">
        <v>1</v>
      </c>
      <c r="AI364">
        <v>1</v>
      </c>
      <c r="AJ364">
        <v>1</v>
      </c>
    </row>
    <row r="365" spans="1:36">
      <c r="A365" t="s">
        <v>484</v>
      </c>
      <c r="B365">
        <v>13.22</v>
      </c>
      <c r="C365" s="7">
        <v>46104.720833333333</v>
      </c>
      <c r="D365" s="7">
        <v>46105.271715057868</v>
      </c>
      <c r="E365" t="s">
        <v>23</v>
      </c>
      <c r="F365" t="s">
        <v>50</v>
      </c>
      <c r="G365" t="s">
        <v>51</v>
      </c>
      <c r="H365" t="s">
        <v>34</v>
      </c>
      <c r="I365" t="s">
        <v>42</v>
      </c>
      <c r="J365" t="s">
        <v>48</v>
      </c>
      <c r="K365" t="s">
        <v>52</v>
      </c>
      <c r="L365" t="s">
        <v>101</v>
      </c>
      <c r="M365">
        <v>77</v>
      </c>
      <c r="N365">
        <v>5</v>
      </c>
      <c r="O365">
        <v>0</v>
      </c>
      <c r="P365">
        <v>3</v>
      </c>
      <c r="Q365" t="s">
        <v>31</v>
      </c>
      <c r="R365">
        <v>120</v>
      </c>
      <c r="S365">
        <v>24</v>
      </c>
      <c r="T365" t="s">
        <v>63</v>
      </c>
      <c r="U365" t="s">
        <v>63</v>
      </c>
      <c r="V365">
        <v>2026</v>
      </c>
      <c r="W365">
        <v>3</v>
      </c>
      <c r="X365" t="s">
        <v>1423</v>
      </c>
      <c r="Y365" s="6">
        <v>46082</v>
      </c>
      <c r="Z365" t="s">
        <v>1413</v>
      </c>
      <c r="AA365" t="s">
        <v>31</v>
      </c>
      <c r="AB365" t="s">
        <v>63</v>
      </c>
      <c r="AC365" t="s">
        <v>23</v>
      </c>
      <c r="AD365">
        <v>1</v>
      </c>
      <c r="AE365">
        <v>0</v>
      </c>
      <c r="AF365">
        <v>1</v>
      </c>
      <c r="AG365">
        <v>0</v>
      </c>
      <c r="AH365">
        <v>0</v>
      </c>
      <c r="AI365">
        <v>1</v>
      </c>
      <c r="AJ365">
        <v>1</v>
      </c>
    </row>
    <row r="366" spans="1:36">
      <c r="A366" t="s">
        <v>485</v>
      </c>
      <c r="B366">
        <v>19.88</v>
      </c>
      <c r="C366" s="7">
        <v>46029.213194444441</v>
      </c>
      <c r="D366" s="7">
        <v>46030.041594490744</v>
      </c>
      <c r="E366" t="s">
        <v>23</v>
      </c>
      <c r="F366" t="s">
        <v>50</v>
      </c>
      <c r="G366" t="s">
        <v>51</v>
      </c>
      <c r="H366" t="s">
        <v>26</v>
      </c>
      <c r="I366" t="s">
        <v>42</v>
      </c>
      <c r="J366" t="s">
        <v>36</v>
      </c>
      <c r="K366" t="s">
        <v>58</v>
      </c>
      <c r="L366" t="s">
        <v>44</v>
      </c>
      <c r="M366">
        <v>148</v>
      </c>
      <c r="N366">
        <v>4</v>
      </c>
      <c r="O366">
        <v>1</v>
      </c>
      <c r="P366">
        <v>7</v>
      </c>
      <c r="Q366" t="s">
        <v>31</v>
      </c>
      <c r="R366">
        <v>120</v>
      </c>
      <c r="S366">
        <v>24</v>
      </c>
      <c r="T366" t="s">
        <v>31</v>
      </c>
      <c r="U366" t="s">
        <v>63</v>
      </c>
      <c r="V366">
        <v>2026</v>
      </c>
      <c r="W366">
        <v>1</v>
      </c>
      <c r="X366" t="s">
        <v>1414</v>
      </c>
      <c r="Y366" s="6">
        <v>46023</v>
      </c>
      <c r="Z366" t="s">
        <v>1413</v>
      </c>
      <c r="AA366" t="s">
        <v>63</v>
      </c>
      <c r="AB366" t="s">
        <v>63</v>
      </c>
      <c r="AC366" t="s">
        <v>23</v>
      </c>
      <c r="AD366">
        <v>1</v>
      </c>
      <c r="AE366">
        <v>0</v>
      </c>
      <c r="AF366">
        <v>1</v>
      </c>
      <c r="AG366">
        <v>1</v>
      </c>
      <c r="AH366">
        <v>0</v>
      </c>
      <c r="AI366">
        <v>0</v>
      </c>
      <c r="AJ366">
        <v>1</v>
      </c>
    </row>
    <row r="367" spans="1:36">
      <c r="A367" t="s">
        <v>486</v>
      </c>
      <c r="C367" s="7">
        <v>46245.288888888892</v>
      </c>
      <c r="D367" s="7"/>
      <c r="E367" t="s">
        <v>57</v>
      </c>
      <c r="F367" t="s">
        <v>50</v>
      </c>
      <c r="G367" t="s">
        <v>51</v>
      </c>
      <c r="H367" t="s">
        <v>26</v>
      </c>
      <c r="I367" t="s">
        <v>42</v>
      </c>
      <c r="J367" t="s">
        <v>43</v>
      </c>
      <c r="K367" t="s">
        <v>52</v>
      </c>
      <c r="L367" t="s">
        <v>68</v>
      </c>
      <c r="M367">
        <v>95</v>
      </c>
      <c r="O367">
        <v>0</v>
      </c>
      <c r="P367">
        <v>5</v>
      </c>
      <c r="Q367" t="s">
        <v>31</v>
      </c>
      <c r="R367">
        <v>120</v>
      </c>
      <c r="S367">
        <v>24</v>
      </c>
      <c r="T367" t="s">
        <v>63</v>
      </c>
      <c r="U367" t="s">
        <v>74</v>
      </c>
      <c r="V367">
        <v>2026</v>
      </c>
      <c r="W367">
        <v>8</v>
      </c>
      <c r="X367" t="s">
        <v>1417</v>
      </c>
      <c r="Y367" s="6">
        <v>46235</v>
      </c>
      <c r="Z367" t="s">
        <v>1420</v>
      </c>
      <c r="AA367" t="s">
        <v>31</v>
      </c>
      <c r="AB367" t="s">
        <v>31</v>
      </c>
      <c r="AC367" t="s">
        <v>57</v>
      </c>
      <c r="AD367">
        <v>1</v>
      </c>
      <c r="AE367">
        <v>1</v>
      </c>
      <c r="AF367">
        <v>0</v>
      </c>
      <c r="AG367">
        <v>0</v>
      </c>
      <c r="AH367">
        <v>0</v>
      </c>
      <c r="AI367">
        <v>1</v>
      </c>
    </row>
    <row r="368" spans="1:36">
      <c r="A368" t="s">
        <v>487</v>
      </c>
      <c r="B368">
        <v>6.09</v>
      </c>
      <c r="C368" s="7">
        <v>46098.981944444444</v>
      </c>
      <c r="D368" s="7">
        <v>46099.235728368054</v>
      </c>
      <c r="E368" t="s">
        <v>23</v>
      </c>
      <c r="F368" t="s">
        <v>24</v>
      </c>
      <c r="G368" t="s">
        <v>41</v>
      </c>
      <c r="H368" t="s">
        <v>54</v>
      </c>
      <c r="I368" t="s">
        <v>35</v>
      </c>
      <c r="J368" t="s">
        <v>48</v>
      </c>
      <c r="K368" t="s">
        <v>67</v>
      </c>
      <c r="L368" t="s">
        <v>68</v>
      </c>
      <c r="M368">
        <v>13</v>
      </c>
      <c r="N368">
        <v>4</v>
      </c>
      <c r="O368">
        <v>0</v>
      </c>
      <c r="P368">
        <v>6</v>
      </c>
      <c r="Q368" t="s">
        <v>31</v>
      </c>
      <c r="R368">
        <v>15</v>
      </c>
      <c r="S368">
        <v>4</v>
      </c>
      <c r="T368" t="s">
        <v>63</v>
      </c>
      <c r="U368" t="s">
        <v>31</v>
      </c>
      <c r="V368">
        <v>2026</v>
      </c>
      <c r="W368">
        <v>3</v>
      </c>
      <c r="X368" t="s">
        <v>1423</v>
      </c>
      <c r="Y368" s="6">
        <v>46082</v>
      </c>
      <c r="Z368" t="s">
        <v>1413</v>
      </c>
      <c r="AA368" t="s">
        <v>31</v>
      </c>
      <c r="AB368" t="s">
        <v>63</v>
      </c>
      <c r="AC368" t="s">
        <v>23</v>
      </c>
      <c r="AD368">
        <v>1</v>
      </c>
      <c r="AE368">
        <v>0</v>
      </c>
      <c r="AF368">
        <v>1</v>
      </c>
      <c r="AG368">
        <v>0</v>
      </c>
      <c r="AH368">
        <v>0</v>
      </c>
      <c r="AI368">
        <v>1</v>
      </c>
      <c r="AJ368">
        <v>0</v>
      </c>
    </row>
    <row r="369" spans="1:36">
      <c r="A369" t="s">
        <v>488</v>
      </c>
      <c r="B369">
        <v>54.54</v>
      </c>
      <c r="C369" s="7">
        <v>46243.820833333331</v>
      </c>
      <c r="D369" s="7">
        <v>46246.093331990742</v>
      </c>
      <c r="E369" t="s">
        <v>23</v>
      </c>
      <c r="F369" t="s">
        <v>33</v>
      </c>
      <c r="G369" t="s">
        <v>25</v>
      </c>
      <c r="H369" t="s">
        <v>26</v>
      </c>
      <c r="I369" t="s">
        <v>27</v>
      </c>
      <c r="J369" t="s">
        <v>28</v>
      </c>
      <c r="K369" t="s">
        <v>52</v>
      </c>
      <c r="L369" t="s">
        <v>55</v>
      </c>
      <c r="M369">
        <v>136</v>
      </c>
      <c r="N369">
        <v>4</v>
      </c>
      <c r="O369">
        <v>0</v>
      </c>
      <c r="P369">
        <v>7</v>
      </c>
      <c r="Q369" t="s">
        <v>31</v>
      </c>
      <c r="R369">
        <v>240</v>
      </c>
      <c r="S369">
        <v>48</v>
      </c>
      <c r="T369" t="s">
        <v>63</v>
      </c>
      <c r="U369" t="s">
        <v>31</v>
      </c>
      <c r="V369">
        <v>2026</v>
      </c>
      <c r="W369">
        <v>8</v>
      </c>
      <c r="X369" t="s">
        <v>1417</v>
      </c>
      <c r="Y369" s="6">
        <v>46235</v>
      </c>
      <c r="Z369" t="s">
        <v>1413</v>
      </c>
      <c r="AA369" t="s">
        <v>31</v>
      </c>
      <c r="AB369" t="s">
        <v>63</v>
      </c>
      <c r="AC369" t="s">
        <v>23</v>
      </c>
      <c r="AD369">
        <v>1</v>
      </c>
      <c r="AE369">
        <v>0</v>
      </c>
      <c r="AF369">
        <v>1</v>
      </c>
      <c r="AG369">
        <v>0</v>
      </c>
      <c r="AH369">
        <v>0</v>
      </c>
      <c r="AI369">
        <v>1</v>
      </c>
      <c r="AJ369">
        <v>0</v>
      </c>
    </row>
    <row r="370" spans="1:36">
      <c r="A370" t="s">
        <v>489</v>
      </c>
      <c r="B370">
        <v>57.18</v>
      </c>
      <c r="C370" s="7">
        <v>46148.331250000003</v>
      </c>
      <c r="D370" s="7">
        <v>46150.713641493057</v>
      </c>
      <c r="E370" t="s">
        <v>23</v>
      </c>
      <c r="F370" t="s">
        <v>50</v>
      </c>
      <c r="G370" t="s">
        <v>41</v>
      </c>
      <c r="H370" t="s">
        <v>26</v>
      </c>
      <c r="I370" t="s">
        <v>27</v>
      </c>
      <c r="J370" t="s">
        <v>36</v>
      </c>
      <c r="K370" t="s">
        <v>37</v>
      </c>
      <c r="L370" t="s">
        <v>93</v>
      </c>
      <c r="M370">
        <v>140</v>
      </c>
      <c r="N370">
        <v>3</v>
      </c>
      <c r="O370">
        <v>1</v>
      </c>
      <c r="P370">
        <v>8</v>
      </c>
      <c r="Q370" t="s">
        <v>63</v>
      </c>
      <c r="R370">
        <v>120</v>
      </c>
      <c r="S370">
        <v>24</v>
      </c>
      <c r="T370" t="s">
        <v>31</v>
      </c>
      <c r="U370" t="s">
        <v>31</v>
      </c>
      <c r="V370">
        <v>2026</v>
      </c>
      <c r="W370">
        <v>5</v>
      </c>
      <c r="X370" t="s">
        <v>1416</v>
      </c>
      <c r="Y370" s="6">
        <v>46143</v>
      </c>
      <c r="Z370" t="s">
        <v>1418</v>
      </c>
      <c r="AA370" t="s">
        <v>63</v>
      </c>
      <c r="AB370" t="s">
        <v>63</v>
      </c>
      <c r="AC370" t="s">
        <v>23</v>
      </c>
      <c r="AD370">
        <v>1</v>
      </c>
      <c r="AE370">
        <v>0</v>
      </c>
      <c r="AF370">
        <v>1</v>
      </c>
      <c r="AG370">
        <v>1</v>
      </c>
      <c r="AH370">
        <v>1</v>
      </c>
      <c r="AI370">
        <v>0</v>
      </c>
      <c r="AJ370">
        <v>0</v>
      </c>
    </row>
    <row r="371" spans="1:36">
      <c r="A371" t="s">
        <v>490</v>
      </c>
      <c r="B371">
        <v>68.14</v>
      </c>
      <c r="C371" s="7">
        <v>46130.220833333333</v>
      </c>
      <c r="D371" s="7">
        <v>46133.059841828705</v>
      </c>
      <c r="E371" t="s">
        <v>23</v>
      </c>
      <c r="F371" t="s">
        <v>33</v>
      </c>
      <c r="G371" t="s">
        <v>65</v>
      </c>
      <c r="H371" t="s">
        <v>54</v>
      </c>
      <c r="I371" t="s">
        <v>35</v>
      </c>
      <c r="J371" t="s">
        <v>48</v>
      </c>
      <c r="K371" t="s">
        <v>37</v>
      </c>
      <c r="L371" t="s">
        <v>30</v>
      </c>
      <c r="M371">
        <v>593</v>
      </c>
      <c r="N371">
        <v>3</v>
      </c>
      <c r="O371">
        <v>0</v>
      </c>
      <c r="P371">
        <v>4</v>
      </c>
      <c r="Q371" t="s">
        <v>31</v>
      </c>
      <c r="R371">
        <v>240</v>
      </c>
      <c r="S371">
        <v>48</v>
      </c>
      <c r="T371" t="s">
        <v>31</v>
      </c>
      <c r="U371" t="s">
        <v>31</v>
      </c>
      <c r="V371">
        <v>2026</v>
      </c>
      <c r="W371">
        <v>4</v>
      </c>
      <c r="X371" t="s">
        <v>1412</v>
      </c>
      <c r="Y371" s="6">
        <v>46113</v>
      </c>
      <c r="Z371" t="s">
        <v>1418</v>
      </c>
      <c r="AA371" t="s">
        <v>31</v>
      </c>
      <c r="AB371" t="s">
        <v>63</v>
      </c>
      <c r="AC371" t="s">
        <v>23</v>
      </c>
      <c r="AD371">
        <v>1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</row>
    <row r="372" spans="1:36">
      <c r="A372" t="s">
        <v>491</v>
      </c>
      <c r="B372">
        <v>53.21</v>
      </c>
      <c r="C372" s="7">
        <v>46096.634027777778</v>
      </c>
      <c r="D372" s="7">
        <v>46098.850977997688</v>
      </c>
      <c r="E372" t="s">
        <v>23</v>
      </c>
      <c r="F372" t="s">
        <v>33</v>
      </c>
      <c r="G372" t="s">
        <v>51</v>
      </c>
      <c r="H372" t="s">
        <v>75</v>
      </c>
      <c r="I372" t="s">
        <v>27</v>
      </c>
      <c r="J372" t="s">
        <v>48</v>
      </c>
      <c r="K372" t="s">
        <v>52</v>
      </c>
      <c r="L372" t="s">
        <v>30</v>
      </c>
      <c r="M372">
        <v>94</v>
      </c>
      <c r="N372">
        <v>3</v>
      </c>
      <c r="O372">
        <v>0</v>
      </c>
      <c r="P372">
        <v>10</v>
      </c>
      <c r="Q372" t="s">
        <v>63</v>
      </c>
      <c r="R372">
        <v>240</v>
      </c>
      <c r="S372">
        <v>48</v>
      </c>
      <c r="T372" t="s">
        <v>63</v>
      </c>
      <c r="U372" t="s">
        <v>31</v>
      </c>
      <c r="V372">
        <v>2026</v>
      </c>
      <c r="W372">
        <v>3</v>
      </c>
      <c r="X372" t="s">
        <v>1423</v>
      </c>
      <c r="Y372" s="6">
        <v>46082</v>
      </c>
      <c r="Z372" t="s">
        <v>1418</v>
      </c>
      <c r="AA372" t="s">
        <v>31</v>
      </c>
      <c r="AB372" t="s">
        <v>63</v>
      </c>
      <c r="AC372" t="s">
        <v>23</v>
      </c>
      <c r="AD372">
        <v>1</v>
      </c>
      <c r="AE372">
        <v>0</v>
      </c>
      <c r="AF372">
        <v>1</v>
      </c>
      <c r="AG372">
        <v>0</v>
      </c>
      <c r="AH372">
        <v>1</v>
      </c>
      <c r="AI372">
        <v>1</v>
      </c>
      <c r="AJ372">
        <v>0</v>
      </c>
    </row>
    <row r="373" spans="1:36">
      <c r="A373" t="s">
        <v>492</v>
      </c>
      <c r="B373">
        <v>59.02</v>
      </c>
      <c r="C373" s="7">
        <v>46118.259722222225</v>
      </c>
      <c r="D373" s="7">
        <v>46120.718699537036</v>
      </c>
      <c r="E373" t="s">
        <v>23</v>
      </c>
      <c r="F373" t="s">
        <v>50</v>
      </c>
      <c r="G373" t="s">
        <v>41</v>
      </c>
      <c r="H373" t="s">
        <v>54</v>
      </c>
      <c r="I373" t="s">
        <v>42</v>
      </c>
      <c r="J373" t="s">
        <v>36</v>
      </c>
      <c r="K373" t="s">
        <v>37</v>
      </c>
      <c r="L373" t="s">
        <v>30</v>
      </c>
      <c r="M373">
        <v>147</v>
      </c>
      <c r="N373">
        <v>4</v>
      </c>
      <c r="O373">
        <v>0</v>
      </c>
      <c r="P373">
        <v>3</v>
      </c>
      <c r="Q373" t="s">
        <v>31</v>
      </c>
      <c r="R373">
        <v>120</v>
      </c>
      <c r="S373">
        <v>24</v>
      </c>
      <c r="T373" t="s">
        <v>31</v>
      </c>
      <c r="U373" t="s">
        <v>31</v>
      </c>
      <c r="V373">
        <v>2026</v>
      </c>
      <c r="W373">
        <v>4</v>
      </c>
      <c r="X373" t="s">
        <v>1412</v>
      </c>
      <c r="Y373" s="6">
        <v>46113</v>
      </c>
      <c r="Z373" t="s">
        <v>1413</v>
      </c>
      <c r="AA373" t="s">
        <v>31</v>
      </c>
      <c r="AB373" t="s">
        <v>63</v>
      </c>
      <c r="AC373" t="s">
        <v>23</v>
      </c>
      <c r="AD373">
        <v>1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</row>
    <row r="374" spans="1:36">
      <c r="A374" t="s">
        <v>493</v>
      </c>
      <c r="B374">
        <v>9.11</v>
      </c>
      <c r="C374" s="7">
        <v>46042.484722222223</v>
      </c>
      <c r="D374" s="7">
        <v>46042.864116099539</v>
      </c>
      <c r="E374" t="s">
        <v>23</v>
      </c>
      <c r="F374" t="s">
        <v>40</v>
      </c>
      <c r="G374" t="s">
        <v>51</v>
      </c>
      <c r="H374" t="s">
        <v>75</v>
      </c>
      <c r="I374" t="s">
        <v>27</v>
      </c>
      <c r="J374" t="s">
        <v>48</v>
      </c>
      <c r="K374" t="s">
        <v>37</v>
      </c>
      <c r="L374" t="s">
        <v>68</v>
      </c>
      <c r="M374">
        <v>29</v>
      </c>
      <c r="N374">
        <v>4</v>
      </c>
      <c r="O374">
        <v>0</v>
      </c>
      <c r="P374">
        <v>9</v>
      </c>
      <c r="Q374" t="s">
        <v>63</v>
      </c>
      <c r="R374">
        <v>30</v>
      </c>
      <c r="S374">
        <v>8</v>
      </c>
      <c r="T374" t="s">
        <v>63</v>
      </c>
      <c r="U374" t="s">
        <v>31</v>
      </c>
      <c r="V374">
        <v>2026</v>
      </c>
      <c r="W374">
        <v>1</v>
      </c>
      <c r="X374" t="s">
        <v>1414</v>
      </c>
      <c r="Y374" s="6">
        <v>46023</v>
      </c>
      <c r="Z374" t="s">
        <v>1413</v>
      </c>
      <c r="AA374" t="s">
        <v>31</v>
      </c>
      <c r="AB374" t="s">
        <v>63</v>
      </c>
      <c r="AC374" t="s">
        <v>23</v>
      </c>
      <c r="AD374">
        <v>1</v>
      </c>
      <c r="AE374">
        <v>0</v>
      </c>
      <c r="AF374">
        <v>1</v>
      </c>
      <c r="AG374">
        <v>0</v>
      </c>
      <c r="AH374">
        <v>1</v>
      </c>
      <c r="AI374">
        <v>1</v>
      </c>
      <c r="AJ374">
        <v>0</v>
      </c>
    </row>
    <row r="375" spans="1:36">
      <c r="A375" t="s">
        <v>494</v>
      </c>
      <c r="B375">
        <v>44.29</v>
      </c>
      <c r="C375" s="7">
        <v>46261.410416666666</v>
      </c>
      <c r="D375" s="7">
        <v>46263.255931840278</v>
      </c>
      <c r="E375" t="s">
        <v>23</v>
      </c>
      <c r="F375" t="s">
        <v>33</v>
      </c>
      <c r="G375" t="s">
        <v>25</v>
      </c>
      <c r="H375" t="s">
        <v>26</v>
      </c>
      <c r="I375" t="s">
        <v>42</v>
      </c>
      <c r="J375" t="s">
        <v>36</v>
      </c>
      <c r="K375" t="s">
        <v>37</v>
      </c>
      <c r="L375" t="s">
        <v>30</v>
      </c>
      <c r="M375">
        <v>360</v>
      </c>
      <c r="N375">
        <v>3</v>
      </c>
      <c r="O375">
        <v>0</v>
      </c>
      <c r="P375">
        <v>4</v>
      </c>
      <c r="Q375" t="s">
        <v>31</v>
      </c>
      <c r="R375">
        <v>240</v>
      </c>
      <c r="S375">
        <v>48</v>
      </c>
      <c r="T375" t="s">
        <v>31</v>
      </c>
      <c r="U375" t="s">
        <v>63</v>
      </c>
      <c r="V375">
        <v>2026</v>
      </c>
      <c r="W375">
        <v>8</v>
      </c>
      <c r="X375" t="s">
        <v>1417</v>
      </c>
      <c r="Y375" s="6">
        <v>46235</v>
      </c>
      <c r="Z375" t="s">
        <v>1418</v>
      </c>
      <c r="AA375" t="s">
        <v>31</v>
      </c>
      <c r="AB375" t="s">
        <v>63</v>
      </c>
      <c r="AC375" t="s">
        <v>23</v>
      </c>
      <c r="AD375">
        <v>1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1</v>
      </c>
    </row>
    <row r="376" spans="1:36">
      <c r="A376" t="s">
        <v>495</v>
      </c>
      <c r="B376">
        <v>11.64</v>
      </c>
      <c r="C376" s="7">
        <v>46128.286111111112</v>
      </c>
      <c r="D376" s="7">
        <v>46128.77095648148</v>
      </c>
      <c r="E376" t="s">
        <v>23</v>
      </c>
      <c r="F376" t="s">
        <v>40</v>
      </c>
      <c r="G376" t="s">
        <v>25</v>
      </c>
      <c r="H376" t="s">
        <v>75</v>
      </c>
      <c r="I376" t="s">
        <v>27</v>
      </c>
      <c r="J376" t="s">
        <v>36</v>
      </c>
      <c r="K376" t="s">
        <v>76</v>
      </c>
      <c r="L376" t="s">
        <v>55</v>
      </c>
      <c r="M376">
        <v>64</v>
      </c>
      <c r="N376">
        <v>4</v>
      </c>
      <c r="O376">
        <v>0</v>
      </c>
      <c r="P376">
        <v>7</v>
      </c>
      <c r="Q376" t="s">
        <v>31</v>
      </c>
      <c r="R376">
        <v>30</v>
      </c>
      <c r="S376">
        <v>8</v>
      </c>
      <c r="T376" t="s">
        <v>31</v>
      </c>
      <c r="U376" t="s">
        <v>31</v>
      </c>
      <c r="V376">
        <v>2026</v>
      </c>
      <c r="W376">
        <v>4</v>
      </c>
      <c r="X376" t="s">
        <v>1412</v>
      </c>
      <c r="Y376" s="6">
        <v>46113</v>
      </c>
      <c r="Z376" t="s">
        <v>1413</v>
      </c>
      <c r="AA376" t="s">
        <v>31</v>
      </c>
      <c r="AB376" t="s">
        <v>63</v>
      </c>
      <c r="AC376" t="s">
        <v>23</v>
      </c>
      <c r="AD376">
        <v>1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</row>
    <row r="377" spans="1:36">
      <c r="A377" t="s">
        <v>496</v>
      </c>
      <c r="B377">
        <v>7.83</v>
      </c>
      <c r="C377" s="7">
        <v>46078.181944444441</v>
      </c>
      <c r="D377" s="7">
        <v>46078.508287615739</v>
      </c>
      <c r="E377" t="s">
        <v>23</v>
      </c>
      <c r="F377" t="s">
        <v>40</v>
      </c>
      <c r="G377" t="s">
        <v>25</v>
      </c>
      <c r="H377" t="s">
        <v>34</v>
      </c>
      <c r="I377" t="s">
        <v>35</v>
      </c>
      <c r="J377" t="s">
        <v>48</v>
      </c>
      <c r="K377" t="s">
        <v>58</v>
      </c>
      <c r="L377" t="s">
        <v>101</v>
      </c>
      <c r="M377">
        <v>45</v>
      </c>
      <c r="N377">
        <v>4</v>
      </c>
      <c r="O377">
        <v>0</v>
      </c>
      <c r="P377">
        <v>4</v>
      </c>
      <c r="Q377" t="s">
        <v>31</v>
      </c>
      <c r="R377">
        <v>30</v>
      </c>
      <c r="S377">
        <v>8</v>
      </c>
      <c r="T377" t="s">
        <v>31</v>
      </c>
      <c r="U377" t="s">
        <v>63</v>
      </c>
      <c r="V377">
        <v>2026</v>
      </c>
      <c r="W377">
        <v>2</v>
      </c>
      <c r="X377" t="s">
        <v>1419</v>
      </c>
      <c r="Y377" s="6">
        <v>46054</v>
      </c>
      <c r="Z377" t="s">
        <v>1413</v>
      </c>
      <c r="AA377" t="s">
        <v>31</v>
      </c>
      <c r="AB377" t="s">
        <v>63</v>
      </c>
      <c r="AC377" t="s">
        <v>23</v>
      </c>
      <c r="AD377">
        <v>1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1</v>
      </c>
    </row>
    <row r="378" spans="1:36">
      <c r="A378" t="s">
        <v>497</v>
      </c>
      <c r="B378">
        <v>5.22</v>
      </c>
      <c r="C378" s="7">
        <v>46194.927777777775</v>
      </c>
      <c r="D378" s="7">
        <v>46195.14531728009</v>
      </c>
      <c r="E378" t="s">
        <v>23</v>
      </c>
      <c r="F378" t="s">
        <v>24</v>
      </c>
      <c r="G378" t="s">
        <v>65</v>
      </c>
      <c r="H378" t="s">
        <v>75</v>
      </c>
      <c r="I378" t="s">
        <v>35</v>
      </c>
      <c r="J378" t="s">
        <v>43</v>
      </c>
      <c r="K378" t="s">
        <v>37</v>
      </c>
      <c r="L378" t="s">
        <v>38</v>
      </c>
      <c r="M378">
        <v>10</v>
      </c>
      <c r="N378">
        <v>4</v>
      </c>
      <c r="O378">
        <v>0</v>
      </c>
      <c r="P378">
        <v>3</v>
      </c>
      <c r="Q378" t="s">
        <v>31</v>
      </c>
      <c r="R378">
        <v>15</v>
      </c>
      <c r="S378">
        <v>4</v>
      </c>
      <c r="T378" t="s">
        <v>63</v>
      </c>
      <c r="U378" t="s">
        <v>31</v>
      </c>
      <c r="V378">
        <v>2026</v>
      </c>
      <c r="W378">
        <v>6</v>
      </c>
      <c r="X378" t="s">
        <v>1421</v>
      </c>
      <c r="Y378" s="6">
        <v>46174</v>
      </c>
      <c r="Z378" t="s">
        <v>1413</v>
      </c>
      <c r="AA378" t="s">
        <v>31</v>
      </c>
      <c r="AB378" t="s">
        <v>63</v>
      </c>
      <c r="AC378" t="s">
        <v>23</v>
      </c>
      <c r="AD378">
        <v>1</v>
      </c>
      <c r="AE378">
        <v>0</v>
      </c>
      <c r="AF378">
        <v>1</v>
      </c>
      <c r="AG378">
        <v>0</v>
      </c>
      <c r="AH378">
        <v>0</v>
      </c>
      <c r="AI378">
        <v>1</v>
      </c>
      <c r="AJ378">
        <v>0</v>
      </c>
    </row>
    <row r="379" spans="1:36">
      <c r="A379" t="s">
        <v>498</v>
      </c>
      <c r="B379">
        <v>27.81</v>
      </c>
      <c r="C379" s="7">
        <v>46048.109722222223</v>
      </c>
      <c r="D379" s="7">
        <v>46049.268669398145</v>
      </c>
      <c r="E379" t="s">
        <v>23</v>
      </c>
      <c r="F379" t="s">
        <v>50</v>
      </c>
      <c r="G379" t="s">
        <v>25</v>
      </c>
      <c r="H379" t="s">
        <v>75</v>
      </c>
      <c r="I379" t="s">
        <v>27</v>
      </c>
      <c r="J379" t="s">
        <v>48</v>
      </c>
      <c r="K379" t="s">
        <v>37</v>
      </c>
      <c r="L379" t="s">
        <v>62</v>
      </c>
      <c r="M379">
        <v>132</v>
      </c>
      <c r="N379">
        <v>3</v>
      </c>
      <c r="O379">
        <v>1</v>
      </c>
      <c r="P379">
        <v>7</v>
      </c>
      <c r="Q379" t="s">
        <v>31</v>
      </c>
      <c r="R379">
        <v>120</v>
      </c>
      <c r="S379">
        <v>24</v>
      </c>
      <c r="T379" t="s">
        <v>31</v>
      </c>
      <c r="U379" t="s">
        <v>31</v>
      </c>
      <c r="V379">
        <v>2026</v>
      </c>
      <c r="W379">
        <v>1</v>
      </c>
      <c r="X379" t="s">
        <v>1414</v>
      </c>
      <c r="Y379" s="6">
        <v>46023</v>
      </c>
      <c r="Z379" t="s">
        <v>1418</v>
      </c>
      <c r="AA379" t="s">
        <v>63</v>
      </c>
      <c r="AB379" t="s">
        <v>63</v>
      </c>
      <c r="AC379" t="s">
        <v>23</v>
      </c>
      <c r="AD379">
        <v>1</v>
      </c>
      <c r="AE379">
        <v>0</v>
      </c>
      <c r="AF379">
        <v>1</v>
      </c>
      <c r="AG379">
        <v>1</v>
      </c>
      <c r="AH379">
        <v>0</v>
      </c>
      <c r="AI379">
        <v>0</v>
      </c>
      <c r="AJ379">
        <v>0</v>
      </c>
    </row>
    <row r="380" spans="1:36">
      <c r="A380" t="s">
        <v>499</v>
      </c>
      <c r="B380">
        <v>14.09</v>
      </c>
      <c r="C380" s="7">
        <v>46138.588194444441</v>
      </c>
      <c r="D380" s="7">
        <v>46139.175274409725</v>
      </c>
      <c r="E380" t="s">
        <v>23</v>
      </c>
      <c r="F380" t="s">
        <v>33</v>
      </c>
      <c r="G380" t="s">
        <v>65</v>
      </c>
      <c r="H380" t="s">
        <v>34</v>
      </c>
      <c r="I380" t="s">
        <v>35</v>
      </c>
      <c r="J380" t="s">
        <v>48</v>
      </c>
      <c r="K380" t="s">
        <v>52</v>
      </c>
      <c r="L380" t="s">
        <v>1401</v>
      </c>
      <c r="M380">
        <v>267</v>
      </c>
      <c r="N380">
        <v>3</v>
      </c>
      <c r="O380">
        <v>0</v>
      </c>
      <c r="P380">
        <v>2</v>
      </c>
      <c r="Q380" t="s">
        <v>31</v>
      </c>
      <c r="R380">
        <v>240</v>
      </c>
      <c r="S380">
        <v>48</v>
      </c>
      <c r="T380" t="s">
        <v>31</v>
      </c>
      <c r="U380" t="s">
        <v>63</v>
      </c>
      <c r="V380">
        <v>2026</v>
      </c>
      <c r="W380">
        <v>4</v>
      </c>
      <c r="X380" t="s">
        <v>1412</v>
      </c>
      <c r="Y380" s="6">
        <v>46113</v>
      </c>
      <c r="Z380" t="s">
        <v>1418</v>
      </c>
      <c r="AA380" t="s">
        <v>31</v>
      </c>
      <c r="AB380" t="s">
        <v>63</v>
      </c>
      <c r="AC380" t="s">
        <v>23</v>
      </c>
      <c r="AD380">
        <v>1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1</v>
      </c>
    </row>
    <row r="381" spans="1:36">
      <c r="A381" t="s">
        <v>500</v>
      </c>
      <c r="B381">
        <v>15.08</v>
      </c>
      <c r="C381" s="7">
        <v>46073.477083333331</v>
      </c>
      <c r="D381" s="7">
        <v>46074.105491122682</v>
      </c>
      <c r="E381" t="s">
        <v>23</v>
      </c>
      <c r="F381" t="s">
        <v>50</v>
      </c>
      <c r="G381" t="s">
        <v>51</v>
      </c>
      <c r="H381" t="s">
        <v>26</v>
      </c>
      <c r="I381" t="s">
        <v>35</v>
      </c>
      <c r="J381" t="s">
        <v>43</v>
      </c>
      <c r="K381" t="s">
        <v>37</v>
      </c>
      <c r="L381" t="s">
        <v>93</v>
      </c>
      <c r="M381">
        <v>234</v>
      </c>
      <c r="N381">
        <v>3</v>
      </c>
      <c r="O381">
        <v>0</v>
      </c>
      <c r="P381">
        <v>3</v>
      </c>
      <c r="Q381" t="s">
        <v>31</v>
      </c>
      <c r="R381">
        <v>120</v>
      </c>
      <c r="S381">
        <v>24</v>
      </c>
      <c r="T381" t="s">
        <v>31</v>
      </c>
      <c r="U381" t="s">
        <v>63</v>
      </c>
      <c r="V381">
        <v>2026</v>
      </c>
      <c r="W381">
        <v>2</v>
      </c>
      <c r="X381" t="s">
        <v>1419</v>
      </c>
      <c r="Y381" s="6">
        <v>46054</v>
      </c>
      <c r="Z381" t="s">
        <v>1418</v>
      </c>
      <c r="AA381" t="s">
        <v>31</v>
      </c>
      <c r="AB381" t="s">
        <v>63</v>
      </c>
      <c r="AC381" t="s">
        <v>23</v>
      </c>
      <c r="AD381">
        <v>1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1</v>
      </c>
    </row>
    <row r="382" spans="1:36">
      <c r="A382" t="s">
        <v>501</v>
      </c>
      <c r="B382">
        <v>28.19</v>
      </c>
      <c r="C382" s="7">
        <v>46042.425694444442</v>
      </c>
      <c r="D382" s="7">
        <v>46043.60020523148</v>
      </c>
      <c r="E382" t="s">
        <v>23</v>
      </c>
      <c r="F382" t="s">
        <v>40</v>
      </c>
      <c r="G382" t="s">
        <v>41</v>
      </c>
      <c r="H382" t="s">
        <v>26</v>
      </c>
      <c r="I382" t="s">
        <v>27</v>
      </c>
      <c r="J382" t="s">
        <v>36</v>
      </c>
      <c r="K382" t="s">
        <v>37</v>
      </c>
      <c r="L382" t="s">
        <v>44</v>
      </c>
      <c r="M382">
        <v>109</v>
      </c>
      <c r="N382">
        <v>4</v>
      </c>
      <c r="O382">
        <v>0</v>
      </c>
      <c r="P382">
        <v>4</v>
      </c>
      <c r="Q382" t="s">
        <v>31</v>
      </c>
      <c r="R382">
        <v>30</v>
      </c>
      <c r="S382">
        <v>8</v>
      </c>
      <c r="T382" t="s">
        <v>31</v>
      </c>
      <c r="U382" t="s">
        <v>31</v>
      </c>
      <c r="V382">
        <v>2026</v>
      </c>
      <c r="W382">
        <v>1</v>
      </c>
      <c r="X382" t="s">
        <v>1414</v>
      </c>
      <c r="Y382" s="6">
        <v>46023</v>
      </c>
      <c r="Z382" t="s">
        <v>1413</v>
      </c>
      <c r="AA382" t="s">
        <v>31</v>
      </c>
      <c r="AB382" t="s">
        <v>63</v>
      </c>
      <c r="AC382" t="s">
        <v>23</v>
      </c>
      <c r="AD382">
        <v>1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</row>
    <row r="383" spans="1:36">
      <c r="A383" t="s">
        <v>503</v>
      </c>
      <c r="B383">
        <v>38.229999999999997</v>
      </c>
      <c r="C383" s="7">
        <v>46258.474999999999</v>
      </c>
      <c r="D383" s="7">
        <v>46260.067898715279</v>
      </c>
      <c r="E383" t="s">
        <v>23</v>
      </c>
      <c r="F383" t="s">
        <v>33</v>
      </c>
      <c r="G383" t="s">
        <v>65</v>
      </c>
      <c r="H383" t="s">
        <v>26</v>
      </c>
      <c r="I383" t="s">
        <v>35</v>
      </c>
      <c r="J383" t="s">
        <v>48</v>
      </c>
      <c r="K383" t="s">
        <v>37</v>
      </c>
      <c r="L383" t="s">
        <v>93</v>
      </c>
      <c r="M383">
        <v>304</v>
      </c>
      <c r="N383">
        <v>3</v>
      </c>
      <c r="O383">
        <v>1</v>
      </c>
      <c r="P383">
        <v>5</v>
      </c>
      <c r="Q383" t="s">
        <v>31</v>
      </c>
      <c r="R383">
        <v>240</v>
      </c>
      <c r="S383">
        <v>48</v>
      </c>
      <c r="T383" t="s">
        <v>31</v>
      </c>
      <c r="U383" t="s">
        <v>63</v>
      </c>
      <c r="V383">
        <v>2026</v>
      </c>
      <c r="W383">
        <v>8</v>
      </c>
      <c r="X383" t="s">
        <v>1417</v>
      </c>
      <c r="Y383" s="6">
        <v>46235</v>
      </c>
      <c r="Z383" t="s">
        <v>1418</v>
      </c>
      <c r="AA383" t="s">
        <v>63</v>
      </c>
      <c r="AB383" t="s">
        <v>63</v>
      </c>
      <c r="AC383" t="s">
        <v>23</v>
      </c>
      <c r="AD383">
        <v>1</v>
      </c>
      <c r="AE383">
        <v>0</v>
      </c>
      <c r="AF383">
        <v>1</v>
      </c>
      <c r="AG383">
        <v>1</v>
      </c>
      <c r="AH383">
        <v>0</v>
      </c>
      <c r="AI383">
        <v>0</v>
      </c>
      <c r="AJ383">
        <v>1</v>
      </c>
    </row>
    <row r="384" spans="1:36">
      <c r="A384" t="s">
        <v>504</v>
      </c>
      <c r="B384">
        <v>30.92</v>
      </c>
      <c r="C384" s="7">
        <v>46214.352083333331</v>
      </c>
      <c r="D384" s="7">
        <v>46215.640477499997</v>
      </c>
      <c r="E384" t="s">
        <v>23</v>
      </c>
      <c r="F384" t="s">
        <v>33</v>
      </c>
      <c r="G384" t="s">
        <v>25</v>
      </c>
      <c r="H384" t="s">
        <v>54</v>
      </c>
      <c r="I384" t="s">
        <v>27</v>
      </c>
      <c r="J384" t="s">
        <v>43</v>
      </c>
      <c r="K384" t="s">
        <v>52</v>
      </c>
      <c r="L384" t="s">
        <v>30</v>
      </c>
      <c r="M384">
        <v>140</v>
      </c>
      <c r="N384">
        <v>4</v>
      </c>
      <c r="O384">
        <v>0</v>
      </c>
      <c r="P384">
        <v>5</v>
      </c>
      <c r="Q384" t="s">
        <v>31</v>
      </c>
      <c r="R384">
        <v>240</v>
      </c>
      <c r="S384">
        <v>48</v>
      </c>
      <c r="T384" t="s">
        <v>63</v>
      </c>
      <c r="U384" t="s">
        <v>63</v>
      </c>
      <c r="V384">
        <v>2026</v>
      </c>
      <c r="W384">
        <v>7</v>
      </c>
      <c r="X384" t="s">
        <v>1422</v>
      </c>
      <c r="Y384" s="6">
        <v>46204</v>
      </c>
      <c r="Z384" t="s">
        <v>1413</v>
      </c>
      <c r="AA384" t="s">
        <v>31</v>
      </c>
      <c r="AB384" t="s">
        <v>63</v>
      </c>
      <c r="AC384" t="s">
        <v>23</v>
      </c>
      <c r="AD384">
        <v>1</v>
      </c>
      <c r="AE384">
        <v>0</v>
      </c>
      <c r="AF384">
        <v>1</v>
      </c>
      <c r="AG384">
        <v>0</v>
      </c>
      <c r="AH384">
        <v>0</v>
      </c>
      <c r="AI384">
        <v>1</v>
      </c>
      <c r="AJ384">
        <v>1</v>
      </c>
    </row>
    <row r="385" spans="1:36">
      <c r="A385" t="s">
        <v>505</v>
      </c>
      <c r="B385">
        <v>30.86</v>
      </c>
      <c r="C385" s="7">
        <v>46155.754166666666</v>
      </c>
      <c r="D385" s="7">
        <v>46157.039986597221</v>
      </c>
      <c r="E385" t="s">
        <v>23</v>
      </c>
      <c r="F385" t="s">
        <v>50</v>
      </c>
      <c r="G385" t="s">
        <v>25</v>
      </c>
      <c r="H385" t="s">
        <v>34</v>
      </c>
      <c r="I385" t="s">
        <v>42</v>
      </c>
      <c r="J385" t="s">
        <v>28</v>
      </c>
      <c r="K385" t="s">
        <v>52</v>
      </c>
      <c r="L385" t="s">
        <v>44</v>
      </c>
      <c r="M385">
        <v>142</v>
      </c>
      <c r="N385">
        <v>4</v>
      </c>
      <c r="O385">
        <v>0</v>
      </c>
      <c r="P385">
        <v>6</v>
      </c>
      <c r="Q385" t="s">
        <v>31</v>
      </c>
      <c r="R385">
        <v>120</v>
      </c>
      <c r="S385">
        <v>24</v>
      </c>
      <c r="T385" t="s">
        <v>31</v>
      </c>
      <c r="U385" t="s">
        <v>31</v>
      </c>
      <c r="V385">
        <v>2026</v>
      </c>
      <c r="W385">
        <v>5</v>
      </c>
      <c r="X385" t="s">
        <v>1416</v>
      </c>
      <c r="Y385" s="6">
        <v>46143</v>
      </c>
      <c r="Z385" t="s">
        <v>1413</v>
      </c>
      <c r="AA385" t="s">
        <v>31</v>
      </c>
      <c r="AB385" t="s">
        <v>63</v>
      </c>
      <c r="AC385" t="s">
        <v>23</v>
      </c>
      <c r="AD385">
        <v>1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</row>
    <row r="386" spans="1:36">
      <c r="A386" t="s">
        <v>506</v>
      </c>
      <c r="B386">
        <v>6.45</v>
      </c>
      <c r="C386" s="7">
        <v>46096.572916666664</v>
      </c>
      <c r="D386" s="7">
        <v>46096.841737870367</v>
      </c>
      <c r="E386" t="s">
        <v>23</v>
      </c>
      <c r="F386" t="s">
        <v>50</v>
      </c>
      <c r="G386" t="s">
        <v>41</v>
      </c>
      <c r="H386" t="s">
        <v>26</v>
      </c>
      <c r="I386" t="s">
        <v>35</v>
      </c>
      <c r="J386" t="s">
        <v>28</v>
      </c>
      <c r="K386" t="s">
        <v>29</v>
      </c>
      <c r="L386" t="s">
        <v>55</v>
      </c>
      <c r="M386">
        <v>36</v>
      </c>
      <c r="N386">
        <v>4</v>
      </c>
      <c r="O386">
        <v>0</v>
      </c>
      <c r="P386">
        <v>6</v>
      </c>
      <c r="Q386" t="s">
        <v>31</v>
      </c>
      <c r="R386">
        <v>120</v>
      </c>
      <c r="S386">
        <v>24</v>
      </c>
      <c r="T386" t="s">
        <v>63</v>
      </c>
      <c r="U386" t="s">
        <v>63</v>
      </c>
      <c r="V386">
        <v>2026</v>
      </c>
      <c r="W386">
        <v>3</v>
      </c>
      <c r="X386" t="s">
        <v>1423</v>
      </c>
      <c r="Y386" s="6">
        <v>46082</v>
      </c>
      <c r="Z386" t="s">
        <v>1413</v>
      </c>
      <c r="AA386" t="s">
        <v>31</v>
      </c>
      <c r="AB386" t="s">
        <v>63</v>
      </c>
      <c r="AC386" t="s">
        <v>23</v>
      </c>
      <c r="AD386">
        <v>1</v>
      </c>
      <c r="AE386">
        <v>0</v>
      </c>
      <c r="AF386">
        <v>1</v>
      </c>
      <c r="AG386">
        <v>0</v>
      </c>
      <c r="AH386">
        <v>0</v>
      </c>
      <c r="AI386">
        <v>1</v>
      </c>
      <c r="AJ386">
        <v>1</v>
      </c>
    </row>
    <row r="387" spans="1:36">
      <c r="A387" t="s">
        <v>507</v>
      </c>
      <c r="B387">
        <v>4.53</v>
      </c>
      <c r="C387" s="7">
        <v>46122.552083333336</v>
      </c>
      <c r="D387" s="7">
        <v>46122.740865763888</v>
      </c>
      <c r="E387" t="s">
        <v>23</v>
      </c>
      <c r="F387" t="s">
        <v>40</v>
      </c>
      <c r="G387" t="s">
        <v>51</v>
      </c>
      <c r="H387" t="s">
        <v>54</v>
      </c>
      <c r="I387" t="s">
        <v>35</v>
      </c>
      <c r="J387" t="s">
        <v>28</v>
      </c>
      <c r="K387" t="s">
        <v>29</v>
      </c>
      <c r="L387" t="s">
        <v>30</v>
      </c>
      <c r="M387">
        <v>29</v>
      </c>
      <c r="N387">
        <v>5</v>
      </c>
      <c r="O387">
        <v>0</v>
      </c>
      <c r="P387">
        <v>2</v>
      </c>
      <c r="Q387" t="s">
        <v>31</v>
      </c>
      <c r="R387">
        <v>30</v>
      </c>
      <c r="S387">
        <v>8</v>
      </c>
      <c r="T387" t="s">
        <v>63</v>
      </c>
      <c r="U387" t="s">
        <v>63</v>
      </c>
      <c r="V387">
        <v>2026</v>
      </c>
      <c r="W387">
        <v>4</v>
      </c>
      <c r="X387" t="s">
        <v>1412</v>
      </c>
      <c r="Y387" s="6">
        <v>46113</v>
      </c>
      <c r="Z387" t="s">
        <v>1413</v>
      </c>
      <c r="AA387" t="s">
        <v>31</v>
      </c>
      <c r="AB387" t="s">
        <v>63</v>
      </c>
      <c r="AC387" t="s">
        <v>23</v>
      </c>
      <c r="AD387">
        <v>1</v>
      </c>
      <c r="AE387">
        <v>0</v>
      </c>
      <c r="AF387">
        <v>1</v>
      </c>
      <c r="AG387">
        <v>0</v>
      </c>
      <c r="AH387">
        <v>0</v>
      </c>
      <c r="AI387">
        <v>1</v>
      </c>
      <c r="AJ387">
        <v>1</v>
      </c>
    </row>
    <row r="388" spans="1:36">
      <c r="A388" t="s">
        <v>508</v>
      </c>
      <c r="B388">
        <v>19.39</v>
      </c>
      <c r="C388" s="7">
        <v>46035.740277777775</v>
      </c>
      <c r="D388" s="7">
        <v>46036.548308090278</v>
      </c>
      <c r="E388" t="s">
        <v>23</v>
      </c>
      <c r="F388" t="s">
        <v>33</v>
      </c>
      <c r="G388" t="s">
        <v>41</v>
      </c>
      <c r="H388" t="s">
        <v>26</v>
      </c>
      <c r="I388" t="s">
        <v>42</v>
      </c>
      <c r="J388" t="s">
        <v>48</v>
      </c>
      <c r="K388" t="s">
        <v>52</v>
      </c>
      <c r="L388" t="s">
        <v>62</v>
      </c>
      <c r="M388">
        <v>193</v>
      </c>
      <c r="N388">
        <v>4</v>
      </c>
      <c r="O388">
        <v>0</v>
      </c>
      <c r="P388">
        <v>3</v>
      </c>
      <c r="Q388" t="s">
        <v>31</v>
      </c>
      <c r="R388">
        <v>240</v>
      </c>
      <c r="S388">
        <v>48</v>
      </c>
      <c r="T388" t="s">
        <v>63</v>
      </c>
      <c r="U388" t="s">
        <v>63</v>
      </c>
      <c r="V388">
        <v>2026</v>
      </c>
      <c r="W388">
        <v>1</v>
      </c>
      <c r="X388" t="s">
        <v>1414</v>
      </c>
      <c r="Y388" s="6">
        <v>46023</v>
      </c>
      <c r="Z388" t="s">
        <v>1413</v>
      </c>
      <c r="AA388" t="s">
        <v>31</v>
      </c>
      <c r="AB388" t="s">
        <v>63</v>
      </c>
      <c r="AC388" t="s">
        <v>23</v>
      </c>
      <c r="AD388">
        <v>1</v>
      </c>
      <c r="AE388">
        <v>0</v>
      </c>
      <c r="AF388">
        <v>1</v>
      </c>
      <c r="AG388">
        <v>0</v>
      </c>
      <c r="AH388">
        <v>0</v>
      </c>
      <c r="AI388">
        <v>1</v>
      </c>
      <c r="AJ388">
        <v>1</v>
      </c>
    </row>
    <row r="389" spans="1:36">
      <c r="A389" t="s">
        <v>509</v>
      </c>
      <c r="B389">
        <v>5.72</v>
      </c>
      <c r="C389" s="7">
        <v>46161.366666666669</v>
      </c>
      <c r="D389" s="7">
        <v>46161.604801851849</v>
      </c>
      <c r="E389" t="s">
        <v>23</v>
      </c>
      <c r="F389" t="s">
        <v>40</v>
      </c>
      <c r="G389" t="s">
        <v>51</v>
      </c>
      <c r="H389" t="s">
        <v>66</v>
      </c>
      <c r="I389" t="s">
        <v>27</v>
      </c>
      <c r="J389" t="s">
        <v>48</v>
      </c>
      <c r="K389" t="s">
        <v>29</v>
      </c>
      <c r="L389" t="s">
        <v>71</v>
      </c>
      <c r="M389">
        <v>42</v>
      </c>
      <c r="N389">
        <v>5</v>
      </c>
      <c r="O389">
        <v>0</v>
      </c>
      <c r="P389">
        <v>3</v>
      </c>
      <c r="Q389" t="s">
        <v>31</v>
      </c>
      <c r="R389">
        <v>30</v>
      </c>
      <c r="S389">
        <v>8</v>
      </c>
      <c r="T389" t="s">
        <v>31</v>
      </c>
      <c r="U389" t="s">
        <v>63</v>
      </c>
      <c r="V389">
        <v>2026</v>
      </c>
      <c r="W389">
        <v>5</v>
      </c>
      <c r="X389" t="s">
        <v>1416</v>
      </c>
      <c r="Y389" s="6">
        <v>46143</v>
      </c>
      <c r="Z389" t="s">
        <v>1413</v>
      </c>
      <c r="AA389" t="s">
        <v>31</v>
      </c>
      <c r="AB389" t="s">
        <v>63</v>
      </c>
      <c r="AC389" t="s">
        <v>23</v>
      </c>
      <c r="AD389">
        <v>1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1</v>
      </c>
    </row>
    <row r="390" spans="1:36">
      <c r="A390" t="s">
        <v>510</v>
      </c>
      <c r="B390">
        <v>2.5099999999999998</v>
      </c>
      <c r="C390" s="7">
        <v>46023.543055555558</v>
      </c>
      <c r="D390" s="7">
        <v>46023.647590381945</v>
      </c>
      <c r="E390" t="s">
        <v>23</v>
      </c>
      <c r="F390" t="s">
        <v>24</v>
      </c>
      <c r="G390" t="s">
        <v>51</v>
      </c>
      <c r="H390" t="s">
        <v>54</v>
      </c>
      <c r="I390" t="s">
        <v>42</v>
      </c>
      <c r="J390" t="s">
        <v>36</v>
      </c>
      <c r="K390" t="s">
        <v>52</v>
      </c>
      <c r="L390" t="s">
        <v>38</v>
      </c>
      <c r="M390">
        <v>8</v>
      </c>
      <c r="N390">
        <v>4</v>
      </c>
      <c r="O390">
        <v>1</v>
      </c>
      <c r="P390">
        <v>8</v>
      </c>
      <c r="Q390" t="s">
        <v>31</v>
      </c>
      <c r="R390">
        <v>15</v>
      </c>
      <c r="S390">
        <v>4</v>
      </c>
      <c r="T390" t="s">
        <v>63</v>
      </c>
      <c r="U390" t="s">
        <v>63</v>
      </c>
      <c r="V390">
        <v>2026</v>
      </c>
      <c r="W390">
        <v>1</v>
      </c>
      <c r="X390" t="s">
        <v>1414</v>
      </c>
      <c r="Y390" s="6">
        <v>46023</v>
      </c>
      <c r="Z390" t="s">
        <v>1413</v>
      </c>
      <c r="AA390" t="s">
        <v>63</v>
      </c>
      <c r="AB390" t="s">
        <v>63</v>
      </c>
      <c r="AC390" t="s">
        <v>23</v>
      </c>
      <c r="AD390">
        <v>1</v>
      </c>
      <c r="AE390">
        <v>0</v>
      </c>
      <c r="AF390">
        <v>1</v>
      </c>
      <c r="AG390">
        <v>1</v>
      </c>
      <c r="AH390">
        <v>0</v>
      </c>
      <c r="AI390">
        <v>1</v>
      </c>
      <c r="AJ390">
        <v>1</v>
      </c>
    </row>
    <row r="391" spans="1:36">
      <c r="A391" t="s">
        <v>511</v>
      </c>
      <c r="B391">
        <v>9.6300000000000008</v>
      </c>
      <c r="C391" s="7">
        <v>46060.222916666666</v>
      </c>
      <c r="D391" s="7">
        <v>46060.623977743053</v>
      </c>
      <c r="E391" t="s">
        <v>23</v>
      </c>
      <c r="F391" t="s">
        <v>50</v>
      </c>
      <c r="G391" t="s">
        <v>65</v>
      </c>
      <c r="H391" t="s">
        <v>54</v>
      </c>
      <c r="I391" t="s">
        <v>42</v>
      </c>
      <c r="J391" t="s">
        <v>36</v>
      </c>
      <c r="K391" t="s">
        <v>29</v>
      </c>
      <c r="L391" t="s">
        <v>30</v>
      </c>
      <c r="M391">
        <v>108</v>
      </c>
      <c r="N391">
        <v>3</v>
      </c>
      <c r="O391">
        <v>2</v>
      </c>
      <c r="P391">
        <v>12</v>
      </c>
      <c r="Q391" t="s">
        <v>31</v>
      </c>
      <c r="R391">
        <v>120</v>
      </c>
      <c r="S391">
        <v>24</v>
      </c>
      <c r="T391" t="s">
        <v>63</v>
      </c>
      <c r="U391" t="s">
        <v>63</v>
      </c>
      <c r="V391">
        <v>2026</v>
      </c>
      <c r="W391">
        <v>2</v>
      </c>
      <c r="X391" t="s">
        <v>1419</v>
      </c>
      <c r="Y391" s="6">
        <v>46054</v>
      </c>
      <c r="Z391" t="s">
        <v>1418</v>
      </c>
      <c r="AA391" t="s">
        <v>63</v>
      </c>
      <c r="AB391" t="s">
        <v>63</v>
      </c>
      <c r="AC391" t="s">
        <v>23</v>
      </c>
      <c r="AD391">
        <v>1</v>
      </c>
      <c r="AE391">
        <v>0</v>
      </c>
      <c r="AF391">
        <v>1</v>
      </c>
      <c r="AG391">
        <v>1</v>
      </c>
      <c r="AH391">
        <v>0</v>
      </c>
      <c r="AI391">
        <v>1</v>
      </c>
      <c r="AJ391">
        <v>1</v>
      </c>
    </row>
    <row r="392" spans="1:36">
      <c r="A392" t="s">
        <v>512</v>
      </c>
      <c r="B392">
        <v>4.63</v>
      </c>
      <c r="C392" s="7">
        <v>46135.775000000001</v>
      </c>
      <c r="D392" s="7">
        <v>46135.968061932872</v>
      </c>
      <c r="E392" t="s">
        <v>23</v>
      </c>
      <c r="F392" t="s">
        <v>40</v>
      </c>
      <c r="G392" t="s">
        <v>65</v>
      </c>
      <c r="H392" t="s">
        <v>54</v>
      </c>
      <c r="I392" t="s">
        <v>35</v>
      </c>
      <c r="J392" t="s">
        <v>48</v>
      </c>
      <c r="K392" t="s">
        <v>52</v>
      </c>
      <c r="L392" t="s">
        <v>62</v>
      </c>
      <c r="M392">
        <v>52</v>
      </c>
      <c r="N392">
        <v>4</v>
      </c>
      <c r="O392">
        <v>1</v>
      </c>
      <c r="P392">
        <v>7</v>
      </c>
      <c r="Q392" t="s">
        <v>31</v>
      </c>
      <c r="R392">
        <v>30</v>
      </c>
      <c r="S392">
        <v>8</v>
      </c>
      <c r="T392" t="s">
        <v>31</v>
      </c>
      <c r="U392" t="s">
        <v>63</v>
      </c>
      <c r="V392">
        <v>2026</v>
      </c>
      <c r="W392">
        <v>4</v>
      </c>
      <c r="X392" t="s">
        <v>1412</v>
      </c>
      <c r="Y392" s="6">
        <v>46113</v>
      </c>
      <c r="Z392" t="s">
        <v>1413</v>
      </c>
      <c r="AA392" t="s">
        <v>63</v>
      </c>
      <c r="AB392" t="s">
        <v>63</v>
      </c>
      <c r="AC392" t="s">
        <v>23</v>
      </c>
      <c r="AD392">
        <v>1</v>
      </c>
      <c r="AE392">
        <v>0</v>
      </c>
      <c r="AF392">
        <v>1</v>
      </c>
      <c r="AG392">
        <v>1</v>
      </c>
      <c r="AH392">
        <v>0</v>
      </c>
      <c r="AI392">
        <v>0</v>
      </c>
      <c r="AJ392">
        <v>1</v>
      </c>
    </row>
    <row r="393" spans="1:36">
      <c r="A393" t="s">
        <v>513</v>
      </c>
      <c r="B393">
        <v>7.6</v>
      </c>
      <c r="C393" s="7">
        <v>46151.518055555556</v>
      </c>
      <c r="D393" s="7">
        <v>46151.834531736109</v>
      </c>
      <c r="E393" t="s">
        <v>23</v>
      </c>
      <c r="F393" t="s">
        <v>40</v>
      </c>
      <c r="G393" t="s">
        <v>51</v>
      </c>
      <c r="H393" t="s">
        <v>54</v>
      </c>
      <c r="I393" t="s">
        <v>35</v>
      </c>
      <c r="J393" t="s">
        <v>28</v>
      </c>
      <c r="K393" t="s">
        <v>52</v>
      </c>
      <c r="L393" t="s">
        <v>38</v>
      </c>
      <c r="M393">
        <v>40</v>
      </c>
      <c r="N393">
        <v>4</v>
      </c>
      <c r="O393">
        <v>0</v>
      </c>
      <c r="P393">
        <v>6</v>
      </c>
      <c r="Q393" t="s">
        <v>63</v>
      </c>
      <c r="R393">
        <v>30</v>
      </c>
      <c r="S393">
        <v>8</v>
      </c>
      <c r="T393" t="s">
        <v>31</v>
      </c>
      <c r="U393" t="s">
        <v>63</v>
      </c>
      <c r="V393">
        <v>2026</v>
      </c>
      <c r="W393">
        <v>5</v>
      </c>
      <c r="X393" t="s">
        <v>1416</v>
      </c>
      <c r="Y393" s="6">
        <v>46143</v>
      </c>
      <c r="Z393" t="s">
        <v>1413</v>
      </c>
      <c r="AA393" t="s">
        <v>31</v>
      </c>
      <c r="AB393" t="s">
        <v>63</v>
      </c>
      <c r="AC393" t="s">
        <v>23</v>
      </c>
      <c r="AD393">
        <v>1</v>
      </c>
      <c r="AE393">
        <v>0</v>
      </c>
      <c r="AF393">
        <v>1</v>
      </c>
      <c r="AG393">
        <v>0</v>
      </c>
      <c r="AH393">
        <v>1</v>
      </c>
      <c r="AI393">
        <v>0</v>
      </c>
      <c r="AJ393">
        <v>1</v>
      </c>
    </row>
    <row r="394" spans="1:36">
      <c r="A394" t="s">
        <v>514</v>
      </c>
      <c r="B394">
        <v>16.86</v>
      </c>
      <c r="C394" s="7">
        <v>46208.725694444445</v>
      </c>
      <c r="D394" s="7">
        <v>46209.428284525464</v>
      </c>
      <c r="E394" t="s">
        <v>23</v>
      </c>
      <c r="F394" t="s">
        <v>50</v>
      </c>
      <c r="G394" t="s">
        <v>25</v>
      </c>
      <c r="H394" t="s">
        <v>26</v>
      </c>
      <c r="I394" t="s">
        <v>35</v>
      </c>
      <c r="J394" t="s">
        <v>36</v>
      </c>
      <c r="K394" t="s">
        <v>52</v>
      </c>
      <c r="L394" t="s">
        <v>30</v>
      </c>
      <c r="M394">
        <v>157</v>
      </c>
      <c r="N394">
        <v>4</v>
      </c>
      <c r="O394">
        <v>0</v>
      </c>
      <c r="P394">
        <v>3</v>
      </c>
      <c r="Q394" t="s">
        <v>31</v>
      </c>
      <c r="R394">
        <v>120</v>
      </c>
      <c r="S394">
        <v>24</v>
      </c>
      <c r="T394" t="s">
        <v>31</v>
      </c>
      <c r="U394" t="s">
        <v>63</v>
      </c>
      <c r="V394">
        <v>2026</v>
      </c>
      <c r="W394">
        <v>7</v>
      </c>
      <c r="X394" t="s">
        <v>1422</v>
      </c>
      <c r="Y394" s="6">
        <v>46204</v>
      </c>
      <c r="Z394" t="s">
        <v>1413</v>
      </c>
      <c r="AA394" t="s">
        <v>31</v>
      </c>
      <c r="AB394" t="s">
        <v>63</v>
      </c>
      <c r="AC394" t="s">
        <v>23</v>
      </c>
      <c r="AD394">
        <v>1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1</v>
      </c>
    </row>
    <row r="395" spans="1:36">
      <c r="A395" t="s">
        <v>515</v>
      </c>
      <c r="B395">
        <v>82.96</v>
      </c>
      <c r="C395" s="7">
        <v>46031.180555555555</v>
      </c>
      <c r="D395" s="7">
        <v>46034.637383090281</v>
      </c>
      <c r="E395" t="s">
        <v>23</v>
      </c>
      <c r="F395" t="s">
        <v>33</v>
      </c>
      <c r="G395" t="s">
        <v>51</v>
      </c>
      <c r="H395" t="s">
        <v>26</v>
      </c>
      <c r="I395" t="s">
        <v>35</v>
      </c>
      <c r="J395" t="s">
        <v>48</v>
      </c>
      <c r="K395" t="s">
        <v>58</v>
      </c>
      <c r="L395" t="s">
        <v>85</v>
      </c>
      <c r="M395">
        <v>166</v>
      </c>
      <c r="N395">
        <v>3</v>
      </c>
      <c r="O395">
        <v>0</v>
      </c>
      <c r="P395">
        <v>5</v>
      </c>
      <c r="Q395" t="s">
        <v>31</v>
      </c>
      <c r="R395">
        <v>240</v>
      </c>
      <c r="S395">
        <v>48</v>
      </c>
      <c r="T395" t="s">
        <v>63</v>
      </c>
      <c r="U395" t="s">
        <v>31</v>
      </c>
      <c r="V395">
        <v>2026</v>
      </c>
      <c r="W395">
        <v>1</v>
      </c>
      <c r="X395" t="s">
        <v>1414</v>
      </c>
      <c r="Y395" s="6">
        <v>46023</v>
      </c>
      <c r="Z395" t="s">
        <v>1418</v>
      </c>
      <c r="AA395" t="s">
        <v>31</v>
      </c>
      <c r="AB395" t="s">
        <v>63</v>
      </c>
      <c r="AC395" t="s">
        <v>23</v>
      </c>
      <c r="AD395">
        <v>1</v>
      </c>
      <c r="AE395">
        <v>0</v>
      </c>
      <c r="AF395">
        <v>1</v>
      </c>
      <c r="AG395">
        <v>0</v>
      </c>
      <c r="AH395">
        <v>0</v>
      </c>
      <c r="AI395">
        <v>1</v>
      </c>
      <c r="AJ395">
        <v>0</v>
      </c>
    </row>
    <row r="396" spans="1:36">
      <c r="A396" t="s">
        <v>516</v>
      </c>
      <c r="B396">
        <v>169.56</v>
      </c>
      <c r="C396" s="7">
        <v>46079.700694444444</v>
      </c>
      <c r="D396" s="7">
        <v>46086.765663078702</v>
      </c>
      <c r="E396" t="s">
        <v>23</v>
      </c>
      <c r="F396" t="s">
        <v>33</v>
      </c>
      <c r="G396" t="s">
        <v>41</v>
      </c>
      <c r="H396" t="s">
        <v>26</v>
      </c>
      <c r="I396" t="s">
        <v>35</v>
      </c>
      <c r="J396" t="s">
        <v>28</v>
      </c>
      <c r="K396" t="s">
        <v>37</v>
      </c>
      <c r="L396" t="s">
        <v>30</v>
      </c>
      <c r="M396">
        <v>68</v>
      </c>
      <c r="N396">
        <v>4</v>
      </c>
      <c r="O396">
        <v>0</v>
      </c>
      <c r="P396">
        <v>3</v>
      </c>
      <c r="Q396" t="s">
        <v>31</v>
      </c>
      <c r="R396">
        <v>240</v>
      </c>
      <c r="S396">
        <v>48</v>
      </c>
      <c r="T396" t="s">
        <v>63</v>
      </c>
      <c r="U396" t="s">
        <v>31</v>
      </c>
      <c r="V396">
        <v>2026</v>
      </c>
      <c r="W396">
        <v>2</v>
      </c>
      <c r="X396" t="s">
        <v>1419</v>
      </c>
      <c r="Y396" s="6">
        <v>46054</v>
      </c>
      <c r="Z396" t="s">
        <v>1413</v>
      </c>
      <c r="AA396" t="s">
        <v>31</v>
      </c>
      <c r="AB396" t="s">
        <v>63</v>
      </c>
      <c r="AC396" t="s">
        <v>23</v>
      </c>
      <c r="AD396">
        <v>1</v>
      </c>
      <c r="AE396">
        <v>0</v>
      </c>
      <c r="AF396">
        <v>1</v>
      </c>
      <c r="AG396">
        <v>0</v>
      </c>
      <c r="AH396">
        <v>0</v>
      </c>
      <c r="AI396">
        <v>1</v>
      </c>
      <c r="AJ396">
        <v>0</v>
      </c>
    </row>
    <row r="397" spans="1:36">
      <c r="A397" t="s">
        <v>517</v>
      </c>
      <c r="B397">
        <v>75.790000000000006</v>
      </c>
      <c r="C397" s="7">
        <v>46031.050694444442</v>
      </c>
      <c r="D397" s="7">
        <v>46034.208787256946</v>
      </c>
      <c r="E397" t="s">
        <v>23</v>
      </c>
      <c r="F397" t="s">
        <v>50</v>
      </c>
      <c r="G397" t="s">
        <v>25</v>
      </c>
      <c r="H397" t="s">
        <v>26</v>
      </c>
      <c r="I397" t="s">
        <v>42</v>
      </c>
      <c r="J397" t="s">
        <v>36</v>
      </c>
      <c r="K397" t="s">
        <v>58</v>
      </c>
      <c r="L397" t="s">
        <v>101</v>
      </c>
      <c r="M397">
        <v>112</v>
      </c>
      <c r="N397">
        <v>3</v>
      </c>
      <c r="O397">
        <v>0</v>
      </c>
      <c r="P397">
        <v>7</v>
      </c>
      <c r="Q397" t="s">
        <v>63</v>
      </c>
      <c r="R397">
        <v>120</v>
      </c>
      <c r="S397">
        <v>24</v>
      </c>
      <c r="T397" t="s">
        <v>63</v>
      </c>
      <c r="U397" t="s">
        <v>31</v>
      </c>
      <c r="V397">
        <v>2026</v>
      </c>
      <c r="W397">
        <v>1</v>
      </c>
      <c r="X397" t="s">
        <v>1414</v>
      </c>
      <c r="Y397" s="6">
        <v>46023</v>
      </c>
      <c r="Z397" t="s">
        <v>1418</v>
      </c>
      <c r="AA397" t="s">
        <v>31</v>
      </c>
      <c r="AB397" t="s">
        <v>63</v>
      </c>
      <c r="AC397" t="s">
        <v>23</v>
      </c>
      <c r="AD397">
        <v>1</v>
      </c>
      <c r="AE397">
        <v>0</v>
      </c>
      <c r="AF397">
        <v>1</v>
      </c>
      <c r="AG397">
        <v>0</v>
      </c>
      <c r="AH397">
        <v>1</v>
      </c>
      <c r="AI397">
        <v>1</v>
      </c>
      <c r="AJ397">
        <v>0</v>
      </c>
    </row>
    <row r="398" spans="1:36">
      <c r="A398" t="s">
        <v>518</v>
      </c>
      <c r="B398">
        <v>27.2</v>
      </c>
      <c r="C398" s="7">
        <v>46107.381249999999</v>
      </c>
      <c r="D398" s="7">
        <v>46108.514726550929</v>
      </c>
      <c r="E398" t="s">
        <v>23</v>
      </c>
      <c r="F398" t="s">
        <v>50</v>
      </c>
      <c r="G398" t="s">
        <v>25</v>
      </c>
      <c r="H398" t="s">
        <v>54</v>
      </c>
      <c r="I398" t="s">
        <v>42</v>
      </c>
      <c r="J398" t="s">
        <v>28</v>
      </c>
      <c r="K398" t="s">
        <v>29</v>
      </c>
      <c r="L398" t="s">
        <v>62</v>
      </c>
      <c r="M398">
        <v>89</v>
      </c>
      <c r="N398">
        <v>4</v>
      </c>
      <c r="O398">
        <v>0</v>
      </c>
      <c r="P398">
        <v>6</v>
      </c>
      <c r="Q398" t="s">
        <v>31</v>
      </c>
      <c r="R398">
        <v>120</v>
      </c>
      <c r="S398">
        <v>24</v>
      </c>
      <c r="T398" t="s">
        <v>63</v>
      </c>
      <c r="U398" t="s">
        <v>31</v>
      </c>
      <c r="V398">
        <v>2026</v>
      </c>
      <c r="W398">
        <v>3</v>
      </c>
      <c r="X398" t="s">
        <v>1423</v>
      </c>
      <c r="Y398" s="6">
        <v>46082</v>
      </c>
      <c r="Z398" t="s">
        <v>1413</v>
      </c>
      <c r="AA398" t="s">
        <v>31</v>
      </c>
      <c r="AB398" t="s">
        <v>63</v>
      </c>
      <c r="AC398" t="s">
        <v>23</v>
      </c>
      <c r="AD398">
        <v>1</v>
      </c>
      <c r="AE398">
        <v>0</v>
      </c>
      <c r="AF398">
        <v>1</v>
      </c>
      <c r="AG398">
        <v>0</v>
      </c>
      <c r="AH398">
        <v>0</v>
      </c>
      <c r="AI398">
        <v>1</v>
      </c>
      <c r="AJ398">
        <v>0</v>
      </c>
    </row>
    <row r="399" spans="1:36">
      <c r="A399" t="s">
        <v>519</v>
      </c>
      <c r="B399">
        <v>64.03</v>
      </c>
      <c r="C399" s="7">
        <v>46052.624305555553</v>
      </c>
      <c r="D399" s="7">
        <v>46055.292346805552</v>
      </c>
      <c r="E399" t="s">
        <v>23</v>
      </c>
      <c r="F399" t="s">
        <v>33</v>
      </c>
      <c r="G399" t="s">
        <v>25</v>
      </c>
      <c r="H399" t="s">
        <v>34</v>
      </c>
      <c r="I399" t="s">
        <v>42</v>
      </c>
      <c r="J399" t="s">
        <v>43</v>
      </c>
      <c r="K399" t="s">
        <v>37</v>
      </c>
      <c r="L399" t="s">
        <v>101</v>
      </c>
      <c r="M399">
        <v>264</v>
      </c>
      <c r="N399">
        <v>3</v>
      </c>
      <c r="O399">
        <v>0</v>
      </c>
      <c r="P399">
        <v>5</v>
      </c>
      <c r="Q399" t="s">
        <v>31</v>
      </c>
      <c r="R399">
        <v>240</v>
      </c>
      <c r="S399">
        <v>48</v>
      </c>
      <c r="T399" t="s">
        <v>31</v>
      </c>
      <c r="U399" t="s">
        <v>31</v>
      </c>
      <c r="V399">
        <v>2026</v>
      </c>
      <c r="W399">
        <v>1</v>
      </c>
      <c r="X399" t="s">
        <v>1414</v>
      </c>
      <c r="Y399" s="6">
        <v>46023</v>
      </c>
      <c r="Z399" t="s">
        <v>1418</v>
      </c>
      <c r="AA399" t="s">
        <v>31</v>
      </c>
      <c r="AB399" t="s">
        <v>63</v>
      </c>
      <c r="AC399" t="s">
        <v>23</v>
      </c>
      <c r="AD399">
        <v>1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</row>
    <row r="400" spans="1:36">
      <c r="A400" t="s">
        <v>520</v>
      </c>
      <c r="B400">
        <v>19.95</v>
      </c>
      <c r="C400" s="7">
        <v>46127.993750000001</v>
      </c>
      <c r="D400" s="7">
        <v>46128.824903287037</v>
      </c>
      <c r="E400" t="s">
        <v>23</v>
      </c>
      <c r="F400" t="s">
        <v>40</v>
      </c>
      <c r="G400" t="s">
        <v>51</v>
      </c>
      <c r="H400" t="s">
        <v>26</v>
      </c>
      <c r="I400" t="s">
        <v>42</v>
      </c>
      <c r="J400" t="s">
        <v>43</v>
      </c>
      <c r="K400" t="s">
        <v>67</v>
      </c>
      <c r="L400" t="s">
        <v>55</v>
      </c>
      <c r="M400">
        <v>16</v>
      </c>
      <c r="N400">
        <v>4</v>
      </c>
      <c r="O400">
        <v>0</v>
      </c>
      <c r="P400">
        <v>8</v>
      </c>
      <c r="Q400" t="s">
        <v>63</v>
      </c>
      <c r="R400">
        <v>30</v>
      </c>
      <c r="S400">
        <v>8</v>
      </c>
      <c r="T400" t="s">
        <v>63</v>
      </c>
      <c r="U400" t="s">
        <v>31</v>
      </c>
      <c r="V400">
        <v>2026</v>
      </c>
      <c r="W400">
        <v>4</v>
      </c>
      <c r="X400" t="s">
        <v>1412</v>
      </c>
      <c r="Y400" s="6">
        <v>46113</v>
      </c>
      <c r="Z400" t="s">
        <v>1413</v>
      </c>
      <c r="AA400" t="s">
        <v>31</v>
      </c>
      <c r="AB400" t="s">
        <v>63</v>
      </c>
      <c r="AC400" t="s">
        <v>23</v>
      </c>
      <c r="AD400">
        <v>1</v>
      </c>
      <c r="AE400">
        <v>0</v>
      </c>
      <c r="AF400">
        <v>1</v>
      </c>
      <c r="AG400">
        <v>0</v>
      </c>
      <c r="AH400">
        <v>1</v>
      </c>
      <c r="AI400">
        <v>1</v>
      </c>
      <c r="AJ400">
        <v>0</v>
      </c>
    </row>
    <row r="401" spans="1:36">
      <c r="A401" t="s">
        <v>521</v>
      </c>
      <c r="B401">
        <v>37.65</v>
      </c>
      <c r="C401" s="7">
        <v>46120.863194444442</v>
      </c>
      <c r="D401" s="7">
        <v>46122.4319884375</v>
      </c>
      <c r="E401" t="s">
        <v>23</v>
      </c>
      <c r="F401" t="s">
        <v>50</v>
      </c>
      <c r="G401" t="s">
        <v>65</v>
      </c>
      <c r="H401" t="s">
        <v>26</v>
      </c>
      <c r="I401" t="s">
        <v>27</v>
      </c>
      <c r="J401" t="s">
        <v>48</v>
      </c>
      <c r="K401" t="s">
        <v>76</v>
      </c>
      <c r="L401" t="s">
        <v>93</v>
      </c>
      <c r="M401">
        <v>162</v>
      </c>
      <c r="N401">
        <v>4</v>
      </c>
      <c r="O401">
        <v>0</v>
      </c>
      <c r="P401">
        <v>7</v>
      </c>
      <c r="Q401" t="s">
        <v>31</v>
      </c>
      <c r="R401">
        <v>120</v>
      </c>
      <c r="S401">
        <v>24</v>
      </c>
      <c r="T401" t="s">
        <v>31</v>
      </c>
      <c r="U401" t="s">
        <v>31</v>
      </c>
      <c r="V401">
        <v>2026</v>
      </c>
      <c r="W401">
        <v>4</v>
      </c>
      <c r="X401" t="s">
        <v>1412</v>
      </c>
      <c r="Y401" s="6">
        <v>46113</v>
      </c>
      <c r="Z401" t="s">
        <v>1413</v>
      </c>
      <c r="AA401" t="s">
        <v>31</v>
      </c>
      <c r="AB401" t="s">
        <v>63</v>
      </c>
      <c r="AC401" t="s">
        <v>23</v>
      </c>
      <c r="AD401">
        <v>1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</row>
    <row r="402" spans="1:36">
      <c r="A402" t="s">
        <v>523</v>
      </c>
      <c r="B402">
        <v>25</v>
      </c>
      <c r="C402" s="7">
        <v>46126.088888888888</v>
      </c>
      <c r="D402" s="7">
        <v>46127.130627071761</v>
      </c>
      <c r="E402" t="s">
        <v>23</v>
      </c>
      <c r="F402" t="s">
        <v>40</v>
      </c>
      <c r="G402" t="s">
        <v>51</v>
      </c>
      <c r="H402" t="s">
        <v>75</v>
      </c>
      <c r="I402" t="s">
        <v>27</v>
      </c>
      <c r="J402" t="s">
        <v>48</v>
      </c>
      <c r="K402" t="s">
        <v>37</v>
      </c>
      <c r="L402" t="s">
        <v>68</v>
      </c>
      <c r="M402">
        <v>67</v>
      </c>
      <c r="N402">
        <v>4</v>
      </c>
      <c r="O402">
        <v>1</v>
      </c>
      <c r="P402">
        <v>7</v>
      </c>
      <c r="Q402" t="s">
        <v>31</v>
      </c>
      <c r="R402">
        <v>30</v>
      </c>
      <c r="S402">
        <v>8</v>
      </c>
      <c r="T402" t="s">
        <v>31</v>
      </c>
      <c r="U402" t="s">
        <v>31</v>
      </c>
      <c r="V402">
        <v>2026</v>
      </c>
      <c r="W402">
        <v>4</v>
      </c>
      <c r="X402" t="s">
        <v>1412</v>
      </c>
      <c r="Y402" s="6">
        <v>46113</v>
      </c>
      <c r="Z402" t="s">
        <v>1413</v>
      </c>
      <c r="AA402" t="s">
        <v>63</v>
      </c>
      <c r="AB402" t="s">
        <v>63</v>
      </c>
      <c r="AC402" t="s">
        <v>23</v>
      </c>
      <c r="AD402">
        <v>1</v>
      </c>
      <c r="AE402">
        <v>0</v>
      </c>
      <c r="AF402">
        <v>1</v>
      </c>
      <c r="AG402">
        <v>1</v>
      </c>
      <c r="AH402">
        <v>0</v>
      </c>
      <c r="AI402">
        <v>0</v>
      </c>
      <c r="AJ402">
        <v>0</v>
      </c>
    </row>
    <row r="403" spans="1:36">
      <c r="A403" t="s">
        <v>524</v>
      </c>
      <c r="B403">
        <v>32.65</v>
      </c>
      <c r="C403" s="7">
        <v>46078.867361111108</v>
      </c>
      <c r="D403" s="7">
        <v>46080.227590162038</v>
      </c>
      <c r="E403" t="s">
        <v>23</v>
      </c>
      <c r="F403" t="s">
        <v>33</v>
      </c>
      <c r="G403" t="s">
        <v>65</v>
      </c>
      <c r="H403" t="s">
        <v>34</v>
      </c>
      <c r="I403" t="s">
        <v>27</v>
      </c>
      <c r="J403" t="s">
        <v>43</v>
      </c>
      <c r="K403" t="s">
        <v>37</v>
      </c>
      <c r="L403" t="s">
        <v>93</v>
      </c>
      <c r="M403">
        <v>261</v>
      </c>
      <c r="N403">
        <v>3</v>
      </c>
      <c r="O403">
        <v>0</v>
      </c>
      <c r="P403">
        <v>6</v>
      </c>
      <c r="Q403" t="s">
        <v>31</v>
      </c>
      <c r="R403">
        <v>240</v>
      </c>
      <c r="S403">
        <v>48</v>
      </c>
      <c r="T403" t="s">
        <v>31</v>
      </c>
      <c r="U403" t="s">
        <v>63</v>
      </c>
      <c r="V403">
        <v>2026</v>
      </c>
      <c r="W403">
        <v>2</v>
      </c>
      <c r="X403" t="s">
        <v>1419</v>
      </c>
      <c r="Y403" s="6">
        <v>46054</v>
      </c>
      <c r="Z403" t="s">
        <v>1418</v>
      </c>
      <c r="AA403" t="s">
        <v>31</v>
      </c>
      <c r="AB403" t="s">
        <v>63</v>
      </c>
      <c r="AC403" t="s">
        <v>23</v>
      </c>
      <c r="AD403">
        <v>1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1</v>
      </c>
    </row>
    <row r="404" spans="1:36">
      <c r="A404" t="s">
        <v>525</v>
      </c>
      <c r="B404">
        <v>33.11</v>
      </c>
      <c r="C404" s="7">
        <v>46109.989583333336</v>
      </c>
      <c r="D404" s="7">
        <v>46111.369036215277</v>
      </c>
      <c r="E404" t="s">
        <v>23</v>
      </c>
      <c r="F404" t="s">
        <v>50</v>
      </c>
      <c r="G404" t="s">
        <v>51</v>
      </c>
      <c r="H404" t="s">
        <v>54</v>
      </c>
      <c r="I404" t="s">
        <v>35</v>
      </c>
      <c r="J404" t="s">
        <v>48</v>
      </c>
      <c r="K404" t="s">
        <v>58</v>
      </c>
      <c r="L404" t="s">
        <v>62</v>
      </c>
      <c r="M404">
        <v>55</v>
      </c>
      <c r="N404">
        <v>4</v>
      </c>
      <c r="O404">
        <v>1</v>
      </c>
      <c r="P404">
        <v>6</v>
      </c>
      <c r="Q404" t="s">
        <v>31</v>
      </c>
      <c r="R404">
        <v>120</v>
      </c>
      <c r="S404">
        <v>24</v>
      </c>
      <c r="T404" t="s">
        <v>63</v>
      </c>
      <c r="U404" t="s">
        <v>31</v>
      </c>
      <c r="V404">
        <v>2026</v>
      </c>
      <c r="W404">
        <v>3</v>
      </c>
      <c r="X404" t="s">
        <v>1423</v>
      </c>
      <c r="Y404" s="6">
        <v>46082</v>
      </c>
      <c r="Z404" t="s">
        <v>1413</v>
      </c>
      <c r="AA404" t="s">
        <v>63</v>
      </c>
      <c r="AB404" t="s">
        <v>63</v>
      </c>
      <c r="AC404" t="s">
        <v>23</v>
      </c>
      <c r="AD404">
        <v>1</v>
      </c>
      <c r="AE404">
        <v>0</v>
      </c>
      <c r="AF404">
        <v>1</v>
      </c>
      <c r="AG404">
        <v>1</v>
      </c>
      <c r="AH404">
        <v>0</v>
      </c>
      <c r="AI404">
        <v>1</v>
      </c>
      <c r="AJ404">
        <v>0</v>
      </c>
    </row>
    <row r="405" spans="1:36">
      <c r="A405" t="s">
        <v>526</v>
      </c>
      <c r="B405">
        <v>24.27</v>
      </c>
      <c r="C405" s="7">
        <v>46117.136805555558</v>
      </c>
      <c r="D405" s="7">
        <v>46118.147913113426</v>
      </c>
      <c r="E405" t="s">
        <v>23</v>
      </c>
      <c r="F405" t="s">
        <v>50</v>
      </c>
      <c r="G405" t="s">
        <v>25</v>
      </c>
      <c r="H405" t="s">
        <v>34</v>
      </c>
      <c r="I405" t="s">
        <v>42</v>
      </c>
      <c r="J405" t="s">
        <v>43</v>
      </c>
      <c r="K405" t="s">
        <v>52</v>
      </c>
      <c r="L405" t="s">
        <v>44</v>
      </c>
      <c r="M405">
        <v>214</v>
      </c>
      <c r="N405">
        <v>4</v>
      </c>
      <c r="O405">
        <v>0</v>
      </c>
      <c r="P405">
        <v>3</v>
      </c>
      <c r="Q405" t="s">
        <v>31</v>
      </c>
      <c r="R405">
        <v>120</v>
      </c>
      <c r="S405">
        <v>24</v>
      </c>
      <c r="T405" t="s">
        <v>31</v>
      </c>
      <c r="U405" t="s">
        <v>31</v>
      </c>
      <c r="V405">
        <v>2026</v>
      </c>
      <c r="W405">
        <v>4</v>
      </c>
      <c r="X405" t="s">
        <v>1412</v>
      </c>
      <c r="Y405" s="6">
        <v>46113</v>
      </c>
      <c r="Z405" t="s">
        <v>1413</v>
      </c>
      <c r="AA405" t="s">
        <v>31</v>
      </c>
      <c r="AB405" t="s">
        <v>63</v>
      </c>
      <c r="AC405" t="s">
        <v>23</v>
      </c>
      <c r="AD405">
        <v>1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</row>
    <row r="406" spans="1:36">
      <c r="A406" t="s">
        <v>527</v>
      </c>
      <c r="B406">
        <v>40.67</v>
      </c>
      <c r="C406" s="7">
        <v>46068.869444444441</v>
      </c>
      <c r="D406" s="7">
        <v>46070.563997418983</v>
      </c>
      <c r="E406" t="s">
        <v>23</v>
      </c>
      <c r="F406" t="s">
        <v>33</v>
      </c>
      <c r="G406" t="s">
        <v>25</v>
      </c>
      <c r="H406" t="s">
        <v>26</v>
      </c>
      <c r="I406" t="s">
        <v>35</v>
      </c>
      <c r="J406" t="s">
        <v>43</v>
      </c>
      <c r="K406" t="s">
        <v>37</v>
      </c>
      <c r="L406" t="s">
        <v>1401</v>
      </c>
      <c r="M406">
        <v>171</v>
      </c>
      <c r="N406">
        <v>4</v>
      </c>
      <c r="O406">
        <v>0</v>
      </c>
      <c r="P406">
        <v>5</v>
      </c>
      <c r="Q406" t="s">
        <v>31</v>
      </c>
      <c r="R406">
        <v>240</v>
      </c>
      <c r="S406">
        <v>48</v>
      </c>
      <c r="T406" t="s">
        <v>63</v>
      </c>
      <c r="U406" t="s">
        <v>63</v>
      </c>
      <c r="V406">
        <v>2026</v>
      </c>
      <c r="W406">
        <v>2</v>
      </c>
      <c r="X406" t="s">
        <v>1419</v>
      </c>
      <c r="Y406" s="6">
        <v>46054</v>
      </c>
      <c r="Z406" t="s">
        <v>1413</v>
      </c>
      <c r="AA406" t="s">
        <v>31</v>
      </c>
      <c r="AB406" t="s">
        <v>63</v>
      </c>
      <c r="AC406" t="s">
        <v>23</v>
      </c>
      <c r="AD406">
        <v>1</v>
      </c>
      <c r="AE406">
        <v>0</v>
      </c>
      <c r="AF406">
        <v>1</v>
      </c>
      <c r="AG406">
        <v>0</v>
      </c>
      <c r="AH406">
        <v>0</v>
      </c>
      <c r="AI406">
        <v>1</v>
      </c>
      <c r="AJ406">
        <v>1</v>
      </c>
    </row>
    <row r="407" spans="1:36">
      <c r="A407" t="s">
        <v>528</v>
      </c>
      <c r="B407">
        <v>22.22</v>
      </c>
      <c r="C407" s="7">
        <v>46261.618750000001</v>
      </c>
      <c r="D407" s="7">
        <v>46262.544761851852</v>
      </c>
      <c r="E407" t="s">
        <v>23</v>
      </c>
      <c r="F407" t="s">
        <v>40</v>
      </c>
      <c r="G407" t="s">
        <v>25</v>
      </c>
      <c r="H407" t="s">
        <v>26</v>
      </c>
      <c r="I407" t="s">
        <v>35</v>
      </c>
      <c r="J407" t="s">
        <v>48</v>
      </c>
      <c r="K407" t="s">
        <v>76</v>
      </c>
      <c r="L407" t="s">
        <v>38</v>
      </c>
      <c r="M407">
        <v>43</v>
      </c>
      <c r="N407">
        <v>4</v>
      </c>
      <c r="O407">
        <v>0</v>
      </c>
      <c r="P407">
        <v>2</v>
      </c>
      <c r="Q407" t="s">
        <v>31</v>
      </c>
      <c r="R407">
        <v>30</v>
      </c>
      <c r="S407">
        <v>8</v>
      </c>
      <c r="T407" t="s">
        <v>31</v>
      </c>
      <c r="U407" t="s">
        <v>31</v>
      </c>
      <c r="V407">
        <v>2026</v>
      </c>
      <c r="W407">
        <v>8</v>
      </c>
      <c r="X407" t="s">
        <v>1417</v>
      </c>
      <c r="Y407" s="6">
        <v>46235</v>
      </c>
      <c r="Z407" t="s">
        <v>1413</v>
      </c>
      <c r="AA407" t="s">
        <v>31</v>
      </c>
      <c r="AB407" t="s">
        <v>63</v>
      </c>
      <c r="AC407" t="s">
        <v>23</v>
      </c>
      <c r="AD407">
        <v>1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</row>
    <row r="408" spans="1:36">
      <c r="A408" t="s">
        <v>529</v>
      </c>
      <c r="B408">
        <v>57.89</v>
      </c>
      <c r="C408" s="7">
        <v>46046.440972222219</v>
      </c>
      <c r="D408" s="7">
        <v>46048.853260671298</v>
      </c>
      <c r="E408" t="s">
        <v>23</v>
      </c>
      <c r="F408" t="s">
        <v>33</v>
      </c>
      <c r="G408" t="s">
        <v>65</v>
      </c>
      <c r="H408" t="s">
        <v>66</v>
      </c>
      <c r="I408" t="s">
        <v>42</v>
      </c>
      <c r="J408" t="s">
        <v>28</v>
      </c>
      <c r="K408" t="s">
        <v>58</v>
      </c>
      <c r="L408" t="s">
        <v>62</v>
      </c>
      <c r="M408">
        <v>370</v>
      </c>
      <c r="N408">
        <v>3</v>
      </c>
      <c r="O408">
        <v>0</v>
      </c>
      <c r="P408">
        <v>5</v>
      </c>
      <c r="Q408" t="s">
        <v>31</v>
      </c>
      <c r="R408">
        <v>240</v>
      </c>
      <c r="S408">
        <v>48</v>
      </c>
      <c r="T408" t="s">
        <v>31</v>
      </c>
      <c r="U408" t="s">
        <v>31</v>
      </c>
      <c r="V408">
        <v>2026</v>
      </c>
      <c r="W408">
        <v>1</v>
      </c>
      <c r="X408" t="s">
        <v>1414</v>
      </c>
      <c r="Y408" s="6">
        <v>46023</v>
      </c>
      <c r="Z408" t="s">
        <v>1418</v>
      </c>
      <c r="AA408" t="s">
        <v>31</v>
      </c>
      <c r="AB408" t="s">
        <v>63</v>
      </c>
      <c r="AC408" t="s">
        <v>23</v>
      </c>
      <c r="AD408">
        <v>1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</row>
    <row r="409" spans="1:36">
      <c r="A409" t="s">
        <v>530</v>
      </c>
      <c r="B409">
        <v>62.88</v>
      </c>
      <c r="C409" s="7">
        <v>46162.089583333334</v>
      </c>
      <c r="D409" s="7">
        <v>46164.709459930556</v>
      </c>
      <c r="E409" t="s">
        <v>23</v>
      </c>
      <c r="F409" t="s">
        <v>50</v>
      </c>
      <c r="G409" t="s">
        <v>25</v>
      </c>
      <c r="H409" t="s">
        <v>54</v>
      </c>
      <c r="I409" t="s">
        <v>27</v>
      </c>
      <c r="J409" t="s">
        <v>36</v>
      </c>
      <c r="K409" t="s">
        <v>58</v>
      </c>
      <c r="L409" t="s">
        <v>44</v>
      </c>
      <c r="M409">
        <v>32</v>
      </c>
      <c r="N409">
        <v>4</v>
      </c>
      <c r="O409">
        <v>0</v>
      </c>
      <c r="P409">
        <v>3</v>
      </c>
      <c r="Q409" t="s">
        <v>31</v>
      </c>
      <c r="R409">
        <v>120</v>
      </c>
      <c r="S409">
        <v>24</v>
      </c>
      <c r="T409" t="s">
        <v>63</v>
      </c>
      <c r="U409" t="s">
        <v>31</v>
      </c>
      <c r="V409">
        <v>2026</v>
      </c>
      <c r="W409">
        <v>5</v>
      </c>
      <c r="X409" t="s">
        <v>1416</v>
      </c>
      <c r="Y409" s="6">
        <v>46143</v>
      </c>
      <c r="Z409" t="s">
        <v>1413</v>
      </c>
      <c r="AA409" t="s">
        <v>31</v>
      </c>
      <c r="AB409" t="s">
        <v>63</v>
      </c>
      <c r="AC409" t="s">
        <v>23</v>
      </c>
      <c r="AD409">
        <v>1</v>
      </c>
      <c r="AE409">
        <v>0</v>
      </c>
      <c r="AF409">
        <v>1</v>
      </c>
      <c r="AG409">
        <v>0</v>
      </c>
      <c r="AH409">
        <v>0</v>
      </c>
      <c r="AI409">
        <v>1</v>
      </c>
      <c r="AJ409">
        <v>0</v>
      </c>
    </row>
    <row r="410" spans="1:36">
      <c r="A410" t="s">
        <v>531</v>
      </c>
      <c r="B410">
        <v>19.45</v>
      </c>
      <c r="C410" s="7">
        <v>46163.082638888889</v>
      </c>
      <c r="D410" s="7">
        <v>46163.893192488424</v>
      </c>
      <c r="E410" t="s">
        <v>23</v>
      </c>
      <c r="F410" t="s">
        <v>50</v>
      </c>
      <c r="G410" t="s">
        <v>51</v>
      </c>
      <c r="H410" t="s">
        <v>54</v>
      </c>
      <c r="I410" t="s">
        <v>42</v>
      </c>
      <c r="J410" t="s">
        <v>28</v>
      </c>
      <c r="K410" t="s">
        <v>58</v>
      </c>
      <c r="L410" t="s">
        <v>93</v>
      </c>
      <c r="M410">
        <v>346</v>
      </c>
      <c r="N410">
        <v>3</v>
      </c>
      <c r="O410">
        <v>1</v>
      </c>
      <c r="P410">
        <v>8</v>
      </c>
      <c r="Q410" t="s">
        <v>31</v>
      </c>
      <c r="R410">
        <v>120</v>
      </c>
      <c r="S410">
        <v>24</v>
      </c>
      <c r="T410" t="s">
        <v>31</v>
      </c>
      <c r="U410" t="s">
        <v>63</v>
      </c>
      <c r="V410">
        <v>2026</v>
      </c>
      <c r="W410">
        <v>5</v>
      </c>
      <c r="X410" t="s">
        <v>1416</v>
      </c>
      <c r="Y410" s="6">
        <v>46143</v>
      </c>
      <c r="Z410" t="s">
        <v>1418</v>
      </c>
      <c r="AA410" t="s">
        <v>63</v>
      </c>
      <c r="AB410" t="s">
        <v>63</v>
      </c>
      <c r="AC410" t="s">
        <v>23</v>
      </c>
      <c r="AD410">
        <v>1</v>
      </c>
      <c r="AE410">
        <v>0</v>
      </c>
      <c r="AF410">
        <v>1</v>
      </c>
      <c r="AG410">
        <v>1</v>
      </c>
      <c r="AH410">
        <v>0</v>
      </c>
      <c r="AI410">
        <v>0</v>
      </c>
      <c r="AJ410">
        <v>1</v>
      </c>
    </row>
    <row r="411" spans="1:36">
      <c r="A411" t="s">
        <v>532</v>
      </c>
      <c r="B411">
        <v>22.12</v>
      </c>
      <c r="C411" s="7">
        <v>46092.137499999997</v>
      </c>
      <c r="D411" s="7">
        <v>46093.05921162037</v>
      </c>
      <c r="E411" t="s">
        <v>23</v>
      </c>
      <c r="F411" t="s">
        <v>33</v>
      </c>
      <c r="G411" t="s">
        <v>25</v>
      </c>
      <c r="H411" t="s">
        <v>54</v>
      </c>
      <c r="I411" t="s">
        <v>35</v>
      </c>
      <c r="J411" t="s">
        <v>36</v>
      </c>
      <c r="K411" t="s">
        <v>58</v>
      </c>
      <c r="L411" t="s">
        <v>101</v>
      </c>
      <c r="M411">
        <v>269</v>
      </c>
      <c r="N411">
        <v>4</v>
      </c>
      <c r="O411">
        <v>0</v>
      </c>
      <c r="P411">
        <v>6</v>
      </c>
      <c r="Q411" t="s">
        <v>31</v>
      </c>
      <c r="R411">
        <v>240</v>
      </c>
      <c r="S411">
        <v>48</v>
      </c>
      <c r="T411" t="s">
        <v>31</v>
      </c>
      <c r="U411" t="s">
        <v>63</v>
      </c>
      <c r="V411">
        <v>2026</v>
      </c>
      <c r="W411">
        <v>3</v>
      </c>
      <c r="X411" t="s">
        <v>1423</v>
      </c>
      <c r="Y411" s="6">
        <v>46082</v>
      </c>
      <c r="Z411" t="s">
        <v>1413</v>
      </c>
      <c r="AA411" t="s">
        <v>31</v>
      </c>
      <c r="AB411" t="s">
        <v>63</v>
      </c>
      <c r="AC411" t="s">
        <v>23</v>
      </c>
      <c r="AD411">
        <v>1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1</v>
      </c>
    </row>
    <row r="412" spans="1:36">
      <c r="A412" t="s">
        <v>533</v>
      </c>
      <c r="B412">
        <v>29.02</v>
      </c>
      <c r="C412" s="7">
        <v>46090.684027777781</v>
      </c>
      <c r="D412" s="7">
        <v>46091.893167835646</v>
      </c>
      <c r="E412" t="s">
        <v>23</v>
      </c>
      <c r="F412" t="s">
        <v>50</v>
      </c>
      <c r="G412" t="s">
        <v>25</v>
      </c>
      <c r="H412" t="s">
        <v>26</v>
      </c>
      <c r="I412" t="s">
        <v>35</v>
      </c>
      <c r="J412" t="s">
        <v>28</v>
      </c>
      <c r="K412" t="s">
        <v>37</v>
      </c>
      <c r="L412" t="s">
        <v>85</v>
      </c>
      <c r="M412">
        <v>93</v>
      </c>
      <c r="N412">
        <v>4</v>
      </c>
      <c r="O412">
        <v>0</v>
      </c>
      <c r="P412">
        <v>2</v>
      </c>
      <c r="Q412" t="s">
        <v>31</v>
      </c>
      <c r="R412">
        <v>120</v>
      </c>
      <c r="S412">
        <v>24</v>
      </c>
      <c r="T412" t="s">
        <v>63</v>
      </c>
      <c r="U412" t="s">
        <v>31</v>
      </c>
      <c r="V412">
        <v>2026</v>
      </c>
      <c r="W412">
        <v>3</v>
      </c>
      <c r="X412" t="s">
        <v>1423</v>
      </c>
      <c r="Y412" s="6">
        <v>46082</v>
      </c>
      <c r="Z412" t="s">
        <v>1413</v>
      </c>
      <c r="AA412" t="s">
        <v>31</v>
      </c>
      <c r="AB412" t="s">
        <v>63</v>
      </c>
      <c r="AC412" t="s">
        <v>23</v>
      </c>
      <c r="AD412">
        <v>1</v>
      </c>
      <c r="AE412">
        <v>0</v>
      </c>
      <c r="AF412">
        <v>1</v>
      </c>
      <c r="AG412">
        <v>0</v>
      </c>
      <c r="AH412">
        <v>0</v>
      </c>
      <c r="AI412">
        <v>1</v>
      </c>
      <c r="AJ412">
        <v>0</v>
      </c>
    </row>
    <row r="413" spans="1:36">
      <c r="A413" t="s">
        <v>534</v>
      </c>
      <c r="B413">
        <v>58.79</v>
      </c>
      <c r="C413" s="7">
        <v>46103.711805555555</v>
      </c>
      <c r="D413" s="7">
        <v>46106.161245208335</v>
      </c>
      <c r="E413" t="s">
        <v>23</v>
      </c>
      <c r="F413" t="s">
        <v>33</v>
      </c>
      <c r="G413" t="s">
        <v>51</v>
      </c>
      <c r="H413" t="s">
        <v>26</v>
      </c>
      <c r="I413" t="s">
        <v>35</v>
      </c>
      <c r="J413" t="s">
        <v>43</v>
      </c>
      <c r="K413" t="s">
        <v>37</v>
      </c>
      <c r="L413" t="s">
        <v>38</v>
      </c>
      <c r="M413">
        <v>215</v>
      </c>
      <c r="N413">
        <v>3</v>
      </c>
      <c r="O413">
        <v>0</v>
      </c>
      <c r="P413">
        <v>5</v>
      </c>
      <c r="Q413" t="s">
        <v>31</v>
      </c>
      <c r="R413">
        <v>240</v>
      </c>
      <c r="S413">
        <v>48</v>
      </c>
      <c r="T413" t="s">
        <v>63</v>
      </c>
      <c r="U413" t="s">
        <v>31</v>
      </c>
      <c r="V413">
        <v>2026</v>
      </c>
      <c r="W413">
        <v>3</v>
      </c>
      <c r="X413" t="s">
        <v>1423</v>
      </c>
      <c r="Y413" s="6">
        <v>46082</v>
      </c>
      <c r="Z413" t="s">
        <v>1418</v>
      </c>
      <c r="AA413" t="s">
        <v>31</v>
      </c>
      <c r="AB413" t="s">
        <v>63</v>
      </c>
      <c r="AC413" t="s">
        <v>23</v>
      </c>
      <c r="AD413">
        <v>1</v>
      </c>
      <c r="AE413">
        <v>0</v>
      </c>
      <c r="AF413">
        <v>1</v>
      </c>
      <c r="AG413">
        <v>0</v>
      </c>
      <c r="AH413">
        <v>0</v>
      </c>
      <c r="AI413">
        <v>1</v>
      </c>
      <c r="AJ413">
        <v>0</v>
      </c>
    </row>
    <row r="414" spans="1:36">
      <c r="A414" t="s">
        <v>535</v>
      </c>
      <c r="B414">
        <v>31.25</v>
      </c>
      <c r="C414" s="7">
        <v>46044.924305555556</v>
      </c>
      <c r="D414" s="7">
        <v>46046.226289999999</v>
      </c>
      <c r="E414" t="s">
        <v>23</v>
      </c>
      <c r="F414" t="s">
        <v>33</v>
      </c>
      <c r="G414" t="s">
        <v>41</v>
      </c>
      <c r="H414" t="s">
        <v>34</v>
      </c>
      <c r="I414" t="s">
        <v>27</v>
      </c>
      <c r="J414" t="s">
        <v>28</v>
      </c>
      <c r="K414" t="s">
        <v>58</v>
      </c>
      <c r="L414" t="s">
        <v>71</v>
      </c>
      <c r="M414">
        <v>472</v>
      </c>
      <c r="N414">
        <v>3</v>
      </c>
      <c r="O414">
        <v>0</v>
      </c>
      <c r="P414">
        <v>7</v>
      </c>
      <c r="Q414" t="s">
        <v>31</v>
      </c>
      <c r="R414">
        <v>240</v>
      </c>
      <c r="S414">
        <v>48</v>
      </c>
      <c r="T414" t="s">
        <v>31</v>
      </c>
      <c r="U414" t="s">
        <v>63</v>
      </c>
      <c r="V414">
        <v>2026</v>
      </c>
      <c r="W414">
        <v>1</v>
      </c>
      <c r="X414" t="s">
        <v>1414</v>
      </c>
      <c r="Y414" s="6">
        <v>46023</v>
      </c>
      <c r="Z414" t="s">
        <v>1418</v>
      </c>
      <c r="AA414" t="s">
        <v>31</v>
      </c>
      <c r="AB414" t="s">
        <v>63</v>
      </c>
      <c r="AC414" t="s">
        <v>23</v>
      </c>
      <c r="AD414">
        <v>1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1</v>
      </c>
    </row>
    <row r="415" spans="1:36">
      <c r="A415" t="s">
        <v>536</v>
      </c>
      <c r="B415">
        <v>12.14</v>
      </c>
      <c r="C415" s="7">
        <v>46068.836805555555</v>
      </c>
      <c r="D415" s="7">
        <v>46069.342811180555</v>
      </c>
      <c r="E415" t="s">
        <v>23</v>
      </c>
      <c r="F415" t="s">
        <v>50</v>
      </c>
      <c r="G415" t="s">
        <v>25</v>
      </c>
      <c r="H415" t="s">
        <v>54</v>
      </c>
      <c r="I415" t="s">
        <v>27</v>
      </c>
      <c r="J415" t="s">
        <v>48</v>
      </c>
      <c r="K415" t="s">
        <v>52</v>
      </c>
      <c r="L415" t="s">
        <v>30</v>
      </c>
      <c r="M415">
        <v>157</v>
      </c>
      <c r="O415">
        <v>1</v>
      </c>
      <c r="P415">
        <v>11</v>
      </c>
      <c r="Q415" t="s">
        <v>31</v>
      </c>
      <c r="R415">
        <v>120</v>
      </c>
      <c r="S415">
        <v>24</v>
      </c>
      <c r="T415" t="s">
        <v>31</v>
      </c>
      <c r="U415" t="s">
        <v>63</v>
      </c>
      <c r="V415">
        <v>2026</v>
      </c>
      <c r="W415">
        <v>2</v>
      </c>
      <c r="X415" t="s">
        <v>1419</v>
      </c>
      <c r="Y415" s="6">
        <v>46054</v>
      </c>
      <c r="Z415" t="s">
        <v>1420</v>
      </c>
      <c r="AA415" t="s">
        <v>63</v>
      </c>
      <c r="AB415" t="s">
        <v>31</v>
      </c>
      <c r="AC415" t="s">
        <v>23</v>
      </c>
      <c r="AD415">
        <v>1</v>
      </c>
      <c r="AE415">
        <v>0</v>
      </c>
      <c r="AF415">
        <v>1</v>
      </c>
      <c r="AG415">
        <v>1</v>
      </c>
      <c r="AH415">
        <v>0</v>
      </c>
      <c r="AI415">
        <v>0</v>
      </c>
      <c r="AJ415">
        <v>1</v>
      </c>
    </row>
    <row r="416" spans="1:36">
      <c r="A416" t="s">
        <v>537</v>
      </c>
      <c r="B416">
        <v>1.93</v>
      </c>
      <c r="C416" s="7">
        <v>46183.229166666664</v>
      </c>
      <c r="D416" s="7">
        <v>46183.309539097223</v>
      </c>
      <c r="E416" t="s">
        <v>23</v>
      </c>
      <c r="F416" t="s">
        <v>40</v>
      </c>
      <c r="G416" t="s">
        <v>25</v>
      </c>
      <c r="H416" t="s">
        <v>34</v>
      </c>
      <c r="I416" t="s">
        <v>35</v>
      </c>
      <c r="J416" t="s">
        <v>43</v>
      </c>
      <c r="K416" t="s">
        <v>29</v>
      </c>
      <c r="L416" t="s">
        <v>30</v>
      </c>
      <c r="M416">
        <v>29</v>
      </c>
      <c r="N416">
        <v>4</v>
      </c>
      <c r="O416">
        <v>0</v>
      </c>
      <c r="P416">
        <v>7</v>
      </c>
      <c r="Q416" t="s">
        <v>31</v>
      </c>
      <c r="R416">
        <v>30</v>
      </c>
      <c r="S416">
        <v>8</v>
      </c>
      <c r="T416" t="s">
        <v>63</v>
      </c>
      <c r="U416" t="s">
        <v>63</v>
      </c>
      <c r="V416">
        <v>2026</v>
      </c>
      <c r="W416">
        <v>6</v>
      </c>
      <c r="X416" t="s">
        <v>1421</v>
      </c>
      <c r="Y416" s="6">
        <v>46174</v>
      </c>
      <c r="Z416" t="s">
        <v>1413</v>
      </c>
      <c r="AA416" t="s">
        <v>31</v>
      </c>
      <c r="AB416" t="s">
        <v>63</v>
      </c>
      <c r="AC416" t="s">
        <v>23</v>
      </c>
      <c r="AD416">
        <v>1</v>
      </c>
      <c r="AE416">
        <v>0</v>
      </c>
      <c r="AF416">
        <v>1</v>
      </c>
      <c r="AG416">
        <v>0</v>
      </c>
      <c r="AH416">
        <v>0</v>
      </c>
      <c r="AI416">
        <v>1</v>
      </c>
      <c r="AJ416">
        <v>1</v>
      </c>
    </row>
    <row r="417" spans="1:36">
      <c r="A417" t="s">
        <v>538</v>
      </c>
      <c r="B417">
        <v>17.89</v>
      </c>
      <c r="C417" s="7">
        <v>46220.663888888892</v>
      </c>
      <c r="D417" s="7">
        <v>46221.409435393522</v>
      </c>
      <c r="E417" t="s">
        <v>23</v>
      </c>
      <c r="F417" t="s">
        <v>40</v>
      </c>
      <c r="G417" t="s">
        <v>51</v>
      </c>
      <c r="H417" t="s">
        <v>26</v>
      </c>
      <c r="I417" t="s">
        <v>27</v>
      </c>
      <c r="J417" t="s">
        <v>43</v>
      </c>
      <c r="K417" t="s">
        <v>37</v>
      </c>
      <c r="L417" t="s">
        <v>30</v>
      </c>
      <c r="M417">
        <v>32</v>
      </c>
      <c r="N417">
        <v>4</v>
      </c>
      <c r="O417">
        <v>0</v>
      </c>
      <c r="P417">
        <v>10</v>
      </c>
      <c r="Q417" t="s">
        <v>63</v>
      </c>
      <c r="R417">
        <v>30</v>
      </c>
      <c r="S417">
        <v>8</v>
      </c>
      <c r="T417" t="s">
        <v>31</v>
      </c>
      <c r="U417" t="s">
        <v>31</v>
      </c>
      <c r="V417">
        <v>2026</v>
      </c>
      <c r="W417">
        <v>7</v>
      </c>
      <c r="X417" t="s">
        <v>1422</v>
      </c>
      <c r="Y417" s="6">
        <v>46204</v>
      </c>
      <c r="Z417" t="s">
        <v>1413</v>
      </c>
      <c r="AA417" t="s">
        <v>31</v>
      </c>
      <c r="AB417" t="s">
        <v>63</v>
      </c>
      <c r="AC417" t="s">
        <v>23</v>
      </c>
      <c r="AD417">
        <v>1</v>
      </c>
      <c r="AE417">
        <v>0</v>
      </c>
      <c r="AF417">
        <v>1</v>
      </c>
      <c r="AG417">
        <v>0</v>
      </c>
      <c r="AH417">
        <v>1</v>
      </c>
      <c r="AI417">
        <v>0</v>
      </c>
      <c r="AJ417">
        <v>0</v>
      </c>
    </row>
    <row r="418" spans="1:36">
      <c r="A418" t="s">
        <v>539</v>
      </c>
      <c r="B418">
        <v>17.32</v>
      </c>
      <c r="C418" s="7">
        <v>46033.998611111114</v>
      </c>
      <c r="D418" s="7">
        <v>46034.720303796297</v>
      </c>
      <c r="E418" t="s">
        <v>23</v>
      </c>
      <c r="F418" t="s">
        <v>50</v>
      </c>
      <c r="G418" t="s">
        <v>51</v>
      </c>
      <c r="H418" t="s">
        <v>75</v>
      </c>
      <c r="I418" t="s">
        <v>35</v>
      </c>
      <c r="J418" t="s">
        <v>48</v>
      </c>
      <c r="K418" t="s">
        <v>52</v>
      </c>
      <c r="L418" t="s">
        <v>68</v>
      </c>
      <c r="M418">
        <v>88</v>
      </c>
      <c r="N418">
        <v>4</v>
      </c>
      <c r="O418">
        <v>0</v>
      </c>
      <c r="P418">
        <v>5</v>
      </c>
      <c r="Q418" t="s">
        <v>31</v>
      </c>
      <c r="R418">
        <v>120</v>
      </c>
      <c r="S418">
        <v>24</v>
      </c>
      <c r="T418" t="s">
        <v>63</v>
      </c>
      <c r="U418" t="s">
        <v>63</v>
      </c>
      <c r="V418">
        <v>2026</v>
      </c>
      <c r="W418">
        <v>1</v>
      </c>
      <c r="X418" t="s">
        <v>1414</v>
      </c>
      <c r="Y418" s="6">
        <v>46023</v>
      </c>
      <c r="Z418" t="s">
        <v>1413</v>
      </c>
      <c r="AA418" t="s">
        <v>31</v>
      </c>
      <c r="AB418" t="s">
        <v>63</v>
      </c>
      <c r="AC418" t="s">
        <v>23</v>
      </c>
      <c r="AD418">
        <v>1</v>
      </c>
      <c r="AE418">
        <v>0</v>
      </c>
      <c r="AF418">
        <v>1</v>
      </c>
      <c r="AG418">
        <v>0</v>
      </c>
      <c r="AH418">
        <v>0</v>
      </c>
      <c r="AI418">
        <v>1</v>
      </c>
      <c r="AJ418">
        <v>1</v>
      </c>
    </row>
    <row r="419" spans="1:36">
      <c r="A419" t="s">
        <v>540</v>
      </c>
      <c r="B419">
        <v>48.57</v>
      </c>
      <c r="C419" s="7">
        <v>46242.112500000003</v>
      </c>
      <c r="D419" s="7">
        <v>46244.136426666664</v>
      </c>
      <c r="E419" t="s">
        <v>23</v>
      </c>
      <c r="F419" t="s">
        <v>50</v>
      </c>
      <c r="G419" t="s">
        <v>25</v>
      </c>
      <c r="H419" t="s">
        <v>26</v>
      </c>
      <c r="I419" t="s">
        <v>42</v>
      </c>
      <c r="J419" t="s">
        <v>28</v>
      </c>
      <c r="K419" t="s">
        <v>58</v>
      </c>
      <c r="L419" t="s">
        <v>71</v>
      </c>
      <c r="M419">
        <v>35</v>
      </c>
      <c r="N419">
        <v>4</v>
      </c>
      <c r="O419">
        <v>0</v>
      </c>
      <c r="P419">
        <v>5</v>
      </c>
      <c r="Q419" t="s">
        <v>31</v>
      </c>
      <c r="R419">
        <v>120</v>
      </c>
      <c r="S419">
        <v>24</v>
      </c>
      <c r="T419" t="s">
        <v>63</v>
      </c>
      <c r="U419" t="s">
        <v>31</v>
      </c>
      <c r="V419">
        <v>2026</v>
      </c>
      <c r="W419">
        <v>8</v>
      </c>
      <c r="X419" t="s">
        <v>1417</v>
      </c>
      <c r="Y419" s="6">
        <v>46235</v>
      </c>
      <c r="Z419" t="s">
        <v>1413</v>
      </c>
      <c r="AA419" t="s">
        <v>31</v>
      </c>
      <c r="AB419" t="s">
        <v>63</v>
      </c>
      <c r="AC419" t="s">
        <v>23</v>
      </c>
      <c r="AD419">
        <v>1</v>
      </c>
      <c r="AE419">
        <v>0</v>
      </c>
      <c r="AF419">
        <v>1</v>
      </c>
      <c r="AG419">
        <v>0</v>
      </c>
      <c r="AH419">
        <v>0</v>
      </c>
      <c r="AI419">
        <v>1</v>
      </c>
      <c r="AJ419">
        <v>0</v>
      </c>
    </row>
    <row r="420" spans="1:36">
      <c r="A420" t="s">
        <v>541</v>
      </c>
      <c r="B420">
        <v>19.43</v>
      </c>
      <c r="C420" s="7">
        <v>46094.550694444442</v>
      </c>
      <c r="D420" s="7">
        <v>46095.360115405092</v>
      </c>
      <c r="E420" t="s">
        <v>23</v>
      </c>
      <c r="F420" t="s">
        <v>50</v>
      </c>
      <c r="G420" t="s">
        <v>25</v>
      </c>
      <c r="H420" t="s">
        <v>66</v>
      </c>
      <c r="I420" t="s">
        <v>42</v>
      </c>
      <c r="J420" t="s">
        <v>48</v>
      </c>
      <c r="K420" t="s">
        <v>76</v>
      </c>
      <c r="L420" t="s">
        <v>38</v>
      </c>
      <c r="M420">
        <v>69</v>
      </c>
      <c r="N420">
        <v>4</v>
      </c>
      <c r="O420">
        <v>0</v>
      </c>
      <c r="P420">
        <v>3</v>
      </c>
      <c r="Q420" t="s">
        <v>31</v>
      </c>
      <c r="R420">
        <v>120</v>
      </c>
      <c r="S420">
        <v>24</v>
      </c>
      <c r="T420" t="s">
        <v>63</v>
      </c>
      <c r="U420" t="s">
        <v>63</v>
      </c>
      <c r="V420">
        <v>2026</v>
      </c>
      <c r="W420">
        <v>3</v>
      </c>
      <c r="X420" t="s">
        <v>1423</v>
      </c>
      <c r="Y420" s="6">
        <v>46082</v>
      </c>
      <c r="Z420" t="s">
        <v>1413</v>
      </c>
      <c r="AA420" t="s">
        <v>31</v>
      </c>
      <c r="AB420" t="s">
        <v>63</v>
      </c>
      <c r="AC420" t="s">
        <v>23</v>
      </c>
      <c r="AD420">
        <v>1</v>
      </c>
      <c r="AE420">
        <v>0</v>
      </c>
      <c r="AF420">
        <v>1</v>
      </c>
      <c r="AG420">
        <v>0</v>
      </c>
      <c r="AH420">
        <v>0</v>
      </c>
      <c r="AI420">
        <v>1</v>
      </c>
      <c r="AJ420">
        <v>1</v>
      </c>
    </row>
    <row r="421" spans="1:36">
      <c r="A421" t="s">
        <v>542</v>
      </c>
      <c r="B421">
        <v>31.45</v>
      </c>
      <c r="C421" s="7">
        <v>46190.311111111114</v>
      </c>
      <c r="D421" s="7">
        <v>46191.621344108797</v>
      </c>
      <c r="E421" t="s">
        <v>23</v>
      </c>
      <c r="F421" t="s">
        <v>40</v>
      </c>
      <c r="G421" t="s">
        <v>41</v>
      </c>
      <c r="H421" t="s">
        <v>75</v>
      </c>
      <c r="I421" t="s">
        <v>35</v>
      </c>
      <c r="J421" t="s">
        <v>36</v>
      </c>
      <c r="K421" t="s">
        <v>37</v>
      </c>
      <c r="L421" t="s">
        <v>85</v>
      </c>
      <c r="M421">
        <v>37</v>
      </c>
      <c r="N421">
        <v>4</v>
      </c>
      <c r="O421">
        <v>0</v>
      </c>
      <c r="P421">
        <v>3</v>
      </c>
      <c r="Q421" t="s">
        <v>31</v>
      </c>
      <c r="R421">
        <v>30</v>
      </c>
      <c r="S421">
        <v>8</v>
      </c>
      <c r="T421" t="s">
        <v>31</v>
      </c>
      <c r="U421" t="s">
        <v>31</v>
      </c>
      <c r="V421">
        <v>2026</v>
      </c>
      <c r="W421">
        <v>6</v>
      </c>
      <c r="X421" t="s">
        <v>1421</v>
      </c>
      <c r="Y421" s="6">
        <v>46174</v>
      </c>
      <c r="Z421" t="s">
        <v>1413</v>
      </c>
      <c r="AA421" t="s">
        <v>31</v>
      </c>
      <c r="AB421" t="s">
        <v>63</v>
      </c>
      <c r="AC421" t="s">
        <v>23</v>
      </c>
      <c r="AD421">
        <v>1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</row>
    <row r="422" spans="1:36">
      <c r="A422" t="s">
        <v>543</v>
      </c>
      <c r="B422">
        <v>36.659999999999997</v>
      </c>
      <c r="C422" s="7">
        <v>46040.625694444447</v>
      </c>
      <c r="D422" s="7">
        <v>46042.153139699076</v>
      </c>
      <c r="E422" t="s">
        <v>23</v>
      </c>
      <c r="F422" t="s">
        <v>33</v>
      </c>
      <c r="G422" t="s">
        <v>51</v>
      </c>
      <c r="H422" t="s">
        <v>66</v>
      </c>
      <c r="I422" t="s">
        <v>27</v>
      </c>
      <c r="J422" t="s">
        <v>28</v>
      </c>
      <c r="K422" t="s">
        <v>58</v>
      </c>
      <c r="L422" t="s">
        <v>44</v>
      </c>
      <c r="M422">
        <v>133</v>
      </c>
      <c r="N422">
        <v>3</v>
      </c>
      <c r="O422">
        <v>2</v>
      </c>
      <c r="P422">
        <v>9</v>
      </c>
      <c r="Q422" t="s">
        <v>31</v>
      </c>
      <c r="R422">
        <v>240</v>
      </c>
      <c r="S422">
        <v>48</v>
      </c>
      <c r="T422" t="s">
        <v>63</v>
      </c>
      <c r="U422" t="s">
        <v>63</v>
      </c>
      <c r="V422">
        <v>2026</v>
      </c>
      <c r="W422">
        <v>1</v>
      </c>
      <c r="X422" t="s">
        <v>1414</v>
      </c>
      <c r="Y422" s="6">
        <v>46023</v>
      </c>
      <c r="Z422" t="s">
        <v>1418</v>
      </c>
      <c r="AA422" t="s">
        <v>63</v>
      </c>
      <c r="AB422" t="s">
        <v>63</v>
      </c>
      <c r="AC422" t="s">
        <v>23</v>
      </c>
      <c r="AD422">
        <v>1</v>
      </c>
      <c r="AE422">
        <v>0</v>
      </c>
      <c r="AF422">
        <v>1</v>
      </c>
      <c r="AG422">
        <v>1</v>
      </c>
      <c r="AH422">
        <v>0</v>
      </c>
      <c r="AI422">
        <v>1</v>
      </c>
      <c r="AJ422">
        <v>1</v>
      </c>
    </row>
    <row r="423" spans="1:36">
      <c r="A423" t="s">
        <v>544</v>
      </c>
      <c r="B423">
        <v>15.48</v>
      </c>
      <c r="C423" s="7">
        <v>46255.080555555556</v>
      </c>
      <c r="D423" s="7">
        <v>46255.725398981478</v>
      </c>
      <c r="E423" t="s">
        <v>23</v>
      </c>
      <c r="F423" t="s">
        <v>50</v>
      </c>
      <c r="G423" t="s">
        <v>51</v>
      </c>
      <c r="H423" t="s">
        <v>66</v>
      </c>
      <c r="I423" t="s">
        <v>27</v>
      </c>
      <c r="J423" t="s">
        <v>28</v>
      </c>
      <c r="K423" t="s">
        <v>67</v>
      </c>
      <c r="L423" t="s">
        <v>71</v>
      </c>
      <c r="M423">
        <v>77</v>
      </c>
      <c r="N423">
        <v>4</v>
      </c>
      <c r="O423">
        <v>0</v>
      </c>
      <c r="P423">
        <v>7</v>
      </c>
      <c r="Q423" t="s">
        <v>31</v>
      </c>
      <c r="R423">
        <v>120</v>
      </c>
      <c r="S423">
        <v>24</v>
      </c>
      <c r="T423" t="s">
        <v>63</v>
      </c>
      <c r="U423" t="s">
        <v>63</v>
      </c>
      <c r="V423">
        <v>2026</v>
      </c>
      <c r="W423">
        <v>8</v>
      </c>
      <c r="X423" t="s">
        <v>1417</v>
      </c>
      <c r="Y423" s="6">
        <v>46235</v>
      </c>
      <c r="Z423" t="s">
        <v>1413</v>
      </c>
      <c r="AA423" t="s">
        <v>31</v>
      </c>
      <c r="AB423" t="s">
        <v>63</v>
      </c>
      <c r="AC423" t="s">
        <v>23</v>
      </c>
      <c r="AD423">
        <v>1</v>
      </c>
      <c r="AE423">
        <v>0</v>
      </c>
      <c r="AF423">
        <v>1</v>
      </c>
      <c r="AG423">
        <v>0</v>
      </c>
      <c r="AH423">
        <v>0</v>
      </c>
      <c r="AI423">
        <v>1</v>
      </c>
      <c r="AJ423">
        <v>1</v>
      </c>
    </row>
    <row r="424" spans="1:36">
      <c r="A424" t="s">
        <v>545</v>
      </c>
      <c r="B424">
        <v>87.19</v>
      </c>
      <c r="C424" s="7">
        <v>46118.240277777775</v>
      </c>
      <c r="D424" s="7">
        <v>46121.873341354163</v>
      </c>
      <c r="E424" t="s">
        <v>23</v>
      </c>
      <c r="F424" t="s">
        <v>33</v>
      </c>
      <c r="G424" t="s">
        <v>25</v>
      </c>
      <c r="H424" t="s">
        <v>75</v>
      </c>
      <c r="I424" t="s">
        <v>35</v>
      </c>
      <c r="J424" t="s">
        <v>43</v>
      </c>
      <c r="K424" t="s">
        <v>58</v>
      </c>
      <c r="L424" t="s">
        <v>55</v>
      </c>
      <c r="M424">
        <v>343</v>
      </c>
      <c r="N424">
        <v>2</v>
      </c>
      <c r="O424">
        <v>2</v>
      </c>
      <c r="P424">
        <v>9</v>
      </c>
      <c r="Q424" t="s">
        <v>31</v>
      </c>
      <c r="R424">
        <v>240</v>
      </c>
      <c r="S424">
        <v>48</v>
      </c>
      <c r="T424" t="s">
        <v>31</v>
      </c>
      <c r="U424" t="s">
        <v>31</v>
      </c>
      <c r="V424">
        <v>2026</v>
      </c>
      <c r="W424">
        <v>4</v>
      </c>
      <c r="X424" t="s">
        <v>1412</v>
      </c>
      <c r="Y424" s="6">
        <v>46113</v>
      </c>
      <c r="Z424" t="s">
        <v>1415</v>
      </c>
      <c r="AA424" t="s">
        <v>63</v>
      </c>
      <c r="AB424" t="s">
        <v>63</v>
      </c>
      <c r="AC424" t="s">
        <v>23</v>
      </c>
      <c r="AD424">
        <v>1</v>
      </c>
      <c r="AE424">
        <v>0</v>
      </c>
      <c r="AF424">
        <v>1</v>
      </c>
      <c r="AG424">
        <v>1</v>
      </c>
      <c r="AH424">
        <v>0</v>
      </c>
      <c r="AI424">
        <v>0</v>
      </c>
      <c r="AJ424">
        <v>0</v>
      </c>
    </row>
    <row r="425" spans="1:36">
      <c r="A425" t="s">
        <v>546</v>
      </c>
      <c r="B425">
        <v>20.059999999999999</v>
      </c>
      <c r="C425" s="7">
        <v>46257.176388888889</v>
      </c>
      <c r="D425" s="7">
        <v>46258.012203564816</v>
      </c>
      <c r="E425" t="s">
        <v>23</v>
      </c>
      <c r="F425" t="s">
        <v>40</v>
      </c>
      <c r="G425" t="s">
        <v>51</v>
      </c>
      <c r="H425" t="s">
        <v>26</v>
      </c>
      <c r="I425" t="s">
        <v>35</v>
      </c>
      <c r="J425" t="s">
        <v>36</v>
      </c>
      <c r="K425" t="s">
        <v>37</v>
      </c>
      <c r="L425" t="s">
        <v>38</v>
      </c>
      <c r="M425">
        <v>38</v>
      </c>
      <c r="N425">
        <v>5</v>
      </c>
      <c r="O425">
        <v>0</v>
      </c>
      <c r="P425">
        <v>2</v>
      </c>
      <c r="Q425" t="s">
        <v>31</v>
      </c>
      <c r="R425">
        <v>30</v>
      </c>
      <c r="S425">
        <v>8</v>
      </c>
      <c r="T425" t="s">
        <v>31</v>
      </c>
      <c r="U425" t="s">
        <v>31</v>
      </c>
      <c r="V425">
        <v>2026</v>
      </c>
      <c r="W425">
        <v>8</v>
      </c>
      <c r="X425" t="s">
        <v>1417</v>
      </c>
      <c r="Y425" s="6">
        <v>46235</v>
      </c>
      <c r="Z425" t="s">
        <v>1413</v>
      </c>
      <c r="AA425" t="s">
        <v>31</v>
      </c>
      <c r="AB425" t="s">
        <v>63</v>
      </c>
      <c r="AC425" t="s">
        <v>23</v>
      </c>
      <c r="AD425">
        <v>1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</row>
    <row r="426" spans="1:36">
      <c r="A426" t="s">
        <v>547</v>
      </c>
      <c r="B426">
        <v>81.56</v>
      </c>
      <c r="C426" s="7">
        <v>46183.673611111109</v>
      </c>
      <c r="D426" s="7">
        <v>46187.071788368055</v>
      </c>
      <c r="E426" t="s">
        <v>23</v>
      </c>
      <c r="F426" t="s">
        <v>50</v>
      </c>
      <c r="G426" t="s">
        <v>41</v>
      </c>
      <c r="H426" t="s">
        <v>66</v>
      </c>
      <c r="I426" t="s">
        <v>42</v>
      </c>
      <c r="J426" t="s">
        <v>43</v>
      </c>
      <c r="K426" t="s">
        <v>76</v>
      </c>
      <c r="L426" t="s">
        <v>1401</v>
      </c>
      <c r="M426">
        <v>65</v>
      </c>
      <c r="N426">
        <v>4</v>
      </c>
      <c r="O426">
        <v>0</v>
      </c>
      <c r="P426">
        <v>5</v>
      </c>
      <c r="Q426" t="s">
        <v>31</v>
      </c>
      <c r="R426">
        <v>120</v>
      </c>
      <c r="S426">
        <v>24</v>
      </c>
      <c r="T426" t="s">
        <v>63</v>
      </c>
      <c r="U426" t="s">
        <v>31</v>
      </c>
      <c r="V426">
        <v>2026</v>
      </c>
      <c r="W426">
        <v>6</v>
      </c>
      <c r="X426" t="s">
        <v>1421</v>
      </c>
      <c r="Y426" s="6">
        <v>46174</v>
      </c>
      <c r="Z426" t="s">
        <v>1413</v>
      </c>
      <c r="AA426" t="s">
        <v>31</v>
      </c>
      <c r="AB426" t="s">
        <v>63</v>
      </c>
      <c r="AC426" t="s">
        <v>23</v>
      </c>
      <c r="AD426">
        <v>1</v>
      </c>
      <c r="AE426">
        <v>0</v>
      </c>
      <c r="AF426">
        <v>1</v>
      </c>
      <c r="AG426">
        <v>0</v>
      </c>
      <c r="AH426">
        <v>0</v>
      </c>
      <c r="AI426">
        <v>1</v>
      </c>
      <c r="AJ426">
        <v>0</v>
      </c>
    </row>
    <row r="427" spans="1:36">
      <c r="A427" t="s">
        <v>548</v>
      </c>
      <c r="B427">
        <v>7.45</v>
      </c>
      <c r="C427" s="7">
        <v>46135.868750000001</v>
      </c>
      <c r="D427" s="7">
        <v>46136.17904447917</v>
      </c>
      <c r="E427" t="s">
        <v>23</v>
      </c>
      <c r="F427" t="s">
        <v>40</v>
      </c>
      <c r="G427" t="s">
        <v>65</v>
      </c>
      <c r="H427" t="s">
        <v>26</v>
      </c>
      <c r="I427" t="s">
        <v>35</v>
      </c>
      <c r="J427" t="s">
        <v>43</v>
      </c>
      <c r="K427" t="s">
        <v>29</v>
      </c>
      <c r="L427" t="s">
        <v>1401</v>
      </c>
      <c r="M427">
        <v>73</v>
      </c>
      <c r="N427">
        <v>4</v>
      </c>
      <c r="O427">
        <v>0</v>
      </c>
      <c r="P427">
        <v>3</v>
      </c>
      <c r="Q427" t="s">
        <v>31</v>
      </c>
      <c r="R427">
        <v>30</v>
      </c>
      <c r="S427">
        <v>8</v>
      </c>
      <c r="T427" t="s">
        <v>31</v>
      </c>
      <c r="U427" t="s">
        <v>63</v>
      </c>
      <c r="V427">
        <v>2026</v>
      </c>
      <c r="W427">
        <v>4</v>
      </c>
      <c r="X427" t="s">
        <v>1412</v>
      </c>
      <c r="Y427" s="6">
        <v>46113</v>
      </c>
      <c r="Z427" t="s">
        <v>1413</v>
      </c>
      <c r="AA427" t="s">
        <v>31</v>
      </c>
      <c r="AB427" t="s">
        <v>63</v>
      </c>
      <c r="AC427" t="s">
        <v>23</v>
      </c>
      <c r="AD427">
        <v>1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1</v>
      </c>
    </row>
    <row r="428" spans="1:36">
      <c r="A428" t="s">
        <v>549</v>
      </c>
      <c r="B428">
        <v>29.68</v>
      </c>
      <c r="C428" s="7">
        <v>46173.973611111112</v>
      </c>
      <c r="D428" s="7">
        <v>46175.210112731482</v>
      </c>
      <c r="E428" t="s">
        <v>23</v>
      </c>
      <c r="F428" t="s">
        <v>33</v>
      </c>
      <c r="G428" t="s">
        <v>51</v>
      </c>
      <c r="H428" t="s">
        <v>26</v>
      </c>
      <c r="I428" t="s">
        <v>35</v>
      </c>
      <c r="J428" t="s">
        <v>48</v>
      </c>
      <c r="K428" t="s">
        <v>76</v>
      </c>
      <c r="L428" t="s">
        <v>71</v>
      </c>
      <c r="M428">
        <v>150</v>
      </c>
      <c r="N428">
        <v>4</v>
      </c>
      <c r="O428">
        <v>0</v>
      </c>
      <c r="P428">
        <v>3</v>
      </c>
      <c r="Q428" t="s">
        <v>31</v>
      </c>
      <c r="R428">
        <v>240</v>
      </c>
      <c r="S428">
        <v>48</v>
      </c>
      <c r="T428" t="s">
        <v>63</v>
      </c>
      <c r="U428" t="s">
        <v>63</v>
      </c>
      <c r="V428">
        <v>2026</v>
      </c>
      <c r="W428">
        <v>5</v>
      </c>
      <c r="X428" t="s">
        <v>1416</v>
      </c>
      <c r="Y428" s="6">
        <v>46143</v>
      </c>
      <c r="Z428" t="s">
        <v>1413</v>
      </c>
      <c r="AA428" t="s">
        <v>31</v>
      </c>
      <c r="AB428" t="s">
        <v>63</v>
      </c>
      <c r="AC428" t="s">
        <v>23</v>
      </c>
      <c r="AD428">
        <v>1</v>
      </c>
      <c r="AE428">
        <v>0</v>
      </c>
      <c r="AF428">
        <v>1</v>
      </c>
      <c r="AG428">
        <v>0</v>
      </c>
      <c r="AH428">
        <v>0</v>
      </c>
      <c r="AI428">
        <v>1</v>
      </c>
      <c r="AJ428">
        <v>1</v>
      </c>
    </row>
    <row r="429" spans="1:36">
      <c r="A429" t="s">
        <v>550</v>
      </c>
      <c r="B429">
        <v>13.81</v>
      </c>
      <c r="C429" s="7">
        <v>46210.756944444445</v>
      </c>
      <c r="D429" s="7">
        <v>46211.332566030091</v>
      </c>
      <c r="E429" t="s">
        <v>23</v>
      </c>
      <c r="F429" t="s">
        <v>33</v>
      </c>
      <c r="G429" t="s">
        <v>25</v>
      </c>
      <c r="H429" t="s">
        <v>26</v>
      </c>
      <c r="I429" t="s">
        <v>42</v>
      </c>
      <c r="J429" t="s">
        <v>43</v>
      </c>
      <c r="K429" t="s">
        <v>76</v>
      </c>
      <c r="L429" t="s">
        <v>68</v>
      </c>
      <c r="M429">
        <v>280</v>
      </c>
      <c r="N429">
        <v>3</v>
      </c>
      <c r="O429">
        <v>0</v>
      </c>
      <c r="P429">
        <v>2</v>
      </c>
      <c r="Q429" t="s">
        <v>31</v>
      </c>
      <c r="R429">
        <v>240</v>
      </c>
      <c r="S429">
        <v>48</v>
      </c>
      <c r="T429" t="s">
        <v>31</v>
      </c>
      <c r="U429" t="s">
        <v>63</v>
      </c>
      <c r="V429">
        <v>2026</v>
      </c>
      <c r="W429">
        <v>7</v>
      </c>
      <c r="X429" t="s">
        <v>1422</v>
      </c>
      <c r="Y429" s="6">
        <v>46204</v>
      </c>
      <c r="Z429" t="s">
        <v>1418</v>
      </c>
      <c r="AA429" t="s">
        <v>31</v>
      </c>
      <c r="AB429" t="s">
        <v>63</v>
      </c>
      <c r="AC429" t="s">
        <v>23</v>
      </c>
      <c r="AD429">
        <v>1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1</v>
      </c>
    </row>
    <row r="430" spans="1:36">
      <c r="A430" t="s">
        <v>552</v>
      </c>
      <c r="B430">
        <v>13.58</v>
      </c>
      <c r="C430" s="7">
        <v>46165.695833333331</v>
      </c>
      <c r="D430" s="7">
        <v>46166.261606157408</v>
      </c>
      <c r="E430" t="s">
        <v>23</v>
      </c>
      <c r="F430" t="s">
        <v>50</v>
      </c>
      <c r="G430" t="s">
        <v>51</v>
      </c>
      <c r="H430" t="s">
        <v>66</v>
      </c>
      <c r="I430" t="s">
        <v>35</v>
      </c>
      <c r="J430" t="s">
        <v>48</v>
      </c>
      <c r="K430" t="s">
        <v>52</v>
      </c>
      <c r="L430" t="s">
        <v>55</v>
      </c>
      <c r="M430">
        <v>47</v>
      </c>
      <c r="N430">
        <v>4</v>
      </c>
      <c r="O430">
        <v>0</v>
      </c>
      <c r="P430">
        <v>3</v>
      </c>
      <c r="Q430" t="s">
        <v>31</v>
      </c>
      <c r="R430">
        <v>120</v>
      </c>
      <c r="S430">
        <v>24</v>
      </c>
      <c r="T430" t="s">
        <v>63</v>
      </c>
      <c r="U430" t="s">
        <v>63</v>
      </c>
      <c r="V430">
        <v>2026</v>
      </c>
      <c r="W430">
        <v>5</v>
      </c>
      <c r="X430" t="s">
        <v>1416</v>
      </c>
      <c r="Y430" s="6">
        <v>46143</v>
      </c>
      <c r="Z430" t="s">
        <v>1413</v>
      </c>
      <c r="AA430" t="s">
        <v>31</v>
      </c>
      <c r="AB430" t="s">
        <v>63</v>
      </c>
      <c r="AC430" t="s">
        <v>23</v>
      </c>
      <c r="AD430">
        <v>1</v>
      </c>
      <c r="AE430">
        <v>0</v>
      </c>
      <c r="AF430">
        <v>1</v>
      </c>
      <c r="AG430">
        <v>0</v>
      </c>
      <c r="AH430">
        <v>0</v>
      </c>
      <c r="AI430">
        <v>1</v>
      </c>
      <c r="AJ430">
        <v>1</v>
      </c>
    </row>
    <row r="431" spans="1:36">
      <c r="A431" t="s">
        <v>553</v>
      </c>
      <c r="B431">
        <v>72.209999999999994</v>
      </c>
      <c r="C431" s="7">
        <v>46208.426388888889</v>
      </c>
      <c r="D431" s="7">
        <v>46211.435260243059</v>
      </c>
      <c r="E431" t="s">
        <v>23</v>
      </c>
      <c r="F431" t="s">
        <v>33</v>
      </c>
      <c r="G431" t="s">
        <v>25</v>
      </c>
      <c r="H431" t="s">
        <v>26</v>
      </c>
      <c r="I431" t="s">
        <v>35</v>
      </c>
      <c r="J431" t="s">
        <v>48</v>
      </c>
      <c r="K431" t="s">
        <v>37</v>
      </c>
      <c r="L431" t="s">
        <v>38</v>
      </c>
      <c r="M431">
        <v>330</v>
      </c>
      <c r="N431">
        <v>3</v>
      </c>
      <c r="O431">
        <v>0</v>
      </c>
      <c r="P431">
        <v>6</v>
      </c>
      <c r="Q431" t="s">
        <v>31</v>
      </c>
      <c r="R431">
        <v>240</v>
      </c>
      <c r="S431">
        <v>48</v>
      </c>
      <c r="T431" t="s">
        <v>31</v>
      </c>
      <c r="U431" t="s">
        <v>31</v>
      </c>
      <c r="V431">
        <v>2026</v>
      </c>
      <c r="W431">
        <v>7</v>
      </c>
      <c r="X431" t="s">
        <v>1422</v>
      </c>
      <c r="Y431" s="6">
        <v>46204</v>
      </c>
      <c r="Z431" t="s">
        <v>1418</v>
      </c>
      <c r="AA431" t="s">
        <v>31</v>
      </c>
      <c r="AB431" t="s">
        <v>63</v>
      </c>
      <c r="AC431" t="s">
        <v>23</v>
      </c>
      <c r="AD431">
        <v>1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</row>
    <row r="432" spans="1:36">
      <c r="A432" t="s">
        <v>554</v>
      </c>
      <c r="B432">
        <v>22.58</v>
      </c>
      <c r="C432" s="7">
        <v>46070.589583333334</v>
      </c>
      <c r="D432" s="7">
        <v>46071.530382581019</v>
      </c>
      <c r="E432" t="s">
        <v>23</v>
      </c>
      <c r="F432" t="s">
        <v>33</v>
      </c>
      <c r="G432" t="s">
        <v>25</v>
      </c>
      <c r="H432" t="s">
        <v>54</v>
      </c>
      <c r="I432" t="s">
        <v>27</v>
      </c>
      <c r="J432" t="s">
        <v>36</v>
      </c>
      <c r="K432" t="s">
        <v>37</v>
      </c>
      <c r="L432" t="s">
        <v>101</v>
      </c>
      <c r="M432">
        <v>143</v>
      </c>
      <c r="N432">
        <v>3</v>
      </c>
      <c r="O432">
        <v>1</v>
      </c>
      <c r="P432">
        <v>10</v>
      </c>
      <c r="Q432" t="s">
        <v>31</v>
      </c>
      <c r="R432">
        <v>240</v>
      </c>
      <c r="S432">
        <v>48</v>
      </c>
      <c r="T432" t="s">
        <v>63</v>
      </c>
      <c r="U432" t="s">
        <v>63</v>
      </c>
      <c r="V432">
        <v>2026</v>
      </c>
      <c r="W432">
        <v>2</v>
      </c>
      <c r="X432" t="s">
        <v>1419</v>
      </c>
      <c r="Y432" s="6">
        <v>46054</v>
      </c>
      <c r="Z432" t="s">
        <v>1418</v>
      </c>
      <c r="AA432" t="s">
        <v>63</v>
      </c>
      <c r="AB432" t="s">
        <v>63</v>
      </c>
      <c r="AC432" t="s">
        <v>23</v>
      </c>
      <c r="AD432">
        <v>1</v>
      </c>
      <c r="AE432">
        <v>0</v>
      </c>
      <c r="AF432">
        <v>1</v>
      </c>
      <c r="AG432">
        <v>1</v>
      </c>
      <c r="AH432">
        <v>0</v>
      </c>
      <c r="AI432">
        <v>1</v>
      </c>
      <c r="AJ432">
        <v>1</v>
      </c>
    </row>
    <row r="433" spans="1:36">
      <c r="A433" t="s">
        <v>555</v>
      </c>
      <c r="B433">
        <v>22.35</v>
      </c>
      <c r="C433" s="7">
        <v>46176.734722222223</v>
      </c>
      <c r="D433" s="7">
        <v>46177.665950057868</v>
      </c>
      <c r="E433" t="s">
        <v>23</v>
      </c>
      <c r="F433" t="s">
        <v>50</v>
      </c>
      <c r="G433" t="s">
        <v>51</v>
      </c>
      <c r="H433" t="s">
        <v>26</v>
      </c>
      <c r="I433" t="s">
        <v>42</v>
      </c>
      <c r="J433" t="s">
        <v>36</v>
      </c>
      <c r="K433" t="s">
        <v>37</v>
      </c>
      <c r="L433" t="s">
        <v>85</v>
      </c>
      <c r="M433">
        <v>58</v>
      </c>
      <c r="N433">
        <v>4</v>
      </c>
      <c r="O433">
        <v>0</v>
      </c>
      <c r="P433">
        <v>3</v>
      </c>
      <c r="Q433" t="s">
        <v>31</v>
      </c>
      <c r="R433">
        <v>120</v>
      </c>
      <c r="S433">
        <v>24</v>
      </c>
      <c r="T433" t="s">
        <v>63</v>
      </c>
      <c r="U433" t="s">
        <v>63</v>
      </c>
      <c r="V433">
        <v>2026</v>
      </c>
      <c r="W433">
        <v>6</v>
      </c>
      <c r="X433" t="s">
        <v>1421</v>
      </c>
      <c r="Y433" s="6">
        <v>46174</v>
      </c>
      <c r="Z433" t="s">
        <v>1413</v>
      </c>
      <c r="AA433" t="s">
        <v>31</v>
      </c>
      <c r="AB433" t="s">
        <v>63</v>
      </c>
      <c r="AC433" t="s">
        <v>23</v>
      </c>
      <c r="AD433">
        <v>1</v>
      </c>
      <c r="AE433">
        <v>0</v>
      </c>
      <c r="AF433">
        <v>1</v>
      </c>
      <c r="AG433">
        <v>0</v>
      </c>
      <c r="AH433">
        <v>0</v>
      </c>
      <c r="AI433">
        <v>1</v>
      </c>
      <c r="AJ433">
        <v>1</v>
      </c>
    </row>
    <row r="434" spans="1:36">
      <c r="A434" t="s">
        <v>556</v>
      </c>
      <c r="B434">
        <v>37.090000000000003</v>
      </c>
      <c r="C434" s="7">
        <v>46177.486805555556</v>
      </c>
      <c r="D434" s="7">
        <v>46179.032200821763</v>
      </c>
      <c r="E434" t="s">
        <v>23</v>
      </c>
      <c r="F434" t="s">
        <v>33</v>
      </c>
      <c r="G434" t="s">
        <v>25</v>
      </c>
      <c r="H434" t="s">
        <v>66</v>
      </c>
      <c r="I434" t="s">
        <v>35</v>
      </c>
      <c r="J434" t="s">
        <v>28</v>
      </c>
      <c r="K434" t="s">
        <v>29</v>
      </c>
      <c r="L434" t="s">
        <v>85</v>
      </c>
      <c r="M434">
        <v>201</v>
      </c>
      <c r="N434">
        <v>3</v>
      </c>
      <c r="O434">
        <v>0</v>
      </c>
      <c r="P434">
        <v>7</v>
      </c>
      <c r="Q434" t="s">
        <v>31</v>
      </c>
      <c r="R434">
        <v>240</v>
      </c>
      <c r="S434">
        <v>48</v>
      </c>
      <c r="T434" t="s">
        <v>63</v>
      </c>
      <c r="U434" t="s">
        <v>63</v>
      </c>
      <c r="V434">
        <v>2026</v>
      </c>
      <c r="W434">
        <v>6</v>
      </c>
      <c r="X434" t="s">
        <v>1421</v>
      </c>
      <c r="Y434" s="6">
        <v>46174</v>
      </c>
      <c r="Z434" t="s">
        <v>1418</v>
      </c>
      <c r="AA434" t="s">
        <v>31</v>
      </c>
      <c r="AB434" t="s">
        <v>63</v>
      </c>
      <c r="AC434" t="s">
        <v>23</v>
      </c>
      <c r="AD434">
        <v>1</v>
      </c>
      <c r="AE434">
        <v>0</v>
      </c>
      <c r="AF434">
        <v>1</v>
      </c>
      <c r="AG434">
        <v>0</v>
      </c>
      <c r="AH434">
        <v>0</v>
      </c>
      <c r="AI434">
        <v>1</v>
      </c>
      <c r="AJ434">
        <v>1</v>
      </c>
    </row>
    <row r="435" spans="1:36">
      <c r="A435" t="s">
        <v>557</v>
      </c>
      <c r="B435">
        <v>31.69</v>
      </c>
      <c r="C435" s="7">
        <v>46073.627083333333</v>
      </c>
      <c r="D435" s="7">
        <v>46074.947384606479</v>
      </c>
      <c r="E435" t="s">
        <v>23</v>
      </c>
      <c r="F435" t="s">
        <v>50</v>
      </c>
      <c r="G435" t="s">
        <v>51</v>
      </c>
      <c r="H435" t="s">
        <v>26</v>
      </c>
      <c r="I435" t="s">
        <v>42</v>
      </c>
      <c r="J435" t="s">
        <v>28</v>
      </c>
      <c r="K435" t="s">
        <v>37</v>
      </c>
      <c r="L435" t="s">
        <v>30</v>
      </c>
      <c r="M435">
        <v>47</v>
      </c>
      <c r="N435">
        <v>4</v>
      </c>
      <c r="O435">
        <v>1</v>
      </c>
      <c r="P435">
        <v>7</v>
      </c>
      <c r="Q435" t="s">
        <v>31</v>
      </c>
      <c r="R435">
        <v>120</v>
      </c>
      <c r="S435">
        <v>24</v>
      </c>
      <c r="T435" t="s">
        <v>63</v>
      </c>
      <c r="U435" t="s">
        <v>31</v>
      </c>
      <c r="V435">
        <v>2026</v>
      </c>
      <c r="W435">
        <v>2</v>
      </c>
      <c r="X435" t="s">
        <v>1419</v>
      </c>
      <c r="Y435" s="6">
        <v>46054</v>
      </c>
      <c r="Z435" t="s">
        <v>1413</v>
      </c>
      <c r="AA435" t="s">
        <v>63</v>
      </c>
      <c r="AB435" t="s">
        <v>63</v>
      </c>
      <c r="AC435" t="s">
        <v>23</v>
      </c>
      <c r="AD435">
        <v>1</v>
      </c>
      <c r="AE435">
        <v>0</v>
      </c>
      <c r="AF435">
        <v>1</v>
      </c>
      <c r="AG435">
        <v>1</v>
      </c>
      <c r="AH435">
        <v>0</v>
      </c>
      <c r="AI435">
        <v>1</v>
      </c>
      <c r="AJ435">
        <v>0</v>
      </c>
    </row>
    <row r="436" spans="1:36">
      <c r="A436" t="s">
        <v>558</v>
      </c>
      <c r="B436">
        <v>7.36</v>
      </c>
      <c r="C436" s="7">
        <v>46163.018750000003</v>
      </c>
      <c r="D436" s="7">
        <v>46163.325430567129</v>
      </c>
      <c r="E436" t="s">
        <v>23</v>
      </c>
      <c r="F436" t="s">
        <v>1402</v>
      </c>
      <c r="G436" t="s">
        <v>51</v>
      </c>
      <c r="H436" t="s">
        <v>66</v>
      </c>
      <c r="I436" t="s">
        <v>42</v>
      </c>
      <c r="J436" t="s">
        <v>28</v>
      </c>
      <c r="K436" t="s">
        <v>37</v>
      </c>
      <c r="L436" t="s">
        <v>55</v>
      </c>
      <c r="M436">
        <v>47</v>
      </c>
      <c r="N436">
        <v>4</v>
      </c>
      <c r="O436">
        <v>0</v>
      </c>
      <c r="P436">
        <v>7</v>
      </c>
      <c r="Q436" t="s">
        <v>31</v>
      </c>
      <c r="V436">
        <v>2026</v>
      </c>
      <c r="W436">
        <v>5</v>
      </c>
      <c r="X436" t="s">
        <v>1416</v>
      </c>
      <c r="Y436" s="6">
        <v>46143</v>
      </c>
      <c r="Z436" t="s">
        <v>1413</v>
      </c>
      <c r="AA436" t="s">
        <v>31</v>
      </c>
      <c r="AB436" t="s">
        <v>63</v>
      </c>
      <c r="AC436" t="s">
        <v>23</v>
      </c>
      <c r="AD436">
        <v>1</v>
      </c>
      <c r="AE436">
        <v>0</v>
      </c>
      <c r="AF436">
        <v>1</v>
      </c>
      <c r="AG436">
        <v>0</v>
      </c>
      <c r="AH436">
        <v>0</v>
      </c>
    </row>
    <row r="437" spans="1:36">
      <c r="A437" t="s">
        <v>559</v>
      </c>
      <c r="B437">
        <v>95.06</v>
      </c>
      <c r="C437" s="7">
        <v>46124.850694444445</v>
      </c>
      <c r="D437" s="7">
        <v>46128.811341099536</v>
      </c>
      <c r="E437" t="s">
        <v>23</v>
      </c>
      <c r="F437" t="s">
        <v>33</v>
      </c>
      <c r="G437" t="s">
        <v>25</v>
      </c>
      <c r="H437" t="s">
        <v>66</v>
      </c>
      <c r="I437" t="s">
        <v>42</v>
      </c>
      <c r="J437" t="s">
        <v>36</v>
      </c>
      <c r="K437" t="s">
        <v>37</v>
      </c>
      <c r="L437" t="s">
        <v>30</v>
      </c>
      <c r="M437">
        <v>151</v>
      </c>
      <c r="N437">
        <v>4</v>
      </c>
      <c r="O437">
        <v>0</v>
      </c>
      <c r="P437">
        <v>4</v>
      </c>
      <c r="Q437" t="s">
        <v>31</v>
      </c>
      <c r="R437">
        <v>240</v>
      </c>
      <c r="S437">
        <v>48</v>
      </c>
      <c r="T437" t="s">
        <v>63</v>
      </c>
      <c r="U437" t="s">
        <v>31</v>
      </c>
      <c r="V437">
        <v>2026</v>
      </c>
      <c r="W437">
        <v>4</v>
      </c>
      <c r="X437" t="s">
        <v>1412</v>
      </c>
      <c r="Y437" s="6">
        <v>46113</v>
      </c>
      <c r="Z437" t="s">
        <v>1413</v>
      </c>
      <c r="AA437" t="s">
        <v>31</v>
      </c>
      <c r="AB437" t="s">
        <v>63</v>
      </c>
      <c r="AC437" t="s">
        <v>23</v>
      </c>
      <c r="AD437">
        <v>1</v>
      </c>
      <c r="AE437">
        <v>0</v>
      </c>
      <c r="AF437">
        <v>1</v>
      </c>
      <c r="AG437">
        <v>0</v>
      </c>
      <c r="AH437">
        <v>0</v>
      </c>
      <c r="AI437">
        <v>1</v>
      </c>
      <c r="AJ437">
        <v>0</v>
      </c>
    </row>
    <row r="438" spans="1:36">
      <c r="A438" t="s">
        <v>560</v>
      </c>
      <c r="B438">
        <v>16.02</v>
      </c>
      <c r="C438" s="7">
        <v>46040.013194444444</v>
      </c>
      <c r="D438" s="7">
        <v>46040.680624525463</v>
      </c>
      <c r="E438" t="s">
        <v>23</v>
      </c>
      <c r="F438" t="s">
        <v>40</v>
      </c>
      <c r="G438" t="s">
        <v>25</v>
      </c>
      <c r="H438" t="s">
        <v>34</v>
      </c>
      <c r="I438" t="s">
        <v>42</v>
      </c>
      <c r="J438" t="s">
        <v>48</v>
      </c>
      <c r="K438" t="s">
        <v>37</v>
      </c>
      <c r="L438" t="s">
        <v>71</v>
      </c>
      <c r="M438">
        <v>73</v>
      </c>
      <c r="N438">
        <v>4</v>
      </c>
      <c r="O438">
        <v>0</v>
      </c>
      <c r="P438">
        <v>8</v>
      </c>
      <c r="Q438" t="s">
        <v>63</v>
      </c>
      <c r="R438">
        <v>30</v>
      </c>
      <c r="S438">
        <v>8</v>
      </c>
      <c r="T438" t="s">
        <v>31</v>
      </c>
      <c r="U438" t="s">
        <v>31</v>
      </c>
      <c r="V438">
        <v>2026</v>
      </c>
      <c r="W438">
        <v>1</v>
      </c>
      <c r="X438" t="s">
        <v>1414</v>
      </c>
      <c r="Y438" s="6">
        <v>46023</v>
      </c>
      <c r="Z438" t="s">
        <v>1413</v>
      </c>
      <c r="AA438" t="s">
        <v>31</v>
      </c>
      <c r="AB438" t="s">
        <v>63</v>
      </c>
      <c r="AC438" t="s">
        <v>23</v>
      </c>
      <c r="AD438">
        <v>1</v>
      </c>
      <c r="AE438">
        <v>0</v>
      </c>
      <c r="AF438">
        <v>1</v>
      </c>
      <c r="AG438">
        <v>0</v>
      </c>
      <c r="AH438">
        <v>1</v>
      </c>
      <c r="AI438">
        <v>0</v>
      </c>
      <c r="AJ438">
        <v>0</v>
      </c>
    </row>
    <row r="439" spans="1:36">
      <c r="A439" t="s">
        <v>561</v>
      </c>
      <c r="B439">
        <v>38.25</v>
      </c>
      <c r="C439" s="7">
        <v>46167.718055555553</v>
      </c>
      <c r="D439" s="7">
        <v>46169.311722997685</v>
      </c>
      <c r="E439" t="s">
        <v>23</v>
      </c>
      <c r="F439" t="s">
        <v>33</v>
      </c>
      <c r="G439" t="s">
        <v>65</v>
      </c>
      <c r="H439" t="s">
        <v>54</v>
      </c>
      <c r="I439" t="s">
        <v>27</v>
      </c>
      <c r="J439" t="s">
        <v>28</v>
      </c>
      <c r="K439" t="s">
        <v>52</v>
      </c>
      <c r="L439" t="s">
        <v>30</v>
      </c>
      <c r="M439">
        <v>247</v>
      </c>
      <c r="N439">
        <v>3</v>
      </c>
      <c r="O439">
        <v>0</v>
      </c>
      <c r="P439">
        <v>3</v>
      </c>
      <c r="Q439" t="s">
        <v>31</v>
      </c>
      <c r="R439">
        <v>240</v>
      </c>
      <c r="S439">
        <v>48</v>
      </c>
      <c r="T439" t="s">
        <v>31</v>
      </c>
      <c r="U439" t="s">
        <v>63</v>
      </c>
      <c r="V439">
        <v>2026</v>
      </c>
      <c r="W439">
        <v>5</v>
      </c>
      <c r="X439" t="s">
        <v>1416</v>
      </c>
      <c r="Y439" s="6">
        <v>46143</v>
      </c>
      <c r="Z439" t="s">
        <v>1418</v>
      </c>
      <c r="AA439" t="s">
        <v>31</v>
      </c>
      <c r="AB439" t="s">
        <v>63</v>
      </c>
      <c r="AC439" t="s">
        <v>23</v>
      </c>
      <c r="AD439">
        <v>1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1</v>
      </c>
    </row>
    <row r="440" spans="1:36">
      <c r="A440" t="s">
        <v>562</v>
      </c>
      <c r="B440">
        <v>35.799999999999997</v>
      </c>
      <c r="C440" s="7">
        <v>46062.886111111111</v>
      </c>
      <c r="D440" s="7">
        <v>46064.377654027776</v>
      </c>
      <c r="E440" t="s">
        <v>23</v>
      </c>
      <c r="F440" t="s">
        <v>33</v>
      </c>
      <c r="G440" t="s">
        <v>65</v>
      </c>
      <c r="H440" t="s">
        <v>75</v>
      </c>
      <c r="I440" t="s">
        <v>42</v>
      </c>
      <c r="J440" t="s">
        <v>28</v>
      </c>
      <c r="K440" t="s">
        <v>29</v>
      </c>
      <c r="L440" t="s">
        <v>38</v>
      </c>
      <c r="M440">
        <v>216</v>
      </c>
      <c r="N440">
        <v>4</v>
      </c>
      <c r="O440">
        <v>0</v>
      </c>
      <c r="P440">
        <v>7</v>
      </c>
      <c r="Q440" t="s">
        <v>31</v>
      </c>
      <c r="R440">
        <v>240</v>
      </c>
      <c r="S440">
        <v>48</v>
      </c>
      <c r="T440" t="s">
        <v>63</v>
      </c>
      <c r="U440" t="s">
        <v>63</v>
      </c>
      <c r="V440">
        <v>2026</v>
      </c>
      <c r="W440">
        <v>2</v>
      </c>
      <c r="X440" t="s">
        <v>1419</v>
      </c>
      <c r="Y440" s="6">
        <v>46054</v>
      </c>
      <c r="Z440" t="s">
        <v>1413</v>
      </c>
      <c r="AA440" t="s">
        <v>31</v>
      </c>
      <c r="AB440" t="s">
        <v>63</v>
      </c>
      <c r="AC440" t="s">
        <v>23</v>
      </c>
      <c r="AD440">
        <v>1</v>
      </c>
      <c r="AE440">
        <v>0</v>
      </c>
      <c r="AF440">
        <v>1</v>
      </c>
      <c r="AG440">
        <v>0</v>
      </c>
      <c r="AH440">
        <v>0</v>
      </c>
      <c r="AI440">
        <v>1</v>
      </c>
      <c r="AJ440">
        <v>1</v>
      </c>
    </row>
    <row r="441" spans="1:36">
      <c r="A441" t="s">
        <v>563</v>
      </c>
      <c r="B441">
        <v>17.63</v>
      </c>
      <c r="C441" s="7">
        <v>46140.530555555553</v>
      </c>
      <c r="D441" s="7">
        <v>46141.264946053241</v>
      </c>
      <c r="E441" t="s">
        <v>23</v>
      </c>
      <c r="F441" t="s">
        <v>40</v>
      </c>
      <c r="G441" t="s">
        <v>65</v>
      </c>
      <c r="H441" t="s">
        <v>34</v>
      </c>
      <c r="I441" t="s">
        <v>35</v>
      </c>
      <c r="J441" t="s">
        <v>28</v>
      </c>
      <c r="K441" t="s">
        <v>76</v>
      </c>
      <c r="L441" t="s">
        <v>30</v>
      </c>
      <c r="M441">
        <v>49</v>
      </c>
      <c r="N441">
        <v>4</v>
      </c>
      <c r="O441">
        <v>0</v>
      </c>
      <c r="P441">
        <v>3</v>
      </c>
      <c r="Q441" t="s">
        <v>31</v>
      </c>
      <c r="R441">
        <v>30</v>
      </c>
      <c r="S441">
        <v>8</v>
      </c>
      <c r="T441" t="s">
        <v>31</v>
      </c>
      <c r="U441" t="s">
        <v>31</v>
      </c>
      <c r="V441">
        <v>2026</v>
      </c>
      <c r="W441">
        <v>4</v>
      </c>
      <c r="X441" t="s">
        <v>1412</v>
      </c>
      <c r="Y441" s="6">
        <v>46113</v>
      </c>
      <c r="Z441" t="s">
        <v>1413</v>
      </c>
      <c r="AA441" t="s">
        <v>31</v>
      </c>
      <c r="AB441" t="s">
        <v>63</v>
      </c>
      <c r="AC441" t="s">
        <v>23</v>
      </c>
      <c r="AD441">
        <v>1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</row>
    <row r="442" spans="1:36">
      <c r="A442" t="s">
        <v>564</v>
      </c>
      <c r="B442">
        <v>18.190000000000001</v>
      </c>
      <c r="C442" s="7">
        <v>46140.563888888886</v>
      </c>
      <c r="D442" s="7">
        <v>46141.321727708331</v>
      </c>
      <c r="E442" t="s">
        <v>23</v>
      </c>
      <c r="F442" t="s">
        <v>33</v>
      </c>
      <c r="G442" t="s">
        <v>51</v>
      </c>
      <c r="H442" t="s">
        <v>34</v>
      </c>
      <c r="I442" t="s">
        <v>42</v>
      </c>
      <c r="J442" t="s">
        <v>43</v>
      </c>
      <c r="K442" t="s">
        <v>52</v>
      </c>
      <c r="L442" t="s">
        <v>101</v>
      </c>
      <c r="M442">
        <v>47</v>
      </c>
      <c r="N442">
        <v>4</v>
      </c>
      <c r="O442">
        <v>1</v>
      </c>
      <c r="P442">
        <v>8</v>
      </c>
      <c r="Q442" t="s">
        <v>31</v>
      </c>
      <c r="R442">
        <v>240</v>
      </c>
      <c r="S442">
        <v>48</v>
      </c>
      <c r="T442" t="s">
        <v>63</v>
      </c>
      <c r="U442" t="s">
        <v>63</v>
      </c>
      <c r="V442">
        <v>2026</v>
      </c>
      <c r="W442">
        <v>4</v>
      </c>
      <c r="X442" t="s">
        <v>1412</v>
      </c>
      <c r="Y442" s="6">
        <v>46113</v>
      </c>
      <c r="Z442" t="s">
        <v>1413</v>
      </c>
      <c r="AA442" t="s">
        <v>63</v>
      </c>
      <c r="AB442" t="s">
        <v>63</v>
      </c>
      <c r="AC442" t="s">
        <v>23</v>
      </c>
      <c r="AD442">
        <v>1</v>
      </c>
      <c r="AE442">
        <v>0</v>
      </c>
      <c r="AF442">
        <v>1</v>
      </c>
      <c r="AG442">
        <v>1</v>
      </c>
      <c r="AH442">
        <v>0</v>
      </c>
      <c r="AI442">
        <v>1</v>
      </c>
      <c r="AJ442">
        <v>1</v>
      </c>
    </row>
    <row r="443" spans="1:36">
      <c r="A443" t="s">
        <v>565</v>
      </c>
      <c r="B443">
        <v>28.07</v>
      </c>
      <c r="C443" s="7">
        <v>46197.00277777778</v>
      </c>
      <c r="D443" s="7">
        <v>46198.172292523152</v>
      </c>
      <c r="E443" t="s">
        <v>23</v>
      </c>
      <c r="F443" t="s">
        <v>50</v>
      </c>
      <c r="G443" t="s">
        <v>25</v>
      </c>
      <c r="H443" t="s">
        <v>26</v>
      </c>
      <c r="I443" t="s">
        <v>27</v>
      </c>
      <c r="J443" t="s">
        <v>28</v>
      </c>
      <c r="K443" t="s">
        <v>58</v>
      </c>
      <c r="L443" t="s">
        <v>55</v>
      </c>
      <c r="M443">
        <v>33</v>
      </c>
      <c r="N443">
        <v>4</v>
      </c>
      <c r="O443">
        <v>0</v>
      </c>
      <c r="P443">
        <v>6</v>
      </c>
      <c r="Q443" t="s">
        <v>31</v>
      </c>
      <c r="R443">
        <v>120</v>
      </c>
      <c r="S443">
        <v>24</v>
      </c>
      <c r="T443" t="s">
        <v>63</v>
      </c>
      <c r="U443" t="s">
        <v>31</v>
      </c>
      <c r="V443">
        <v>2026</v>
      </c>
      <c r="W443">
        <v>6</v>
      </c>
      <c r="X443" t="s">
        <v>1421</v>
      </c>
      <c r="Y443" s="6">
        <v>46174</v>
      </c>
      <c r="Z443" t="s">
        <v>1413</v>
      </c>
      <c r="AA443" t="s">
        <v>31</v>
      </c>
      <c r="AB443" t="s">
        <v>63</v>
      </c>
      <c r="AC443" t="s">
        <v>23</v>
      </c>
      <c r="AD443">
        <v>1</v>
      </c>
      <c r="AE443">
        <v>0</v>
      </c>
      <c r="AF443">
        <v>1</v>
      </c>
      <c r="AG443">
        <v>0</v>
      </c>
      <c r="AH443">
        <v>0</v>
      </c>
      <c r="AI443">
        <v>1</v>
      </c>
      <c r="AJ443">
        <v>0</v>
      </c>
    </row>
    <row r="444" spans="1:36">
      <c r="A444" t="s">
        <v>566</v>
      </c>
      <c r="B444">
        <v>27.11</v>
      </c>
      <c r="C444" s="7">
        <v>46163.748611111114</v>
      </c>
      <c r="D444" s="7">
        <v>46164.87806239583</v>
      </c>
      <c r="E444" t="s">
        <v>23</v>
      </c>
      <c r="F444" t="s">
        <v>40</v>
      </c>
      <c r="G444" t="s">
        <v>51</v>
      </c>
      <c r="H444" t="s">
        <v>54</v>
      </c>
      <c r="I444" t="s">
        <v>35</v>
      </c>
      <c r="J444" t="s">
        <v>48</v>
      </c>
      <c r="K444" t="s">
        <v>37</v>
      </c>
      <c r="L444" t="s">
        <v>62</v>
      </c>
      <c r="M444">
        <v>14</v>
      </c>
      <c r="N444">
        <v>4</v>
      </c>
      <c r="O444">
        <v>0</v>
      </c>
      <c r="P444">
        <v>2</v>
      </c>
      <c r="Q444" t="s">
        <v>31</v>
      </c>
      <c r="R444">
        <v>30</v>
      </c>
      <c r="S444">
        <v>8</v>
      </c>
      <c r="T444" t="s">
        <v>63</v>
      </c>
      <c r="U444" t="s">
        <v>31</v>
      </c>
      <c r="V444">
        <v>2026</v>
      </c>
      <c r="W444">
        <v>5</v>
      </c>
      <c r="X444" t="s">
        <v>1416</v>
      </c>
      <c r="Y444" s="6">
        <v>46143</v>
      </c>
      <c r="Z444" t="s">
        <v>1413</v>
      </c>
      <c r="AA444" t="s">
        <v>31</v>
      </c>
      <c r="AB444" t="s">
        <v>63</v>
      </c>
      <c r="AC444" t="s">
        <v>23</v>
      </c>
      <c r="AD444">
        <v>1</v>
      </c>
      <c r="AE444">
        <v>0</v>
      </c>
      <c r="AF444">
        <v>1</v>
      </c>
      <c r="AG444">
        <v>0</v>
      </c>
      <c r="AH444">
        <v>0</v>
      </c>
      <c r="AI444">
        <v>1</v>
      </c>
      <c r="AJ444">
        <v>0</v>
      </c>
    </row>
    <row r="445" spans="1:36">
      <c r="A445" t="s">
        <v>567</v>
      </c>
      <c r="B445">
        <v>124.62</v>
      </c>
      <c r="C445" s="7">
        <v>46069.584722222222</v>
      </c>
      <c r="D445" s="7">
        <v>46074.777427939815</v>
      </c>
      <c r="E445" t="s">
        <v>23</v>
      </c>
      <c r="F445" t="s">
        <v>33</v>
      </c>
      <c r="G445" t="s">
        <v>51</v>
      </c>
      <c r="H445" t="s">
        <v>34</v>
      </c>
      <c r="I445" t="s">
        <v>35</v>
      </c>
      <c r="J445" t="s">
        <v>36</v>
      </c>
      <c r="K445" t="s">
        <v>37</v>
      </c>
      <c r="L445" t="s">
        <v>71</v>
      </c>
      <c r="M445">
        <v>163</v>
      </c>
      <c r="N445">
        <v>4</v>
      </c>
      <c r="O445">
        <v>0</v>
      </c>
      <c r="P445">
        <v>4</v>
      </c>
      <c r="Q445" t="s">
        <v>31</v>
      </c>
      <c r="R445">
        <v>240</v>
      </c>
      <c r="S445">
        <v>48</v>
      </c>
      <c r="T445" t="s">
        <v>63</v>
      </c>
      <c r="U445" t="s">
        <v>31</v>
      </c>
      <c r="V445">
        <v>2026</v>
      </c>
      <c r="W445">
        <v>2</v>
      </c>
      <c r="X445" t="s">
        <v>1419</v>
      </c>
      <c r="Y445" s="6">
        <v>46054</v>
      </c>
      <c r="Z445" t="s">
        <v>1413</v>
      </c>
      <c r="AA445" t="s">
        <v>31</v>
      </c>
      <c r="AB445" t="s">
        <v>63</v>
      </c>
      <c r="AC445" t="s">
        <v>23</v>
      </c>
      <c r="AD445">
        <v>1</v>
      </c>
      <c r="AE445">
        <v>0</v>
      </c>
      <c r="AF445">
        <v>1</v>
      </c>
      <c r="AG445">
        <v>0</v>
      </c>
      <c r="AH445">
        <v>0</v>
      </c>
      <c r="AI445">
        <v>1</v>
      </c>
      <c r="AJ445">
        <v>0</v>
      </c>
    </row>
    <row r="446" spans="1:36">
      <c r="A446" t="s">
        <v>568</v>
      </c>
      <c r="B446">
        <v>44.85</v>
      </c>
      <c r="C446" s="7">
        <v>46040.008333333331</v>
      </c>
      <c r="D446" s="7">
        <v>46041.877245914351</v>
      </c>
      <c r="E446" t="s">
        <v>23</v>
      </c>
      <c r="F446" t="s">
        <v>40</v>
      </c>
      <c r="G446" t="s">
        <v>65</v>
      </c>
      <c r="H446" t="s">
        <v>26</v>
      </c>
      <c r="I446" t="s">
        <v>35</v>
      </c>
      <c r="J446" t="s">
        <v>43</v>
      </c>
      <c r="K446" t="s">
        <v>37</v>
      </c>
      <c r="L446" t="s">
        <v>71</v>
      </c>
      <c r="M446">
        <v>31</v>
      </c>
      <c r="N446">
        <v>4</v>
      </c>
      <c r="O446">
        <v>0</v>
      </c>
      <c r="P446">
        <v>10</v>
      </c>
      <c r="Q446" t="s">
        <v>63</v>
      </c>
      <c r="R446">
        <v>30</v>
      </c>
      <c r="S446">
        <v>8</v>
      </c>
      <c r="T446" t="s">
        <v>31</v>
      </c>
      <c r="U446" t="s">
        <v>31</v>
      </c>
      <c r="V446">
        <v>2026</v>
      </c>
      <c r="W446">
        <v>1</v>
      </c>
      <c r="X446" t="s">
        <v>1414</v>
      </c>
      <c r="Y446" s="6">
        <v>46023</v>
      </c>
      <c r="Z446" t="s">
        <v>1413</v>
      </c>
      <c r="AA446" t="s">
        <v>31</v>
      </c>
      <c r="AB446" t="s">
        <v>63</v>
      </c>
      <c r="AC446" t="s">
        <v>23</v>
      </c>
      <c r="AD446">
        <v>1</v>
      </c>
      <c r="AE446">
        <v>0</v>
      </c>
      <c r="AF446">
        <v>1</v>
      </c>
      <c r="AG446">
        <v>0</v>
      </c>
      <c r="AH446">
        <v>1</v>
      </c>
      <c r="AI446">
        <v>0</v>
      </c>
      <c r="AJ446">
        <v>0</v>
      </c>
    </row>
    <row r="447" spans="1:36">
      <c r="A447" t="s">
        <v>569</v>
      </c>
      <c r="B447">
        <v>4.05</v>
      </c>
      <c r="C447" s="7">
        <v>46053.738194444442</v>
      </c>
      <c r="D447" s="7">
        <v>46053.907071296293</v>
      </c>
      <c r="E447" t="s">
        <v>23</v>
      </c>
      <c r="F447" t="s">
        <v>40</v>
      </c>
      <c r="G447" t="s">
        <v>51</v>
      </c>
      <c r="H447" t="s">
        <v>26</v>
      </c>
      <c r="I447" t="s">
        <v>27</v>
      </c>
      <c r="J447" t="s">
        <v>48</v>
      </c>
      <c r="K447" t="s">
        <v>67</v>
      </c>
      <c r="L447" t="s">
        <v>30</v>
      </c>
      <c r="M447">
        <v>103</v>
      </c>
      <c r="O447">
        <v>0</v>
      </c>
      <c r="P447">
        <v>6</v>
      </c>
      <c r="Q447" t="s">
        <v>31</v>
      </c>
      <c r="R447">
        <v>30</v>
      </c>
      <c r="S447">
        <v>8</v>
      </c>
      <c r="T447" t="s">
        <v>31</v>
      </c>
      <c r="U447" t="s">
        <v>63</v>
      </c>
      <c r="V447">
        <v>2026</v>
      </c>
      <c r="W447">
        <v>1</v>
      </c>
      <c r="X447" t="s">
        <v>1414</v>
      </c>
      <c r="Y447" s="6">
        <v>46023</v>
      </c>
      <c r="Z447" t="s">
        <v>1420</v>
      </c>
      <c r="AA447" t="s">
        <v>31</v>
      </c>
      <c r="AB447" t="s">
        <v>31</v>
      </c>
      <c r="AC447" t="s">
        <v>23</v>
      </c>
      <c r="AD447">
        <v>1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1</v>
      </c>
    </row>
    <row r="448" spans="1:36">
      <c r="A448" t="s">
        <v>571</v>
      </c>
      <c r="B448">
        <v>4.66</v>
      </c>
      <c r="C448" s="7">
        <v>46152.671527777777</v>
      </c>
      <c r="D448" s="7">
        <v>46152.865729745368</v>
      </c>
      <c r="E448" t="s">
        <v>23</v>
      </c>
      <c r="F448" t="s">
        <v>40</v>
      </c>
      <c r="G448" t="s">
        <v>41</v>
      </c>
      <c r="H448" t="s">
        <v>54</v>
      </c>
      <c r="I448" t="s">
        <v>35</v>
      </c>
      <c r="J448" t="s">
        <v>28</v>
      </c>
      <c r="K448" t="s">
        <v>29</v>
      </c>
      <c r="L448" t="s">
        <v>68</v>
      </c>
      <c r="M448">
        <v>21</v>
      </c>
      <c r="N448">
        <v>5</v>
      </c>
      <c r="O448">
        <v>0</v>
      </c>
      <c r="P448">
        <v>3</v>
      </c>
      <c r="Q448" t="s">
        <v>31</v>
      </c>
      <c r="R448">
        <v>30</v>
      </c>
      <c r="S448">
        <v>8</v>
      </c>
      <c r="T448" t="s">
        <v>63</v>
      </c>
      <c r="U448" t="s">
        <v>63</v>
      </c>
      <c r="V448">
        <v>2026</v>
      </c>
      <c r="W448">
        <v>5</v>
      </c>
      <c r="X448" t="s">
        <v>1416</v>
      </c>
      <c r="Y448" s="6">
        <v>46143</v>
      </c>
      <c r="Z448" t="s">
        <v>1413</v>
      </c>
      <c r="AA448" t="s">
        <v>31</v>
      </c>
      <c r="AB448" t="s">
        <v>63</v>
      </c>
      <c r="AC448" t="s">
        <v>23</v>
      </c>
      <c r="AD448">
        <v>1</v>
      </c>
      <c r="AE448">
        <v>0</v>
      </c>
      <c r="AF448">
        <v>1</v>
      </c>
      <c r="AG448">
        <v>0</v>
      </c>
      <c r="AH448">
        <v>0</v>
      </c>
      <c r="AI448">
        <v>1</v>
      </c>
      <c r="AJ448">
        <v>1</v>
      </c>
    </row>
    <row r="449" spans="1:36">
      <c r="A449" t="s">
        <v>572</v>
      </c>
      <c r="B449">
        <v>7.79</v>
      </c>
      <c r="C449" s="7">
        <v>46119.555555555555</v>
      </c>
      <c r="D449" s="7">
        <v>46119.880127847224</v>
      </c>
      <c r="E449" t="s">
        <v>23</v>
      </c>
      <c r="F449" t="s">
        <v>40</v>
      </c>
      <c r="G449" t="s">
        <v>41</v>
      </c>
      <c r="H449" t="s">
        <v>54</v>
      </c>
      <c r="I449" t="s">
        <v>27</v>
      </c>
      <c r="J449" t="s">
        <v>28</v>
      </c>
      <c r="K449" t="s">
        <v>52</v>
      </c>
      <c r="L449" t="s">
        <v>55</v>
      </c>
      <c r="M449">
        <v>26</v>
      </c>
      <c r="N449">
        <v>4</v>
      </c>
      <c r="O449">
        <v>0</v>
      </c>
      <c r="P449">
        <v>6</v>
      </c>
      <c r="Q449" t="s">
        <v>31</v>
      </c>
      <c r="R449">
        <v>30</v>
      </c>
      <c r="S449">
        <v>8</v>
      </c>
      <c r="T449" t="s">
        <v>63</v>
      </c>
      <c r="U449" t="s">
        <v>63</v>
      </c>
      <c r="V449">
        <v>2026</v>
      </c>
      <c r="W449">
        <v>4</v>
      </c>
      <c r="X449" t="s">
        <v>1412</v>
      </c>
      <c r="Y449" s="6">
        <v>46113</v>
      </c>
      <c r="Z449" t="s">
        <v>1413</v>
      </c>
      <c r="AA449" t="s">
        <v>31</v>
      </c>
      <c r="AB449" t="s">
        <v>63</v>
      </c>
      <c r="AC449" t="s">
        <v>23</v>
      </c>
      <c r="AD449">
        <v>1</v>
      </c>
      <c r="AE449">
        <v>0</v>
      </c>
      <c r="AF449">
        <v>1</v>
      </c>
      <c r="AG449">
        <v>0</v>
      </c>
      <c r="AH449">
        <v>0</v>
      </c>
      <c r="AI449">
        <v>1</v>
      </c>
      <c r="AJ449">
        <v>1</v>
      </c>
    </row>
    <row r="450" spans="1:36">
      <c r="A450" t="s">
        <v>573</v>
      </c>
      <c r="B450">
        <v>7.49</v>
      </c>
      <c r="C450" s="7">
        <v>46121.240277777775</v>
      </c>
      <c r="D450" s="7">
        <v>46121.552258541669</v>
      </c>
      <c r="E450" t="s">
        <v>23</v>
      </c>
      <c r="F450" t="s">
        <v>40</v>
      </c>
      <c r="G450" t="s">
        <v>25</v>
      </c>
      <c r="H450" t="s">
        <v>34</v>
      </c>
      <c r="I450" t="s">
        <v>35</v>
      </c>
      <c r="J450" t="s">
        <v>28</v>
      </c>
      <c r="K450" t="s">
        <v>52</v>
      </c>
      <c r="L450" t="s">
        <v>55</v>
      </c>
      <c r="M450">
        <v>82</v>
      </c>
      <c r="N450">
        <v>4</v>
      </c>
      <c r="O450">
        <v>2</v>
      </c>
      <c r="P450">
        <v>9</v>
      </c>
      <c r="Q450" t="s">
        <v>31</v>
      </c>
      <c r="R450">
        <v>30</v>
      </c>
      <c r="S450">
        <v>8</v>
      </c>
      <c r="T450" t="s">
        <v>31</v>
      </c>
      <c r="U450" t="s">
        <v>63</v>
      </c>
      <c r="V450">
        <v>2026</v>
      </c>
      <c r="W450">
        <v>4</v>
      </c>
      <c r="X450" t="s">
        <v>1412</v>
      </c>
      <c r="Y450" s="6">
        <v>46113</v>
      </c>
      <c r="Z450" t="s">
        <v>1413</v>
      </c>
      <c r="AA450" t="s">
        <v>63</v>
      </c>
      <c r="AB450" t="s">
        <v>63</v>
      </c>
      <c r="AC450" t="s">
        <v>23</v>
      </c>
      <c r="AD450">
        <v>1</v>
      </c>
      <c r="AE450">
        <v>0</v>
      </c>
      <c r="AF450">
        <v>1</v>
      </c>
      <c r="AG450">
        <v>1</v>
      </c>
      <c r="AH450">
        <v>0</v>
      </c>
      <c r="AI450">
        <v>0</v>
      </c>
      <c r="AJ450">
        <v>1</v>
      </c>
    </row>
    <row r="451" spans="1:36">
      <c r="A451" t="s">
        <v>574</v>
      </c>
      <c r="B451">
        <v>24.65</v>
      </c>
      <c r="C451" s="7">
        <v>46104.995138888888</v>
      </c>
      <c r="D451" s="7">
        <v>46106.022222222222</v>
      </c>
      <c r="E451" t="s">
        <v>23</v>
      </c>
      <c r="F451" t="s">
        <v>33</v>
      </c>
      <c r="G451" t="s">
        <v>65</v>
      </c>
      <c r="H451" t="s">
        <v>26</v>
      </c>
      <c r="I451" t="s">
        <v>27</v>
      </c>
      <c r="J451" t="s">
        <v>48</v>
      </c>
      <c r="K451" t="s">
        <v>29</v>
      </c>
      <c r="L451" t="s">
        <v>62</v>
      </c>
      <c r="M451">
        <v>116</v>
      </c>
      <c r="N451">
        <v>4</v>
      </c>
      <c r="O451">
        <v>1</v>
      </c>
      <c r="P451">
        <v>5</v>
      </c>
      <c r="Q451" t="s">
        <v>31</v>
      </c>
      <c r="R451">
        <v>240</v>
      </c>
      <c r="S451">
        <v>48</v>
      </c>
      <c r="T451" t="s">
        <v>63</v>
      </c>
      <c r="U451" t="s">
        <v>63</v>
      </c>
      <c r="V451">
        <v>2026</v>
      </c>
      <c r="W451">
        <v>3</v>
      </c>
      <c r="X451" t="s">
        <v>1423</v>
      </c>
      <c r="Y451" s="6">
        <v>46082</v>
      </c>
      <c r="Z451" t="s">
        <v>1413</v>
      </c>
      <c r="AA451" t="s">
        <v>63</v>
      </c>
      <c r="AB451" t="s">
        <v>63</v>
      </c>
      <c r="AC451" t="s">
        <v>23</v>
      </c>
      <c r="AD451">
        <v>1</v>
      </c>
      <c r="AE451">
        <v>0</v>
      </c>
      <c r="AF451">
        <v>1</v>
      </c>
      <c r="AG451">
        <v>1</v>
      </c>
      <c r="AH451">
        <v>0</v>
      </c>
      <c r="AI451">
        <v>1</v>
      </c>
      <c r="AJ451">
        <v>1</v>
      </c>
    </row>
    <row r="452" spans="1:36">
      <c r="A452" t="s">
        <v>576</v>
      </c>
      <c r="B452">
        <v>32.33</v>
      </c>
      <c r="C452" s="7">
        <v>46033.222916666666</v>
      </c>
      <c r="D452" s="7">
        <v>46034.570088541666</v>
      </c>
      <c r="E452" t="s">
        <v>23</v>
      </c>
      <c r="F452" t="s">
        <v>50</v>
      </c>
      <c r="G452" t="s">
        <v>41</v>
      </c>
      <c r="H452" t="s">
        <v>26</v>
      </c>
      <c r="I452" t="s">
        <v>35</v>
      </c>
      <c r="J452" t="s">
        <v>28</v>
      </c>
      <c r="K452" t="s">
        <v>37</v>
      </c>
      <c r="L452" t="s">
        <v>85</v>
      </c>
      <c r="M452">
        <v>50</v>
      </c>
      <c r="N452">
        <v>4</v>
      </c>
      <c r="O452">
        <v>2</v>
      </c>
      <c r="P452">
        <v>8</v>
      </c>
      <c r="Q452" t="s">
        <v>31</v>
      </c>
      <c r="R452">
        <v>120</v>
      </c>
      <c r="S452">
        <v>24</v>
      </c>
      <c r="T452" t="s">
        <v>63</v>
      </c>
      <c r="U452" t="s">
        <v>31</v>
      </c>
      <c r="V452">
        <v>2026</v>
      </c>
      <c r="W452">
        <v>1</v>
      </c>
      <c r="X452" t="s">
        <v>1414</v>
      </c>
      <c r="Y452" s="6">
        <v>46023</v>
      </c>
      <c r="Z452" t="s">
        <v>1413</v>
      </c>
      <c r="AA452" t="s">
        <v>63</v>
      </c>
      <c r="AB452" t="s">
        <v>63</v>
      </c>
      <c r="AC452" t="s">
        <v>23</v>
      </c>
      <c r="AD452">
        <v>1</v>
      </c>
      <c r="AE452">
        <v>0</v>
      </c>
      <c r="AF452">
        <v>1</v>
      </c>
      <c r="AG452">
        <v>1</v>
      </c>
      <c r="AH452">
        <v>0</v>
      </c>
      <c r="AI452">
        <v>1</v>
      </c>
      <c r="AJ452">
        <v>0</v>
      </c>
    </row>
    <row r="453" spans="1:36">
      <c r="A453" t="s">
        <v>577</v>
      </c>
      <c r="B453">
        <v>8.94</v>
      </c>
      <c r="C453" s="7">
        <v>46213.404166666667</v>
      </c>
      <c r="D453" s="7">
        <v>46213.776499745371</v>
      </c>
      <c r="E453" t="s">
        <v>23</v>
      </c>
      <c r="F453" t="s">
        <v>50</v>
      </c>
      <c r="G453" t="s">
        <v>51</v>
      </c>
      <c r="H453" t="s">
        <v>66</v>
      </c>
      <c r="I453" t="s">
        <v>35</v>
      </c>
      <c r="J453" t="s">
        <v>43</v>
      </c>
      <c r="K453" t="s">
        <v>52</v>
      </c>
      <c r="L453" t="s">
        <v>71</v>
      </c>
      <c r="M453">
        <v>113</v>
      </c>
      <c r="N453">
        <v>4</v>
      </c>
      <c r="O453">
        <v>0</v>
      </c>
      <c r="P453">
        <v>2</v>
      </c>
      <c r="Q453" t="s">
        <v>31</v>
      </c>
      <c r="R453">
        <v>120</v>
      </c>
      <c r="S453">
        <v>24</v>
      </c>
      <c r="T453" t="s">
        <v>63</v>
      </c>
      <c r="U453" t="s">
        <v>63</v>
      </c>
      <c r="V453">
        <v>2026</v>
      </c>
      <c r="W453">
        <v>7</v>
      </c>
      <c r="X453" t="s">
        <v>1422</v>
      </c>
      <c r="Y453" s="6">
        <v>46204</v>
      </c>
      <c r="Z453" t="s">
        <v>1413</v>
      </c>
      <c r="AA453" t="s">
        <v>31</v>
      </c>
      <c r="AB453" t="s">
        <v>63</v>
      </c>
      <c r="AC453" t="s">
        <v>23</v>
      </c>
      <c r="AD453">
        <v>1</v>
      </c>
      <c r="AE453">
        <v>0</v>
      </c>
      <c r="AF453">
        <v>1</v>
      </c>
      <c r="AG453">
        <v>0</v>
      </c>
      <c r="AH453">
        <v>0</v>
      </c>
      <c r="AI453">
        <v>1</v>
      </c>
      <c r="AJ453">
        <v>1</v>
      </c>
    </row>
    <row r="454" spans="1:36">
      <c r="A454" t="s">
        <v>579</v>
      </c>
      <c r="B454">
        <v>31.75</v>
      </c>
      <c r="C454" s="7">
        <v>46143.043055555558</v>
      </c>
      <c r="D454" s="7">
        <v>46144.365856851851</v>
      </c>
      <c r="E454" t="s">
        <v>23</v>
      </c>
      <c r="F454" t="s">
        <v>50</v>
      </c>
      <c r="G454" t="s">
        <v>51</v>
      </c>
      <c r="H454" t="s">
        <v>66</v>
      </c>
      <c r="I454" t="s">
        <v>42</v>
      </c>
      <c r="J454" t="s">
        <v>36</v>
      </c>
      <c r="K454" t="s">
        <v>58</v>
      </c>
      <c r="L454" t="s">
        <v>62</v>
      </c>
      <c r="M454">
        <v>51</v>
      </c>
      <c r="N454">
        <v>4</v>
      </c>
      <c r="O454">
        <v>0</v>
      </c>
      <c r="P454">
        <v>4</v>
      </c>
      <c r="Q454" t="s">
        <v>31</v>
      </c>
      <c r="R454">
        <v>120</v>
      </c>
      <c r="S454">
        <v>24</v>
      </c>
      <c r="T454" t="s">
        <v>63</v>
      </c>
      <c r="U454" t="s">
        <v>31</v>
      </c>
      <c r="V454">
        <v>2026</v>
      </c>
      <c r="W454">
        <v>5</v>
      </c>
      <c r="X454" t="s">
        <v>1416</v>
      </c>
      <c r="Y454" s="6">
        <v>46143</v>
      </c>
      <c r="Z454" t="s">
        <v>1413</v>
      </c>
      <c r="AA454" t="s">
        <v>31</v>
      </c>
      <c r="AB454" t="s">
        <v>63</v>
      </c>
      <c r="AC454" t="s">
        <v>23</v>
      </c>
      <c r="AD454">
        <v>1</v>
      </c>
      <c r="AE454">
        <v>0</v>
      </c>
      <c r="AF454">
        <v>1</v>
      </c>
      <c r="AG454">
        <v>0</v>
      </c>
      <c r="AH454">
        <v>0</v>
      </c>
      <c r="AI454">
        <v>1</v>
      </c>
      <c r="AJ454">
        <v>0</v>
      </c>
    </row>
    <row r="455" spans="1:36">
      <c r="A455" t="s">
        <v>580</v>
      </c>
      <c r="B455">
        <v>28.58</v>
      </c>
      <c r="C455" s="7">
        <v>46038.486111111109</v>
      </c>
      <c r="D455" s="7">
        <v>46039.676754143518</v>
      </c>
      <c r="E455" t="s">
        <v>23</v>
      </c>
      <c r="F455" t="s">
        <v>50</v>
      </c>
      <c r="G455" t="s">
        <v>25</v>
      </c>
      <c r="H455" t="s">
        <v>26</v>
      </c>
      <c r="I455" t="s">
        <v>35</v>
      </c>
      <c r="J455" t="s">
        <v>43</v>
      </c>
      <c r="K455" t="s">
        <v>52</v>
      </c>
      <c r="L455" t="s">
        <v>38</v>
      </c>
      <c r="M455">
        <v>71</v>
      </c>
      <c r="N455">
        <v>4</v>
      </c>
      <c r="O455">
        <v>1</v>
      </c>
      <c r="P455">
        <v>5</v>
      </c>
      <c r="Q455" t="s">
        <v>31</v>
      </c>
      <c r="R455">
        <v>120</v>
      </c>
      <c r="S455">
        <v>24</v>
      </c>
      <c r="T455" t="s">
        <v>63</v>
      </c>
      <c r="U455" t="s">
        <v>31</v>
      </c>
      <c r="V455">
        <v>2026</v>
      </c>
      <c r="W455">
        <v>1</v>
      </c>
      <c r="X455" t="s">
        <v>1414</v>
      </c>
      <c r="Y455" s="6">
        <v>46023</v>
      </c>
      <c r="Z455" t="s">
        <v>1413</v>
      </c>
      <c r="AA455" t="s">
        <v>63</v>
      </c>
      <c r="AB455" t="s">
        <v>63</v>
      </c>
      <c r="AC455" t="s">
        <v>23</v>
      </c>
      <c r="AD455">
        <v>1</v>
      </c>
      <c r="AE455">
        <v>0</v>
      </c>
      <c r="AF455">
        <v>1</v>
      </c>
      <c r="AG455">
        <v>1</v>
      </c>
      <c r="AH455">
        <v>0</v>
      </c>
      <c r="AI455">
        <v>1</v>
      </c>
      <c r="AJ455">
        <v>0</v>
      </c>
    </row>
    <row r="456" spans="1:36">
      <c r="A456" t="s">
        <v>581</v>
      </c>
      <c r="B456">
        <v>10.53</v>
      </c>
      <c r="C456" s="7">
        <v>46092.388194444444</v>
      </c>
      <c r="D456" s="7">
        <v>46092.827100925926</v>
      </c>
      <c r="E456" t="s">
        <v>23</v>
      </c>
      <c r="F456" t="s">
        <v>40</v>
      </c>
      <c r="G456" t="s">
        <v>51</v>
      </c>
      <c r="H456" t="s">
        <v>26</v>
      </c>
      <c r="I456" t="s">
        <v>35</v>
      </c>
      <c r="J456" t="s">
        <v>28</v>
      </c>
      <c r="K456" t="s">
        <v>52</v>
      </c>
      <c r="L456" t="s">
        <v>101</v>
      </c>
      <c r="M456">
        <v>15</v>
      </c>
      <c r="N456">
        <v>4</v>
      </c>
      <c r="O456">
        <v>0</v>
      </c>
      <c r="P456">
        <v>3</v>
      </c>
      <c r="Q456" t="s">
        <v>31</v>
      </c>
      <c r="R456">
        <v>30</v>
      </c>
      <c r="S456">
        <v>8</v>
      </c>
      <c r="T456" t="s">
        <v>63</v>
      </c>
      <c r="U456" t="s">
        <v>31</v>
      </c>
      <c r="V456">
        <v>2026</v>
      </c>
      <c r="W456">
        <v>3</v>
      </c>
      <c r="X456" t="s">
        <v>1423</v>
      </c>
      <c r="Y456" s="6">
        <v>46082</v>
      </c>
      <c r="Z456" t="s">
        <v>1413</v>
      </c>
      <c r="AA456" t="s">
        <v>31</v>
      </c>
      <c r="AB456" t="s">
        <v>63</v>
      </c>
      <c r="AC456" t="s">
        <v>23</v>
      </c>
      <c r="AD456">
        <v>1</v>
      </c>
      <c r="AE456">
        <v>0</v>
      </c>
      <c r="AF456">
        <v>1</v>
      </c>
      <c r="AG456">
        <v>0</v>
      </c>
      <c r="AH456">
        <v>0</v>
      </c>
      <c r="AI456">
        <v>1</v>
      </c>
      <c r="AJ456">
        <v>0</v>
      </c>
    </row>
    <row r="457" spans="1:36">
      <c r="A457" t="s">
        <v>582</v>
      </c>
      <c r="B457">
        <v>18.68</v>
      </c>
      <c r="C457" s="7">
        <v>46183.65625</v>
      </c>
      <c r="D457" s="7">
        <v>46184.434575613428</v>
      </c>
      <c r="E457" t="s">
        <v>23</v>
      </c>
      <c r="F457" t="s">
        <v>33</v>
      </c>
      <c r="G457" t="s">
        <v>51</v>
      </c>
      <c r="H457" t="s">
        <v>26</v>
      </c>
      <c r="I457" t="s">
        <v>27</v>
      </c>
      <c r="J457" t="s">
        <v>28</v>
      </c>
      <c r="K457" t="s">
        <v>52</v>
      </c>
      <c r="L457" t="s">
        <v>55</v>
      </c>
      <c r="M457">
        <v>146</v>
      </c>
      <c r="N457">
        <v>4</v>
      </c>
      <c r="O457">
        <v>0</v>
      </c>
      <c r="P457">
        <v>6</v>
      </c>
      <c r="Q457" t="s">
        <v>31</v>
      </c>
      <c r="R457">
        <v>240</v>
      </c>
      <c r="S457">
        <v>48</v>
      </c>
      <c r="T457" t="s">
        <v>63</v>
      </c>
      <c r="U457" t="s">
        <v>63</v>
      </c>
      <c r="V457">
        <v>2026</v>
      </c>
      <c r="W457">
        <v>6</v>
      </c>
      <c r="X457" t="s">
        <v>1421</v>
      </c>
      <c r="Y457" s="6">
        <v>46174</v>
      </c>
      <c r="Z457" t="s">
        <v>1413</v>
      </c>
      <c r="AA457" t="s">
        <v>31</v>
      </c>
      <c r="AB457" t="s">
        <v>63</v>
      </c>
      <c r="AC457" t="s">
        <v>23</v>
      </c>
      <c r="AD457">
        <v>1</v>
      </c>
      <c r="AE457">
        <v>0</v>
      </c>
      <c r="AF457">
        <v>1</v>
      </c>
      <c r="AG457">
        <v>0</v>
      </c>
      <c r="AH457">
        <v>0</v>
      </c>
      <c r="AI457">
        <v>1</v>
      </c>
      <c r="AJ457">
        <v>1</v>
      </c>
    </row>
    <row r="458" spans="1:36">
      <c r="A458" t="s">
        <v>583</v>
      </c>
      <c r="B458">
        <v>7.75</v>
      </c>
      <c r="C458" s="7">
        <v>46050.990277777775</v>
      </c>
      <c r="D458" s="7">
        <v>46051.313150104164</v>
      </c>
      <c r="E458" t="s">
        <v>23</v>
      </c>
      <c r="F458" t="s">
        <v>50</v>
      </c>
      <c r="G458" t="s">
        <v>51</v>
      </c>
      <c r="H458" t="s">
        <v>26</v>
      </c>
      <c r="I458" t="s">
        <v>27</v>
      </c>
      <c r="J458" t="s">
        <v>28</v>
      </c>
      <c r="K458" t="s">
        <v>52</v>
      </c>
      <c r="L458" t="s">
        <v>93</v>
      </c>
      <c r="M458">
        <v>106</v>
      </c>
      <c r="N458">
        <v>4</v>
      </c>
      <c r="O458">
        <v>0</v>
      </c>
      <c r="P458">
        <v>2</v>
      </c>
      <c r="Q458" t="s">
        <v>31</v>
      </c>
      <c r="R458">
        <v>120</v>
      </c>
      <c r="S458">
        <v>24</v>
      </c>
      <c r="T458" t="s">
        <v>63</v>
      </c>
      <c r="U458" t="s">
        <v>63</v>
      </c>
      <c r="V458">
        <v>2026</v>
      </c>
      <c r="W458">
        <v>1</v>
      </c>
      <c r="X458" t="s">
        <v>1414</v>
      </c>
      <c r="Y458" s="6">
        <v>46023</v>
      </c>
      <c r="Z458" t="s">
        <v>1413</v>
      </c>
      <c r="AA458" t="s">
        <v>31</v>
      </c>
      <c r="AB458" t="s">
        <v>63</v>
      </c>
      <c r="AC458" t="s">
        <v>23</v>
      </c>
      <c r="AD458">
        <v>1</v>
      </c>
      <c r="AE458">
        <v>0</v>
      </c>
      <c r="AF458">
        <v>1</v>
      </c>
      <c r="AG458">
        <v>0</v>
      </c>
      <c r="AH458">
        <v>0</v>
      </c>
      <c r="AI458">
        <v>1</v>
      </c>
      <c r="AJ458">
        <v>1</v>
      </c>
    </row>
    <row r="459" spans="1:36">
      <c r="A459" t="s">
        <v>584</v>
      </c>
      <c r="B459">
        <v>10.29</v>
      </c>
      <c r="C459" s="7">
        <v>46094.479166666664</v>
      </c>
      <c r="D459" s="7">
        <v>46094.907877210651</v>
      </c>
      <c r="E459" t="s">
        <v>23</v>
      </c>
      <c r="F459" t="s">
        <v>50</v>
      </c>
      <c r="G459" t="s">
        <v>25</v>
      </c>
      <c r="H459" t="s">
        <v>34</v>
      </c>
      <c r="I459" t="s">
        <v>35</v>
      </c>
      <c r="J459" t="s">
        <v>48</v>
      </c>
      <c r="K459" t="s">
        <v>29</v>
      </c>
      <c r="L459" t="s">
        <v>62</v>
      </c>
      <c r="M459">
        <v>111</v>
      </c>
      <c r="N459">
        <v>4</v>
      </c>
      <c r="O459">
        <v>0</v>
      </c>
      <c r="P459">
        <v>12</v>
      </c>
      <c r="Q459" t="s">
        <v>63</v>
      </c>
      <c r="R459">
        <v>120</v>
      </c>
      <c r="S459">
        <v>24</v>
      </c>
      <c r="T459" t="s">
        <v>63</v>
      </c>
      <c r="U459" t="s">
        <v>63</v>
      </c>
      <c r="V459">
        <v>2026</v>
      </c>
      <c r="W459">
        <v>3</v>
      </c>
      <c r="X459" t="s">
        <v>1423</v>
      </c>
      <c r="Y459" s="6">
        <v>46082</v>
      </c>
      <c r="Z459" t="s">
        <v>1413</v>
      </c>
      <c r="AA459" t="s">
        <v>31</v>
      </c>
      <c r="AB459" t="s">
        <v>63</v>
      </c>
      <c r="AC459" t="s">
        <v>23</v>
      </c>
      <c r="AD459">
        <v>1</v>
      </c>
      <c r="AE459">
        <v>0</v>
      </c>
      <c r="AF459">
        <v>1</v>
      </c>
      <c r="AG459">
        <v>0</v>
      </c>
      <c r="AH459">
        <v>1</v>
      </c>
      <c r="AI459">
        <v>1</v>
      </c>
      <c r="AJ459">
        <v>1</v>
      </c>
    </row>
    <row r="460" spans="1:36">
      <c r="A460" t="s">
        <v>585</v>
      </c>
      <c r="B460">
        <v>12.64</v>
      </c>
      <c r="C460" s="7">
        <v>46046.281944444447</v>
      </c>
      <c r="D460" s="7">
        <v>46046.808598333337</v>
      </c>
      <c r="E460" t="s">
        <v>23</v>
      </c>
      <c r="F460" t="s">
        <v>50</v>
      </c>
      <c r="G460" t="s">
        <v>41</v>
      </c>
      <c r="H460" t="s">
        <v>26</v>
      </c>
      <c r="I460" t="s">
        <v>27</v>
      </c>
      <c r="J460" t="s">
        <v>48</v>
      </c>
      <c r="K460" t="s">
        <v>37</v>
      </c>
      <c r="L460" t="s">
        <v>85</v>
      </c>
      <c r="M460">
        <v>69</v>
      </c>
      <c r="N460">
        <v>4</v>
      </c>
      <c r="O460">
        <v>0</v>
      </c>
      <c r="P460">
        <v>7</v>
      </c>
      <c r="Q460" t="s">
        <v>31</v>
      </c>
      <c r="R460">
        <v>120</v>
      </c>
      <c r="S460">
        <v>24</v>
      </c>
      <c r="T460" t="s">
        <v>63</v>
      </c>
      <c r="U460" t="s">
        <v>63</v>
      </c>
      <c r="V460">
        <v>2026</v>
      </c>
      <c r="W460">
        <v>1</v>
      </c>
      <c r="X460" t="s">
        <v>1414</v>
      </c>
      <c r="Y460" s="6">
        <v>46023</v>
      </c>
      <c r="Z460" t="s">
        <v>1413</v>
      </c>
      <c r="AA460" t="s">
        <v>31</v>
      </c>
      <c r="AB460" t="s">
        <v>63</v>
      </c>
      <c r="AC460" t="s">
        <v>23</v>
      </c>
      <c r="AD460">
        <v>1</v>
      </c>
      <c r="AE460">
        <v>0</v>
      </c>
      <c r="AF460">
        <v>1</v>
      </c>
      <c r="AG460">
        <v>0</v>
      </c>
      <c r="AH460">
        <v>0</v>
      </c>
      <c r="AI460">
        <v>1</v>
      </c>
      <c r="AJ460">
        <v>1</v>
      </c>
    </row>
    <row r="461" spans="1:36">
      <c r="A461" t="s">
        <v>586</v>
      </c>
      <c r="B461">
        <v>19.71</v>
      </c>
      <c r="C461" s="7">
        <v>46263.147222222222</v>
      </c>
      <c r="D461" s="7">
        <v>46263.968337025464</v>
      </c>
      <c r="E461" t="s">
        <v>23</v>
      </c>
      <c r="F461" t="s">
        <v>33</v>
      </c>
      <c r="G461" t="s">
        <v>41</v>
      </c>
      <c r="H461" t="s">
        <v>26</v>
      </c>
      <c r="I461" t="s">
        <v>42</v>
      </c>
      <c r="J461" t="s">
        <v>43</v>
      </c>
      <c r="K461" t="s">
        <v>52</v>
      </c>
      <c r="L461" t="s">
        <v>55</v>
      </c>
      <c r="M461">
        <v>133</v>
      </c>
      <c r="N461">
        <v>3</v>
      </c>
      <c r="O461">
        <v>3</v>
      </c>
      <c r="P461">
        <v>11</v>
      </c>
      <c r="Q461" t="s">
        <v>31</v>
      </c>
      <c r="R461">
        <v>240</v>
      </c>
      <c r="S461">
        <v>48</v>
      </c>
      <c r="T461" t="s">
        <v>63</v>
      </c>
      <c r="U461" t="s">
        <v>63</v>
      </c>
      <c r="V461">
        <v>2026</v>
      </c>
      <c r="W461">
        <v>8</v>
      </c>
      <c r="X461" t="s">
        <v>1417</v>
      </c>
      <c r="Y461" s="6">
        <v>46235</v>
      </c>
      <c r="Z461" t="s">
        <v>1418</v>
      </c>
      <c r="AA461" t="s">
        <v>63</v>
      </c>
      <c r="AB461" t="s">
        <v>63</v>
      </c>
      <c r="AC461" t="s">
        <v>23</v>
      </c>
      <c r="AD461">
        <v>1</v>
      </c>
      <c r="AE461">
        <v>0</v>
      </c>
      <c r="AF461">
        <v>1</v>
      </c>
      <c r="AG461">
        <v>1</v>
      </c>
      <c r="AH461">
        <v>0</v>
      </c>
      <c r="AI461">
        <v>1</v>
      </c>
      <c r="AJ461">
        <v>1</v>
      </c>
    </row>
    <row r="462" spans="1:36">
      <c r="A462" t="s">
        <v>587</v>
      </c>
      <c r="B462">
        <v>66.31</v>
      </c>
      <c r="C462" s="7">
        <v>46135.821527777778</v>
      </c>
      <c r="D462" s="7">
        <v>46138.584301388888</v>
      </c>
      <c r="E462" t="s">
        <v>23</v>
      </c>
      <c r="F462" t="s">
        <v>50</v>
      </c>
      <c r="G462" t="s">
        <v>65</v>
      </c>
      <c r="H462" t="s">
        <v>26</v>
      </c>
      <c r="I462" t="s">
        <v>42</v>
      </c>
      <c r="J462" t="s">
        <v>48</v>
      </c>
      <c r="K462" t="s">
        <v>76</v>
      </c>
      <c r="L462" t="s">
        <v>30</v>
      </c>
      <c r="M462">
        <v>80</v>
      </c>
      <c r="N462">
        <v>3</v>
      </c>
      <c r="O462">
        <v>0</v>
      </c>
      <c r="P462">
        <v>3</v>
      </c>
      <c r="Q462" t="s">
        <v>31</v>
      </c>
      <c r="R462">
        <v>120</v>
      </c>
      <c r="S462">
        <v>24</v>
      </c>
      <c r="T462" t="s">
        <v>63</v>
      </c>
      <c r="U462" t="s">
        <v>31</v>
      </c>
      <c r="V462">
        <v>2026</v>
      </c>
      <c r="W462">
        <v>4</v>
      </c>
      <c r="X462" t="s">
        <v>1412</v>
      </c>
      <c r="Y462" s="6">
        <v>46113</v>
      </c>
      <c r="Z462" t="s">
        <v>1418</v>
      </c>
      <c r="AA462" t="s">
        <v>31</v>
      </c>
      <c r="AB462" t="s">
        <v>63</v>
      </c>
      <c r="AC462" t="s">
        <v>23</v>
      </c>
      <c r="AD462">
        <v>1</v>
      </c>
      <c r="AE462">
        <v>0</v>
      </c>
      <c r="AF462">
        <v>1</v>
      </c>
      <c r="AG462">
        <v>0</v>
      </c>
      <c r="AH462">
        <v>0</v>
      </c>
      <c r="AI462">
        <v>1</v>
      </c>
      <c r="AJ462">
        <v>0</v>
      </c>
    </row>
    <row r="463" spans="1:36">
      <c r="A463" t="s">
        <v>588</v>
      </c>
      <c r="B463">
        <v>17.600000000000001</v>
      </c>
      <c r="C463" s="7">
        <v>46131.180555555555</v>
      </c>
      <c r="D463" s="7">
        <v>46131.913695868054</v>
      </c>
      <c r="E463" t="s">
        <v>23</v>
      </c>
      <c r="F463" t="s">
        <v>50</v>
      </c>
      <c r="G463" t="s">
        <v>51</v>
      </c>
      <c r="H463" t="s">
        <v>54</v>
      </c>
      <c r="I463" t="s">
        <v>35</v>
      </c>
      <c r="J463" t="s">
        <v>48</v>
      </c>
      <c r="K463" t="s">
        <v>37</v>
      </c>
      <c r="L463" t="s">
        <v>85</v>
      </c>
      <c r="M463">
        <v>98</v>
      </c>
      <c r="N463">
        <v>4</v>
      </c>
      <c r="O463">
        <v>0</v>
      </c>
      <c r="P463">
        <v>6</v>
      </c>
      <c r="Q463" t="s">
        <v>31</v>
      </c>
      <c r="R463">
        <v>120</v>
      </c>
      <c r="S463">
        <v>24</v>
      </c>
      <c r="T463" t="s">
        <v>63</v>
      </c>
      <c r="U463" t="s">
        <v>63</v>
      </c>
      <c r="V463">
        <v>2026</v>
      </c>
      <c r="W463">
        <v>4</v>
      </c>
      <c r="X463" t="s">
        <v>1412</v>
      </c>
      <c r="Y463" s="6">
        <v>46113</v>
      </c>
      <c r="Z463" t="s">
        <v>1413</v>
      </c>
      <c r="AA463" t="s">
        <v>31</v>
      </c>
      <c r="AB463" t="s">
        <v>63</v>
      </c>
      <c r="AC463" t="s">
        <v>23</v>
      </c>
      <c r="AD463">
        <v>1</v>
      </c>
      <c r="AE463">
        <v>0</v>
      </c>
      <c r="AF463">
        <v>1</v>
      </c>
      <c r="AG463">
        <v>0</v>
      </c>
      <c r="AH463">
        <v>0</v>
      </c>
      <c r="AI463">
        <v>1</v>
      </c>
      <c r="AJ463">
        <v>1</v>
      </c>
    </row>
    <row r="464" spans="1:36">
      <c r="A464" t="s">
        <v>589</v>
      </c>
      <c r="B464">
        <v>26.72</v>
      </c>
      <c r="C464" s="7">
        <v>46090.818749999999</v>
      </c>
      <c r="D464" s="7">
        <v>46091.932113530092</v>
      </c>
      <c r="E464" t="s">
        <v>23</v>
      </c>
      <c r="F464" t="s">
        <v>50</v>
      </c>
      <c r="G464" t="s">
        <v>51</v>
      </c>
      <c r="H464" t="s">
        <v>66</v>
      </c>
      <c r="I464" t="s">
        <v>35</v>
      </c>
      <c r="J464" t="s">
        <v>48</v>
      </c>
      <c r="K464" t="s">
        <v>37</v>
      </c>
      <c r="L464" t="s">
        <v>62</v>
      </c>
      <c r="M464">
        <v>33</v>
      </c>
      <c r="N464">
        <v>4</v>
      </c>
      <c r="O464">
        <v>2</v>
      </c>
      <c r="P464">
        <v>7</v>
      </c>
      <c r="Q464" t="s">
        <v>31</v>
      </c>
      <c r="R464">
        <v>120</v>
      </c>
      <c r="S464">
        <v>24</v>
      </c>
      <c r="T464" t="s">
        <v>63</v>
      </c>
      <c r="U464" t="s">
        <v>31</v>
      </c>
      <c r="V464">
        <v>2026</v>
      </c>
      <c r="W464">
        <v>3</v>
      </c>
      <c r="X464" t="s">
        <v>1423</v>
      </c>
      <c r="Y464" s="6">
        <v>46082</v>
      </c>
      <c r="Z464" t="s">
        <v>1413</v>
      </c>
      <c r="AA464" t="s">
        <v>63</v>
      </c>
      <c r="AB464" t="s">
        <v>63</v>
      </c>
      <c r="AC464" t="s">
        <v>23</v>
      </c>
      <c r="AD464">
        <v>1</v>
      </c>
      <c r="AE464">
        <v>0</v>
      </c>
      <c r="AF464">
        <v>1</v>
      </c>
      <c r="AG464">
        <v>1</v>
      </c>
      <c r="AH464">
        <v>0</v>
      </c>
      <c r="AI464">
        <v>1</v>
      </c>
      <c r="AJ464">
        <v>0</v>
      </c>
    </row>
    <row r="465" spans="1:36">
      <c r="A465" t="s">
        <v>590</v>
      </c>
      <c r="B465">
        <v>25.42</v>
      </c>
      <c r="C465" s="7">
        <v>46077.499305555553</v>
      </c>
      <c r="D465" s="7">
        <v>46078.558274861112</v>
      </c>
      <c r="E465" t="s">
        <v>23</v>
      </c>
      <c r="F465" t="s">
        <v>50</v>
      </c>
      <c r="G465" t="s">
        <v>51</v>
      </c>
      <c r="H465" t="s">
        <v>26</v>
      </c>
      <c r="I465" t="s">
        <v>27</v>
      </c>
      <c r="J465" t="s">
        <v>48</v>
      </c>
      <c r="K465" t="s">
        <v>37</v>
      </c>
      <c r="L465" t="s">
        <v>101</v>
      </c>
      <c r="M465">
        <v>156</v>
      </c>
      <c r="N465">
        <v>4</v>
      </c>
      <c r="O465">
        <v>1</v>
      </c>
      <c r="P465">
        <v>5</v>
      </c>
      <c r="Q465" t="s">
        <v>31</v>
      </c>
      <c r="R465">
        <v>120</v>
      </c>
      <c r="S465">
        <v>24</v>
      </c>
      <c r="T465" t="s">
        <v>31</v>
      </c>
      <c r="U465" t="s">
        <v>31</v>
      </c>
      <c r="V465">
        <v>2026</v>
      </c>
      <c r="W465">
        <v>2</v>
      </c>
      <c r="X465" t="s">
        <v>1419</v>
      </c>
      <c r="Y465" s="6">
        <v>46054</v>
      </c>
      <c r="Z465" t="s">
        <v>1413</v>
      </c>
      <c r="AA465" t="s">
        <v>63</v>
      </c>
      <c r="AB465" t="s">
        <v>63</v>
      </c>
      <c r="AC465" t="s">
        <v>23</v>
      </c>
      <c r="AD465">
        <v>1</v>
      </c>
      <c r="AE465">
        <v>0</v>
      </c>
      <c r="AF465">
        <v>1</v>
      </c>
      <c r="AG465">
        <v>1</v>
      </c>
      <c r="AH465">
        <v>0</v>
      </c>
      <c r="AI465">
        <v>0</v>
      </c>
      <c r="AJ465">
        <v>0</v>
      </c>
    </row>
    <row r="466" spans="1:36">
      <c r="A466" t="s">
        <v>591</v>
      </c>
      <c r="B466">
        <v>16.78</v>
      </c>
      <c r="C466" s="7">
        <v>46036.84097222222</v>
      </c>
      <c r="D466" s="7">
        <v>46037.540049189818</v>
      </c>
      <c r="E466" t="s">
        <v>23</v>
      </c>
      <c r="F466" t="s">
        <v>40</v>
      </c>
      <c r="G466" t="s">
        <v>41</v>
      </c>
      <c r="H466" t="s">
        <v>66</v>
      </c>
      <c r="I466" t="s">
        <v>42</v>
      </c>
      <c r="J466" t="s">
        <v>28</v>
      </c>
      <c r="K466" t="s">
        <v>76</v>
      </c>
      <c r="L466" t="s">
        <v>85</v>
      </c>
      <c r="M466">
        <v>36</v>
      </c>
      <c r="N466">
        <v>4</v>
      </c>
      <c r="O466">
        <v>1</v>
      </c>
      <c r="P466">
        <v>6</v>
      </c>
      <c r="Q466" t="s">
        <v>31</v>
      </c>
      <c r="R466">
        <v>30</v>
      </c>
      <c r="S466">
        <v>8</v>
      </c>
      <c r="T466" t="s">
        <v>31</v>
      </c>
      <c r="U466" t="s">
        <v>31</v>
      </c>
      <c r="V466">
        <v>2026</v>
      </c>
      <c r="W466">
        <v>1</v>
      </c>
      <c r="X466" t="s">
        <v>1414</v>
      </c>
      <c r="Y466" s="6">
        <v>46023</v>
      </c>
      <c r="Z466" t="s">
        <v>1413</v>
      </c>
      <c r="AA466" t="s">
        <v>63</v>
      </c>
      <c r="AB466" t="s">
        <v>63</v>
      </c>
      <c r="AC466" t="s">
        <v>23</v>
      </c>
      <c r="AD466">
        <v>1</v>
      </c>
      <c r="AE466">
        <v>0</v>
      </c>
      <c r="AF466">
        <v>1</v>
      </c>
      <c r="AG466">
        <v>1</v>
      </c>
      <c r="AH466">
        <v>0</v>
      </c>
      <c r="AI466">
        <v>0</v>
      </c>
      <c r="AJ466">
        <v>0</v>
      </c>
    </row>
    <row r="467" spans="1:36">
      <c r="A467" t="s">
        <v>592</v>
      </c>
      <c r="B467">
        <v>14.59</v>
      </c>
      <c r="C467" s="7">
        <v>46159.802083333336</v>
      </c>
      <c r="D467" s="7">
        <v>46160.409837500003</v>
      </c>
      <c r="E467" t="s">
        <v>23</v>
      </c>
      <c r="F467" t="s">
        <v>40</v>
      </c>
      <c r="G467" t="s">
        <v>51</v>
      </c>
      <c r="H467" t="s">
        <v>34</v>
      </c>
      <c r="I467" t="s">
        <v>27</v>
      </c>
      <c r="J467" t="s">
        <v>43</v>
      </c>
      <c r="K467" t="s">
        <v>58</v>
      </c>
      <c r="L467" t="s">
        <v>68</v>
      </c>
      <c r="M467">
        <v>65</v>
      </c>
      <c r="N467">
        <v>5</v>
      </c>
      <c r="O467">
        <v>0</v>
      </c>
      <c r="P467">
        <v>4</v>
      </c>
      <c r="Q467" t="s">
        <v>31</v>
      </c>
      <c r="R467">
        <v>30</v>
      </c>
      <c r="S467">
        <v>8</v>
      </c>
      <c r="T467" t="s">
        <v>31</v>
      </c>
      <c r="U467" t="s">
        <v>31</v>
      </c>
      <c r="V467">
        <v>2026</v>
      </c>
      <c r="W467">
        <v>5</v>
      </c>
      <c r="X467" t="s">
        <v>1416</v>
      </c>
      <c r="Y467" s="6">
        <v>46143</v>
      </c>
      <c r="Z467" t="s">
        <v>1413</v>
      </c>
      <c r="AA467" t="s">
        <v>31</v>
      </c>
      <c r="AB467" t="s">
        <v>63</v>
      </c>
      <c r="AC467" t="s">
        <v>23</v>
      </c>
      <c r="AD467">
        <v>1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</row>
    <row r="468" spans="1:36">
      <c r="A468" t="s">
        <v>593</v>
      </c>
      <c r="B468">
        <v>20.53</v>
      </c>
      <c r="C468" s="7">
        <v>46156.34097222222</v>
      </c>
      <c r="D468" s="7">
        <v>46157.19648327546</v>
      </c>
      <c r="E468" t="s">
        <v>23</v>
      </c>
      <c r="F468" t="s">
        <v>33</v>
      </c>
      <c r="G468" t="s">
        <v>41</v>
      </c>
      <c r="H468" t="s">
        <v>66</v>
      </c>
      <c r="I468" t="s">
        <v>42</v>
      </c>
      <c r="J468" t="s">
        <v>48</v>
      </c>
      <c r="K468" t="s">
        <v>76</v>
      </c>
      <c r="L468" t="s">
        <v>68</v>
      </c>
      <c r="M468">
        <v>105</v>
      </c>
      <c r="N468">
        <v>4</v>
      </c>
      <c r="O468">
        <v>0</v>
      </c>
      <c r="P468">
        <v>4</v>
      </c>
      <c r="Q468" t="s">
        <v>31</v>
      </c>
      <c r="R468">
        <v>240</v>
      </c>
      <c r="S468">
        <v>48</v>
      </c>
      <c r="T468" t="s">
        <v>63</v>
      </c>
      <c r="U468" t="s">
        <v>63</v>
      </c>
      <c r="V468">
        <v>2026</v>
      </c>
      <c r="W468">
        <v>5</v>
      </c>
      <c r="X468" t="s">
        <v>1416</v>
      </c>
      <c r="Y468" s="6">
        <v>46143</v>
      </c>
      <c r="Z468" t="s">
        <v>1413</v>
      </c>
      <c r="AA468" t="s">
        <v>31</v>
      </c>
      <c r="AB468" t="s">
        <v>63</v>
      </c>
      <c r="AC468" t="s">
        <v>23</v>
      </c>
      <c r="AD468">
        <v>1</v>
      </c>
      <c r="AE468">
        <v>0</v>
      </c>
      <c r="AF468">
        <v>1</v>
      </c>
      <c r="AG468">
        <v>0</v>
      </c>
      <c r="AH468">
        <v>0</v>
      </c>
      <c r="AI468">
        <v>1</v>
      </c>
      <c r="AJ468">
        <v>1</v>
      </c>
    </row>
    <row r="469" spans="1:36">
      <c r="A469" t="s">
        <v>594</v>
      </c>
      <c r="B469">
        <v>13.95</v>
      </c>
      <c r="C469" s="7">
        <v>46108.176388888889</v>
      </c>
      <c r="D469" s="7">
        <v>46108.757783437497</v>
      </c>
      <c r="E469" t="s">
        <v>23</v>
      </c>
      <c r="F469" t="s">
        <v>50</v>
      </c>
      <c r="G469" t="s">
        <v>51</v>
      </c>
      <c r="H469" t="s">
        <v>26</v>
      </c>
      <c r="I469" t="s">
        <v>35</v>
      </c>
      <c r="J469" t="s">
        <v>28</v>
      </c>
      <c r="K469" t="s">
        <v>29</v>
      </c>
      <c r="L469" t="s">
        <v>62</v>
      </c>
      <c r="M469">
        <v>72</v>
      </c>
      <c r="N469">
        <v>4</v>
      </c>
      <c r="O469">
        <v>0</v>
      </c>
      <c r="P469">
        <v>2</v>
      </c>
      <c r="Q469" t="s">
        <v>31</v>
      </c>
      <c r="R469">
        <v>120</v>
      </c>
      <c r="S469">
        <v>24</v>
      </c>
      <c r="T469" t="s">
        <v>63</v>
      </c>
      <c r="U469" t="s">
        <v>63</v>
      </c>
      <c r="V469">
        <v>2026</v>
      </c>
      <c r="W469">
        <v>3</v>
      </c>
      <c r="X469" t="s">
        <v>1423</v>
      </c>
      <c r="Y469" s="6">
        <v>46082</v>
      </c>
      <c r="Z469" t="s">
        <v>1413</v>
      </c>
      <c r="AA469" t="s">
        <v>31</v>
      </c>
      <c r="AB469" t="s">
        <v>63</v>
      </c>
      <c r="AC469" t="s">
        <v>23</v>
      </c>
      <c r="AD469">
        <v>1</v>
      </c>
      <c r="AE469">
        <v>0</v>
      </c>
      <c r="AF469">
        <v>1</v>
      </c>
      <c r="AG469">
        <v>0</v>
      </c>
      <c r="AH469">
        <v>0</v>
      </c>
      <c r="AI469">
        <v>1</v>
      </c>
      <c r="AJ469">
        <v>1</v>
      </c>
    </row>
    <row r="470" spans="1:36">
      <c r="A470" t="s">
        <v>596</v>
      </c>
      <c r="C470" s="7">
        <v>46095.061111111114</v>
      </c>
      <c r="D470" s="7"/>
      <c r="E470" t="s">
        <v>57</v>
      </c>
      <c r="F470" t="s">
        <v>40</v>
      </c>
      <c r="G470" t="s">
        <v>25</v>
      </c>
      <c r="H470" t="s">
        <v>26</v>
      </c>
      <c r="I470" t="s">
        <v>35</v>
      </c>
      <c r="J470" t="s">
        <v>36</v>
      </c>
      <c r="K470" t="s">
        <v>52</v>
      </c>
      <c r="L470" t="s">
        <v>44</v>
      </c>
      <c r="M470">
        <v>65</v>
      </c>
      <c r="O470">
        <v>0</v>
      </c>
      <c r="P470">
        <v>9</v>
      </c>
      <c r="Q470" t="s">
        <v>63</v>
      </c>
      <c r="R470">
        <v>30</v>
      </c>
      <c r="S470">
        <v>8</v>
      </c>
      <c r="T470" t="s">
        <v>31</v>
      </c>
      <c r="U470" t="s">
        <v>74</v>
      </c>
      <c r="V470">
        <v>2026</v>
      </c>
      <c r="W470">
        <v>3</v>
      </c>
      <c r="X470" t="s">
        <v>1423</v>
      </c>
      <c r="Y470" s="6">
        <v>46082</v>
      </c>
      <c r="Z470" t="s">
        <v>1420</v>
      </c>
      <c r="AA470" t="s">
        <v>31</v>
      </c>
      <c r="AB470" t="s">
        <v>31</v>
      </c>
      <c r="AC470" t="s">
        <v>57</v>
      </c>
      <c r="AD470">
        <v>1</v>
      </c>
      <c r="AE470">
        <v>1</v>
      </c>
      <c r="AF470">
        <v>0</v>
      </c>
      <c r="AG470">
        <v>0</v>
      </c>
      <c r="AH470">
        <v>1</v>
      </c>
      <c r="AI470">
        <v>0</v>
      </c>
    </row>
    <row r="471" spans="1:36">
      <c r="A471" t="s">
        <v>597</v>
      </c>
      <c r="B471">
        <v>19.16</v>
      </c>
      <c r="C471" s="7">
        <v>46177.734027777777</v>
      </c>
      <c r="D471" s="7">
        <v>46178.532157118054</v>
      </c>
      <c r="E471" t="s">
        <v>23</v>
      </c>
      <c r="F471" t="s">
        <v>50</v>
      </c>
      <c r="G471" t="s">
        <v>51</v>
      </c>
      <c r="H471" t="s">
        <v>34</v>
      </c>
      <c r="I471" t="s">
        <v>35</v>
      </c>
      <c r="J471" t="s">
        <v>36</v>
      </c>
      <c r="K471" t="s">
        <v>67</v>
      </c>
      <c r="L471" t="s">
        <v>85</v>
      </c>
      <c r="M471">
        <v>211</v>
      </c>
      <c r="N471">
        <v>4</v>
      </c>
      <c r="O471">
        <v>0</v>
      </c>
      <c r="P471">
        <v>2</v>
      </c>
      <c r="Q471" t="s">
        <v>31</v>
      </c>
      <c r="R471">
        <v>120</v>
      </c>
      <c r="S471">
        <v>24</v>
      </c>
      <c r="T471" t="s">
        <v>31</v>
      </c>
      <c r="U471" t="s">
        <v>63</v>
      </c>
      <c r="V471">
        <v>2026</v>
      </c>
      <c r="W471">
        <v>6</v>
      </c>
      <c r="X471" t="s">
        <v>1421</v>
      </c>
      <c r="Y471" s="6">
        <v>46174</v>
      </c>
      <c r="Z471" t="s">
        <v>1413</v>
      </c>
      <c r="AA471" t="s">
        <v>31</v>
      </c>
      <c r="AB471" t="s">
        <v>63</v>
      </c>
      <c r="AC471" t="s">
        <v>23</v>
      </c>
      <c r="AD471">
        <v>1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1</v>
      </c>
    </row>
    <row r="472" spans="1:36">
      <c r="A472" t="s">
        <v>598</v>
      </c>
      <c r="B472">
        <v>18.149999999999999</v>
      </c>
      <c r="C472" s="7">
        <v>46112.384027777778</v>
      </c>
      <c r="D472" s="7">
        <v>46113.140229421297</v>
      </c>
      <c r="E472" t="s">
        <v>23</v>
      </c>
      <c r="F472" t="s">
        <v>40</v>
      </c>
      <c r="G472" t="s">
        <v>51</v>
      </c>
      <c r="H472" t="s">
        <v>26</v>
      </c>
      <c r="I472" t="s">
        <v>35</v>
      </c>
      <c r="J472" t="s">
        <v>36</v>
      </c>
      <c r="K472" t="s">
        <v>76</v>
      </c>
      <c r="L472" t="s">
        <v>85</v>
      </c>
      <c r="M472">
        <v>45</v>
      </c>
      <c r="N472">
        <v>4</v>
      </c>
      <c r="O472">
        <v>0</v>
      </c>
      <c r="P472">
        <v>5</v>
      </c>
      <c r="Q472" t="s">
        <v>31</v>
      </c>
      <c r="R472">
        <v>30</v>
      </c>
      <c r="S472">
        <v>8</v>
      </c>
      <c r="T472" t="s">
        <v>31</v>
      </c>
      <c r="U472" t="s">
        <v>31</v>
      </c>
      <c r="V472">
        <v>2026</v>
      </c>
      <c r="W472">
        <v>3</v>
      </c>
      <c r="X472" t="s">
        <v>1423</v>
      </c>
      <c r="Y472" s="6">
        <v>46082</v>
      </c>
      <c r="Z472" t="s">
        <v>1413</v>
      </c>
      <c r="AA472" t="s">
        <v>31</v>
      </c>
      <c r="AB472" t="s">
        <v>63</v>
      </c>
      <c r="AC472" t="s">
        <v>23</v>
      </c>
      <c r="AD472">
        <v>1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</row>
    <row r="473" spans="1:36">
      <c r="A473" t="s">
        <v>599</v>
      </c>
      <c r="B473">
        <v>33.46</v>
      </c>
      <c r="C473" s="7">
        <v>46214.941666666666</v>
      </c>
      <c r="D473" s="7">
        <v>46216.3356565625</v>
      </c>
      <c r="E473" t="s">
        <v>23</v>
      </c>
      <c r="F473" t="s">
        <v>50</v>
      </c>
      <c r="G473" t="s">
        <v>51</v>
      </c>
      <c r="H473" t="s">
        <v>54</v>
      </c>
      <c r="I473" t="s">
        <v>35</v>
      </c>
      <c r="J473" t="s">
        <v>48</v>
      </c>
      <c r="K473" t="s">
        <v>37</v>
      </c>
      <c r="L473" t="s">
        <v>44</v>
      </c>
      <c r="M473">
        <v>72</v>
      </c>
      <c r="N473">
        <v>4</v>
      </c>
      <c r="O473">
        <v>0</v>
      </c>
      <c r="P473">
        <v>2</v>
      </c>
      <c r="Q473" t="s">
        <v>31</v>
      </c>
      <c r="R473">
        <v>120</v>
      </c>
      <c r="S473">
        <v>24</v>
      </c>
      <c r="T473" t="s">
        <v>63</v>
      </c>
      <c r="U473" t="s">
        <v>31</v>
      </c>
      <c r="V473">
        <v>2026</v>
      </c>
      <c r="W473">
        <v>7</v>
      </c>
      <c r="X473" t="s">
        <v>1422</v>
      </c>
      <c r="Y473" s="6">
        <v>46204</v>
      </c>
      <c r="Z473" t="s">
        <v>1413</v>
      </c>
      <c r="AA473" t="s">
        <v>31</v>
      </c>
      <c r="AB473" t="s">
        <v>63</v>
      </c>
      <c r="AC473" t="s">
        <v>23</v>
      </c>
      <c r="AD473">
        <v>1</v>
      </c>
      <c r="AE473">
        <v>0</v>
      </c>
      <c r="AF473">
        <v>1</v>
      </c>
      <c r="AG473">
        <v>0</v>
      </c>
      <c r="AH473">
        <v>0</v>
      </c>
      <c r="AI473">
        <v>1</v>
      </c>
      <c r="AJ473">
        <v>0</v>
      </c>
    </row>
    <row r="474" spans="1:36">
      <c r="A474" t="s">
        <v>600</v>
      </c>
      <c r="B474">
        <v>44.74</v>
      </c>
      <c r="C474" s="7">
        <v>46083.086111111108</v>
      </c>
      <c r="D474" s="7">
        <v>46084.950304074075</v>
      </c>
      <c r="E474" t="s">
        <v>23</v>
      </c>
      <c r="F474" t="s">
        <v>50</v>
      </c>
      <c r="G474" t="s">
        <v>65</v>
      </c>
      <c r="H474" t="s">
        <v>34</v>
      </c>
      <c r="I474" t="s">
        <v>42</v>
      </c>
      <c r="J474" t="s">
        <v>48</v>
      </c>
      <c r="K474" t="s">
        <v>37</v>
      </c>
      <c r="L474" t="s">
        <v>71</v>
      </c>
      <c r="M474">
        <v>134</v>
      </c>
      <c r="N474">
        <v>3</v>
      </c>
      <c r="O474">
        <v>1</v>
      </c>
      <c r="P474">
        <v>10</v>
      </c>
      <c r="Q474" t="s">
        <v>63</v>
      </c>
      <c r="R474">
        <v>120</v>
      </c>
      <c r="S474">
        <v>24</v>
      </c>
      <c r="T474" t="s">
        <v>31</v>
      </c>
      <c r="U474" t="s">
        <v>31</v>
      </c>
      <c r="V474">
        <v>2026</v>
      </c>
      <c r="W474">
        <v>3</v>
      </c>
      <c r="X474" t="s">
        <v>1423</v>
      </c>
      <c r="Y474" s="6">
        <v>46082</v>
      </c>
      <c r="Z474" t="s">
        <v>1418</v>
      </c>
      <c r="AA474" t="s">
        <v>63</v>
      </c>
      <c r="AB474" t="s">
        <v>63</v>
      </c>
      <c r="AC474" t="s">
        <v>23</v>
      </c>
      <c r="AD474">
        <v>1</v>
      </c>
      <c r="AE474">
        <v>0</v>
      </c>
      <c r="AF474">
        <v>1</v>
      </c>
      <c r="AG474">
        <v>1</v>
      </c>
      <c r="AH474">
        <v>1</v>
      </c>
      <c r="AI474">
        <v>0</v>
      </c>
      <c r="AJ474">
        <v>0</v>
      </c>
    </row>
    <row r="475" spans="1:36">
      <c r="A475" t="s">
        <v>602</v>
      </c>
      <c r="B475">
        <v>3.64</v>
      </c>
      <c r="C475" s="7">
        <v>46058.771527777775</v>
      </c>
      <c r="D475" s="7">
        <v>46058.9232362037</v>
      </c>
      <c r="E475" t="s">
        <v>23</v>
      </c>
      <c r="F475" t="s">
        <v>24</v>
      </c>
      <c r="G475" t="s">
        <v>51</v>
      </c>
      <c r="H475" t="s">
        <v>66</v>
      </c>
      <c r="I475" t="s">
        <v>35</v>
      </c>
      <c r="J475" t="s">
        <v>43</v>
      </c>
      <c r="K475" t="s">
        <v>67</v>
      </c>
      <c r="L475" t="s">
        <v>93</v>
      </c>
      <c r="M475">
        <v>31</v>
      </c>
      <c r="N475">
        <v>5</v>
      </c>
      <c r="O475">
        <v>0</v>
      </c>
      <c r="P475">
        <v>2</v>
      </c>
      <c r="Q475" t="s">
        <v>31</v>
      </c>
      <c r="R475">
        <v>15</v>
      </c>
      <c r="S475">
        <v>4</v>
      </c>
      <c r="T475" t="s">
        <v>31</v>
      </c>
      <c r="U475" t="s">
        <v>63</v>
      </c>
      <c r="V475">
        <v>2026</v>
      </c>
      <c r="W475">
        <v>2</v>
      </c>
      <c r="X475" t="s">
        <v>1419</v>
      </c>
      <c r="Y475" s="6">
        <v>46054</v>
      </c>
      <c r="Z475" t="s">
        <v>1413</v>
      </c>
      <c r="AA475" t="s">
        <v>31</v>
      </c>
      <c r="AB475" t="s">
        <v>63</v>
      </c>
      <c r="AC475" t="s">
        <v>23</v>
      </c>
      <c r="AD475">
        <v>1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1</v>
      </c>
    </row>
    <row r="476" spans="1:36">
      <c r="A476" t="s">
        <v>604</v>
      </c>
      <c r="B476">
        <v>28.04</v>
      </c>
      <c r="C476" s="7">
        <v>46230.184027777781</v>
      </c>
      <c r="D476" s="7">
        <v>46231.35215525463</v>
      </c>
      <c r="E476" t="s">
        <v>23</v>
      </c>
      <c r="F476" t="s">
        <v>50</v>
      </c>
      <c r="G476" t="s">
        <v>51</v>
      </c>
      <c r="H476" t="s">
        <v>54</v>
      </c>
      <c r="I476" t="s">
        <v>35</v>
      </c>
      <c r="J476" t="s">
        <v>43</v>
      </c>
      <c r="K476" t="s">
        <v>37</v>
      </c>
      <c r="L476" t="s">
        <v>30</v>
      </c>
      <c r="M476">
        <v>71</v>
      </c>
      <c r="N476">
        <v>4</v>
      </c>
      <c r="O476">
        <v>0</v>
      </c>
      <c r="P476">
        <v>2</v>
      </c>
      <c r="Q476" t="s">
        <v>31</v>
      </c>
      <c r="R476">
        <v>120</v>
      </c>
      <c r="S476">
        <v>24</v>
      </c>
      <c r="T476" t="s">
        <v>63</v>
      </c>
      <c r="U476" t="s">
        <v>31</v>
      </c>
      <c r="V476">
        <v>2026</v>
      </c>
      <c r="W476">
        <v>7</v>
      </c>
      <c r="X476" t="s">
        <v>1422</v>
      </c>
      <c r="Y476" s="6">
        <v>46204</v>
      </c>
      <c r="Z476" t="s">
        <v>1413</v>
      </c>
      <c r="AA476" t="s">
        <v>31</v>
      </c>
      <c r="AB476" t="s">
        <v>63</v>
      </c>
      <c r="AC476" t="s">
        <v>23</v>
      </c>
      <c r="AD476">
        <v>1</v>
      </c>
      <c r="AE476">
        <v>0</v>
      </c>
      <c r="AF476">
        <v>1</v>
      </c>
      <c r="AG476">
        <v>0</v>
      </c>
      <c r="AH476">
        <v>0</v>
      </c>
      <c r="AI476">
        <v>1</v>
      </c>
      <c r="AJ476">
        <v>0</v>
      </c>
    </row>
    <row r="477" spans="1:36">
      <c r="A477" t="s">
        <v>605</v>
      </c>
      <c r="B477">
        <v>26.55</v>
      </c>
      <c r="C477" s="7">
        <v>46174.628472222219</v>
      </c>
      <c r="D477" s="7">
        <v>46175.734516793978</v>
      </c>
      <c r="E477" t="s">
        <v>23</v>
      </c>
      <c r="F477" t="s">
        <v>50</v>
      </c>
      <c r="G477" t="s">
        <v>41</v>
      </c>
      <c r="H477" t="s">
        <v>34</v>
      </c>
      <c r="I477" t="s">
        <v>35</v>
      </c>
      <c r="J477" t="s">
        <v>36</v>
      </c>
      <c r="K477" t="s">
        <v>29</v>
      </c>
      <c r="L477" t="s">
        <v>93</v>
      </c>
      <c r="M477">
        <v>202</v>
      </c>
      <c r="N477">
        <v>3</v>
      </c>
      <c r="O477">
        <v>1</v>
      </c>
      <c r="P477">
        <v>7</v>
      </c>
      <c r="Q477" t="s">
        <v>31</v>
      </c>
      <c r="R477">
        <v>120</v>
      </c>
      <c r="S477">
        <v>24</v>
      </c>
      <c r="T477" t="s">
        <v>31</v>
      </c>
      <c r="U477" t="s">
        <v>31</v>
      </c>
      <c r="V477">
        <v>2026</v>
      </c>
      <c r="W477">
        <v>6</v>
      </c>
      <c r="X477" t="s">
        <v>1421</v>
      </c>
      <c r="Y477" s="6">
        <v>46174</v>
      </c>
      <c r="Z477" t="s">
        <v>1418</v>
      </c>
      <c r="AA477" t="s">
        <v>63</v>
      </c>
      <c r="AB477" t="s">
        <v>63</v>
      </c>
      <c r="AC477" t="s">
        <v>23</v>
      </c>
      <c r="AD477">
        <v>1</v>
      </c>
      <c r="AE477">
        <v>0</v>
      </c>
      <c r="AF477">
        <v>1</v>
      </c>
      <c r="AG477">
        <v>1</v>
      </c>
      <c r="AH477">
        <v>0</v>
      </c>
      <c r="AI477">
        <v>0</v>
      </c>
      <c r="AJ477">
        <v>0</v>
      </c>
    </row>
    <row r="478" spans="1:36">
      <c r="A478" t="s">
        <v>606</v>
      </c>
      <c r="B478">
        <v>11.98</v>
      </c>
      <c r="C478" s="7">
        <v>46136.428472222222</v>
      </c>
      <c r="D478" s="7">
        <v>46136.927549282409</v>
      </c>
      <c r="E478" t="s">
        <v>23</v>
      </c>
      <c r="F478" t="s">
        <v>40</v>
      </c>
      <c r="G478" t="s">
        <v>25</v>
      </c>
      <c r="H478" t="s">
        <v>75</v>
      </c>
      <c r="I478" t="s">
        <v>35</v>
      </c>
      <c r="J478" t="s">
        <v>48</v>
      </c>
      <c r="K478" t="s">
        <v>52</v>
      </c>
      <c r="L478" t="s">
        <v>68</v>
      </c>
      <c r="M478">
        <v>18</v>
      </c>
      <c r="N478">
        <v>5</v>
      </c>
      <c r="O478">
        <v>0</v>
      </c>
      <c r="P478">
        <v>2</v>
      </c>
      <c r="Q478" t="s">
        <v>31</v>
      </c>
      <c r="R478">
        <v>30</v>
      </c>
      <c r="S478">
        <v>8</v>
      </c>
      <c r="T478" t="s">
        <v>63</v>
      </c>
      <c r="U478" t="s">
        <v>31</v>
      </c>
      <c r="V478">
        <v>2026</v>
      </c>
      <c r="W478">
        <v>4</v>
      </c>
      <c r="X478" t="s">
        <v>1412</v>
      </c>
      <c r="Y478" s="6">
        <v>46113</v>
      </c>
      <c r="Z478" t="s">
        <v>1413</v>
      </c>
      <c r="AA478" t="s">
        <v>31</v>
      </c>
      <c r="AB478" t="s">
        <v>63</v>
      </c>
      <c r="AC478" t="s">
        <v>23</v>
      </c>
      <c r="AD478">
        <v>1</v>
      </c>
      <c r="AE478">
        <v>0</v>
      </c>
      <c r="AF478">
        <v>1</v>
      </c>
      <c r="AG478">
        <v>0</v>
      </c>
      <c r="AH478">
        <v>0</v>
      </c>
      <c r="AI478">
        <v>1</v>
      </c>
      <c r="AJ478">
        <v>0</v>
      </c>
    </row>
    <row r="479" spans="1:36">
      <c r="A479" t="s">
        <v>607</v>
      </c>
      <c r="B479">
        <v>45.8</v>
      </c>
      <c r="C479" s="7">
        <v>46042.42291666667</v>
      </c>
      <c r="D479" s="7">
        <v>46044.331081562501</v>
      </c>
      <c r="E479" t="s">
        <v>23</v>
      </c>
      <c r="F479" t="s">
        <v>50</v>
      </c>
      <c r="G479" t="s">
        <v>25</v>
      </c>
      <c r="H479" t="s">
        <v>26</v>
      </c>
      <c r="I479" t="s">
        <v>42</v>
      </c>
      <c r="J479" t="s">
        <v>36</v>
      </c>
      <c r="K479" t="s">
        <v>58</v>
      </c>
      <c r="L479" t="s">
        <v>93</v>
      </c>
      <c r="M479">
        <v>56</v>
      </c>
      <c r="N479">
        <v>3</v>
      </c>
      <c r="O479">
        <v>1</v>
      </c>
      <c r="P479">
        <v>6</v>
      </c>
      <c r="Q479" t="s">
        <v>31</v>
      </c>
      <c r="R479">
        <v>120</v>
      </c>
      <c r="S479">
        <v>24</v>
      </c>
      <c r="T479" t="s">
        <v>63</v>
      </c>
      <c r="U479" t="s">
        <v>31</v>
      </c>
      <c r="V479">
        <v>2026</v>
      </c>
      <c r="W479">
        <v>1</v>
      </c>
      <c r="X479" t="s">
        <v>1414</v>
      </c>
      <c r="Y479" s="6">
        <v>46023</v>
      </c>
      <c r="Z479" t="s">
        <v>1418</v>
      </c>
      <c r="AA479" t="s">
        <v>63</v>
      </c>
      <c r="AB479" t="s">
        <v>63</v>
      </c>
      <c r="AC479" t="s">
        <v>23</v>
      </c>
      <c r="AD479">
        <v>1</v>
      </c>
      <c r="AE479">
        <v>0</v>
      </c>
      <c r="AF479">
        <v>1</v>
      </c>
      <c r="AG479">
        <v>1</v>
      </c>
      <c r="AH479">
        <v>0</v>
      </c>
      <c r="AI479">
        <v>1</v>
      </c>
      <c r="AJ479">
        <v>0</v>
      </c>
    </row>
    <row r="480" spans="1:36">
      <c r="A480" t="s">
        <v>608</v>
      </c>
      <c r="B480">
        <v>12.93</v>
      </c>
      <c r="C480" s="7">
        <v>46129.682638888888</v>
      </c>
      <c r="D480" s="7">
        <v>46130.221323298611</v>
      </c>
      <c r="E480" t="s">
        <v>23</v>
      </c>
      <c r="F480" t="s">
        <v>50</v>
      </c>
      <c r="G480" t="s">
        <v>51</v>
      </c>
      <c r="H480" t="s">
        <v>54</v>
      </c>
      <c r="I480" t="s">
        <v>27</v>
      </c>
      <c r="J480" t="s">
        <v>43</v>
      </c>
      <c r="K480" t="s">
        <v>58</v>
      </c>
      <c r="L480" t="s">
        <v>85</v>
      </c>
      <c r="M480">
        <v>154</v>
      </c>
      <c r="N480">
        <v>4</v>
      </c>
      <c r="O480">
        <v>0</v>
      </c>
      <c r="P480">
        <v>5</v>
      </c>
      <c r="Q480" t="s">
        <v>31</v>
      </c>
      <c r="R480">
        <v>120</v>
      </c>
      <c r="S480">
        <v>24</v>
      </c>
      <c r="T480" t="s">
        <v>31</v>
      </c>
      <c r="U480" t="s">
        <v>63</v>
      </c>
      <c r="V480">
        <v>2026</v>
      </c>
      <c r="W480">
        <v>4</v>
      </c>
      <c r="X480" t="s">
        <v>1412</v>
      </c>
      <c r="Y480" s="6">
        <v>46113</v>
      </c>
      <c r="Z480" t="s">
        <v>1413</v>
      </c>
      <c r="AA480" t="s">
        <v>31</v>
      </c>
      <c r="AB480" t="s">
        <v>63</v>
      </c>
      <c r="AC480" t="s">
        <v>23</v>
      </c>
      <c r="AD480">
        <v>1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1</v>
      </c>
    </row>
    <row r="481" spans="1:36">
      <c r="A481" t="s">
        <v>609</v>
      </c>
      <c r="B481">
        <v>9.0500000000000007</v>
      </c>
      <c r="C481" s="7">
        <v>46178.770138888889</v>
      </c>
      <c r="D481" s="7">
        <v>46179.147351192129</v>
      </c>
      <c r="E481" t="s">
        <v>23</v>
      </c>
      <c r="F481" t="s">
        <v>33</v>
      </c>
      <c r="G481" t="s">
        <v>51</v>
      </c>
      <c r="H481" t="s">
        <v>54</v>
      </c>
      <c r="I481" t="s">
        <v>35</v>
      </c>
      <c r="J481" t="s">
        <v>36</v>
      </c>
      <c r="K481" t="s">
        <v>52</v>
      </c>
      <c r="L481" t="s">
        <v>101</v>
      </c>
      <c r="M481">
        <v>181</v>
      </c>
      <c r="N481">
        <v>4</v>
      </c>
      <c r="O481">
        <v>0</v>
      </c>
      <c r="P481">
        <v>7</v>
      </c>
      <c r="Q481" t="s">
        <v>31</v>
      </c>
      <c r="R481">
        <v>240</v>
      </c>
      <c r="S481">
        <v>48</v>
      </c>
      <c r="T481" t="s">
        <v>63</v>
      </c>
      <c r="U481" t="s">
        <v>63</v>
      </c>
      <c r="V481">
        <v>2026</v>
      </c>
      <c r="W481">
        <v>6</v>
      </c>
      <c r="X481" t="s">
        <v>1421</v>
      </c>
      <c r="Y481" s="6">
        <v>46174</v>
      </c>
      <c r="Z481" t="s">
        <v>1413</v>
      </c>
      <c r="AA481" t="s">
        <v>31</v>
      </c>
      <c r="AB481" t="s">
        <v>63</v>
      </c>
      <c r="AC481" t="s">
        <v>23</v>
      </c>
      <c r="AD481">
        <v>1</v>
      </c>
      <c r="AE481">
        <v>0</v>
      </c>
      <c r="AF481">
        <v>1</v>
      </c>
      <c r="AG481">
        <v>0</v>
      </c>
      <c r="AH481">
        <v>0</v>
      </c>
      <c r="AI481">
        <v>1</v>
      </c>
      <c r="AJ481">
        <v>1</v>
      </c>
    </row>
    <row r="482" spans="1:36">
      <c r="A482" t="s">
        <v>610</v>
      </c>
      <c r="C482" s="7">
        <v>46106.242361111108</v>
      </c>
      <c r="D482" s="7"/>
      <c r="E482" t="s">
        <v>74</v>
      </c>
      <c r="F482" t="s">
        <v>40</v>
      </c>
      <c r="G482" t="s">
        <v>51</v>
      </c>
      <c r="H482" t="s">
        <v>26</v>
      </c>
      <c r="I482" t="s">
        <v>35</v>
      </c>
      <c r="J482" t="s">
        <v>28</v>
      </c>
      <c r="K482" t="s">
        <v>52</v>
      </c>
      <c r="L482" t="s">
        <v>101</v>
      </c>
      <c r="M482">
        <v>27</v>
      </c>
      <c r="O482">
        <v>0</v>
      </c>
      <c r="P482">
        <v>3</v>
      </c>
      <c r="Q482" t="s">
        <v>31</v>
      </c>
      <c r="R482">
        <v>30</v>
      </c>
      <c r="S482">
        <v>8</v>
      </c>
      <c r="T482" t="s">
        <v>63</v>
      </c>
      <c r="U482" t="s">
        <v>74</v>
      </c>
      <c r="V482">
        <v>2026</v>
      </c>
      <c r="W482">
        <v>3</v>
      </c>
      <c r="X482" t="s">
        <v>1423</v>
      </c>
      <c r="Y482" s="6">
        <v>46082</v>
      </c>
      <c r="Z482" t="s">
        <v>1420</v>
      </c>
      <c r="AA482" t="s">
        <v>31</v>
      </c>
      <c r="AB482" t="s">
        <v>31</v>
      </c>
      <c r="AC482" t="s">
        <v>74</v>
      </c>
      <c r="AD482">
        <v>1</v>
      </c>
      <c r="AE482">
        <v>1</v>
      </c>
      <c r="AF482">
        <v>0</v>
      </c>
      <c r="AG482">
        <v>0</v>
      </c>
      <c r="AH482">
        <v>0</v>
      </c>
      <c r="AI482">
        <v>1</v>
      </c>
    </row>
    <row r="483" spans="1:36">
      <c r="A483" t="s">
        <v>611</v>
      </c>
      <c r="B483">
        <v>6.86</v>
      </c>
      <c r="C483" s="7">
        <v>46113.095138888886</v>
      </c>
      <c r="D483" s="7">
        <v>46113.380835439813</v>
      </c>
      <c r="E483" t="s">
        <v>23</v>
      </c>
      <c r="F483" t="s">
        <v>40</v>
      </c>
      <c r="G483" t="s">
        <v>51</v>
      </c>
      <c r="H483" t="s">
        <v>26</v>
      </c>
      <c r="I483" t="s">
        <v>27</v>
      </c>
      <c r="J483" t="s">
        <v>36</v>
      </c>
      <c r="K483" t="s">
        <v>52</v>
      </c>
      <c r="L483" t="s">
        <v>55</v>
      </c>
      <c r="M483">
        <v>79</v>
      </c>
      <c r="N483">
        <v>4</v>
      </c>
      <c r="O483">
        <v>0</v>
      </c>
      <c r="P483">
        <v>6</v>
      </c>
      <c r="Q483" t="s">
        <v>31</v>
      </c>
      <c r="R483">
        <v>30</v>
      </c>
      <c r="S483">
        <v>8</v>
      </c>
      <c r="T483" t="s">
        <v>31</v>
      </c>
      <c r="U483" t="s">
        <v>63</v>
      </c>
      <c r="V483">
        <v>2026</v>
      </c>
      <c r="W483">
        <v>4</v>
      </c>
      <c r="X483" t="s">
        <v>1412</v>
      </c>
      <c r="Y483" s="6">
        <v>46113</v>
      </c>
      <c r="Z483" t="s">
        <v>1413</v>
      </c>
      <c r="AA483" t="s">
        <v>31</v>
      </c>
      <c r="AB483" t="s">
        <v>63</v>
      </c>
      <c r="AC483" t="s">
        <v>23</v>
      </c>
      <c r="AD483">
        <v>1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1</v>
      </c>
    </row>
    <row r="484" spans="1:36">
      <c r="A484" t="s">
        <v>612</v>
      </c>
      <c r="B484">
        <v>22.13</v>
      </c>
      <c r="C484" s="7">
        <v>46125.211805555555</v>
      </c>
      <c r="D484" s="7">
        <v>46126.13374646991</v>
      </c>
      <c r="E484" t="s">
        <v>23</v>
      </c>
      <c r="F484" t="s">
        <v>33</v>
      </c>
      <c r="G484" t="s">
        <v>25</v>
      </c>
      <c r="H484" t="s">
        <v>54</v>
      </c>
      <c r="I484" t="s">
        <v>35</v>
      </c>
      <c r="J484" t="s">
        <v>43</v>
      </c>
      <c r="K484" t="s">
        <v>58</v>
      </c>
      <c r="L484" t="s">
        <v>71</v>
      </c>
      <c r="M484">
        <v>683</v>
      </c>
      <c r="N484">
        <v>2</v>
      </c>
      <c r="O484">
        <v>2</v>
      </c>
      <c r="P484">
        <v>14</v>
      </c>
      <c r="Q484" t="s">
        <v>63</v>
      </c>
      <c r="R484">
        <v>240</v>
      </c>
      <c r="S484">
        <v>48</v>
      </c>
      <c r="T484" t="s">
        <v>31</v>
      </c>
      <c r="U484" t="s">
        <v>63</v>
      </c>
      <c r="V484">
        <v>2026</v>
      </c>
      <c r="W484">
        <v>4</v>
      </c>
      <c r="X484" t="s">
        <v>1412</v>
      </c>
      <c r="Y484" s="6">
        <v>46113</v>
      </c>
      <c r="Z484" t="s">
        <v>1415</v>
      </c>
      <c r="AA484" t="s">
        <v>63</v>
      </c>
      <c r="AB484" t="s">
        <v>63</v>
      </c>
      <c r="AC484" t="s">
        <v>23</v>
      </c>
      <c r="AD484">
        <v>1</v>
      </c>
      <c r="AE484">
        <v>0</v>
      </c>
      <c r="AF484">
        <v>1</v>
      </c>
      <c r="AG484">
        <v>1</v>
      </c>
      <c r="AH484">
        <v>1</v>
      </c>
      <c r="AI484">
        <v>0</v>
      </c>
      <c r="AJ484">
        <v>1</v>
      </c>
    </row>
    <row r="485" spans="1:36">
      <c r="A485" t="s">
        <v>613</v>
      </c>
      <c r="B485">
        <v>17.57</v>
      </c>
      <c r="C485" s="7">
        <v>46162.981944444444</v>
      </c>
      <c r="D485" s="7">
        <v>46163.714192129628</v>
      </c>
      <c r="E485" t="s">
        <v>23</v>
      </c>
      <c r="F485" t="s">
        <v>33</v>
      </c>
      <c r="G485" t="s">
        <v>41</v>
      </c>
      <c r="H485" t="s">
        <v>26</v>
      </c>
      <c r="I485" t="s">
        <v>42</v>
      </c>
      <c r="J485" t="s">
        <v>48</v>
      </c>
      <c r="K485" t="s">
        <v>37</v>
      </c>
      <c r="L485" t="s">
        <v>93</v>
      </c>
      <c r="M485">
        <v>225</v>
      </c>
      <c r="N485">
        <v>4</v>
      </c>
      <c r="O485">
        <v>0</v>
      </c>
      <c r="P485">
        <v>4</v>
      </c>
      <c r="Q485" t="s">
        <v>31</v>
      </c>
      <c r="R485">
        <v>240</v>
      </c>
      <c r="S485">
        <v>48</v>
      </c>
      <c r="T485" t="s">
        <v>63</v>
      </c>
      <c r="U485" t="s">
        <v>63</v>
      </c>
      <c r="V485">
        <v>2026</v>
      </c>
      <c r="W485">
        <v>5</v>
      </c>
      <c r="X485" t="s">
        <v>1416</v>
      </c>
      <c r="Y485" s="6">
        <v>46143</v>
      </c>
      <c r="Z485" t="s">
        <v>1413</v>
      </c>
      <c r="AA485" t="s">
        <v>31</v>
      </c>
      <c r="AB485" t="s">
        <v>63</v>
      </c>
      <c r="AC485" t="s">
        <v>23</v>
      </c>
      <c r="AD485">
        <v>1</v>
      </c>
      <c r="AE485">
        <v>0</v>
      </c>
      <c r="AF485">
        <v>1</v>
      </c>
      <c r="AG485">
        <v>0</v>
      </c>
      <c r="AH485">
        <v>0</v>
      </c>
      <c r="AI485">
        <v>1</v>
      </c>
      <c r="AJ485">
        <v>1</v>
      </c>
    </row>
    <row r="486" spans="1:36">
      <c r="A486" t="s">
        <v>614</v>
      </c>
      <c r="B486">
        <v>77.510000000000005</v>
      </c>
      <c r="C486" s="7">
        <v>46033.655555555553</v>
      </c>
      <c r="D486" s="7">
        <v>46036.885246504629</v>
      </c>
      <c r="E486" t="s">
        <v>23</v>
      </c>
      <c r="F486" t="s">
        <v>33</v>
      </c>
      <c r="G486" t="s">
        <v>41</v>
      </c>
      <c r="H486" t="s">
        <v>26</v>
      </c>
      <c r="I486" t="s">
        <v>27</v>
      </c>
      <c r="J486" t="s">
        <v>36</v>
      </c>
      <c r="K486" t="s">
        <v>76</v>
      </c>
      <c r="L486" t="s">
        <v>62</v>
      </c>
      <c r="M486">
        <v>265</v>
      </c>
      <c r="N486">
        <v>3</v>
      </c>
      <c r="O486">
        <v>0</v>
      </c>
      <c r="P486">
        <v>2</v>
      </c>
      <c r="Q486" t="s">
        <v>31</v>
      </c>
      <c r="R486">
        <v>240</v>
      </c>
      <c r="S486">
        <v>48</v>
      </c>
      <c r="T486" t="s">
        <v>31</v>
      </c>
      <c r="U486" t="s">
        <v>31</v>
      </c>
      <c r="V486">
        <v>2026</v>
      </c>
      <c r="W486">
        <v>1</v>
      </c>
      <c r="X486" t="s">
        <v>1414</v>
      </c>
      <c r="Y486" s="6">
        <v>46023</v>
      </c>
      <c r="Z486" t="s">
        <v>1418</v>
      </c>
      <c r="AA486" t="s">
        <v>31</v>
      </c>
      <c r="AB486" t="s">
        <v>63</v>
      </c>
      <c r="AC486" t="s">
        <v>23</v>
      </c>
      <c r="AD486">
        <v>1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</row>
    <row r="487" spans="1:36">
      <c r="A487" t="s">
        <v>615</v>
      </c>
      <c r="B487">
        <v>30.61</v>
      </c>
      <c r="C487" s="7">
        <v>46061.825694444444</v>
      </c>
      <c r="D487" s="7">
        <v>46063.101093611112</v>
      </c>
      <c r="E487" t="s">
        <v>23</v>
      </c>
      <c r="F487" t="s">
        <v>33</v>
      </c>
      <c r="G487" t="s">
        <v>51</v>
      </c>
      <c r="H487" t="s">
        <v>26</v>
      </c>
      <c r="I487" t="s">
        <v>42</v>
      </c>
      <c r="J487" t="s">
        <v>36</v>
      </c>
      <c r="K487" t="s">
        <v>76</v>
      </c>
      <c r="L487" t="s">
        <v>44</v>
      </c>
      <c r="M487">
        <v>160</v>
      </c>
      <c r="N487">
        <v>4</v>
      </c>
      <c r="O487">
        <v>0</v>
      </c>
      <c r="P487">
        <v>7</v>
      </c>
      <c r="Q487" t="s">
        <v>31</v>
      </c>
      <c r="R487">
        <v>240</v>
      </c>
      <c r="S487">
        <v>48</v>
      </c>
      <c r="T487" t="s">
        <v>63</v>
      </c>
      <c r="U487" t="s">
        <v>63</v>
      </c>
      <c r="V487">
        <v>2026</v>
      </c>
      <c r="W487">
        <v>2</v>
      </c>
      <c r="X487" t="s">
        <v>1419</v>
      </c>
      <c r="Y487" s="6">
        <v>46054</v>
      </c>
      <c r="Z487" t="s">
        <v>1413</v>
      </c>
      <c r="AA487" t="s">
        <v>31</v>
      </c>
      <c r="AB487" t="s">
        <v>63</v>
      </c>
      <c r="AC487" t="s">
        <v>23</v>
      </c>
      <c r="AD487">
        <v>1</v>
      </c>
      <c r="AE487">
        <v>0</v>
      </c>
      <c r="AF487">
        <v>1</v>
      </c>
      <c r="AG487">
        <v>0</v>
      </c>
      <c r="AH487">
        <v>0</v>
      </c>
      <c r="AI487">
        <v>1</v>
      </c>
      <c r="AJ487">
        <v>1</v>
      </c>
    </row>
    <row r="488" spans="1:36">
      <c r="A488" t="s">
        <v>616</v>
      </c>
      <c r="B488">
        <v>48.54</v>
      </c>
      <c r="C488" s="7">
        <v>46109.260416666664</v>
      </c>
      <c r="D488" s="7">
        <v>46111.282776296299</v>
      </c>
      <c r="E488" t="s">
        <v>23</v>
      </c>
      <c r="F488" t="s">
        <v>50</v>
      </c>
      <c r="G488" t="s">
        <v>25</v>
      </c>
      <c r="H488" t="s">
        <v>75</v>
      </c>
      <c r="I488" t="s">
        <v>35</v>
      </c>
      <c r="J488" t="s">
        <v>28</v>
      </c>
      <c r="K488" t="s">
        <v>37</v>
      </c>
      <c r="L488" t="s">
        <v>55</v>
      </c>
      <c r="M488">
        <v>55</v>
      </c>
      <c r="N488">
        <v>4</v>
      </c>
      <c r="O488">
        <v>0</v>
      </c>
      <c r="P488">
        <v>4</v>
      </c>
      <c r="Q488" t="s">
        <v>31</v>
      </c>
      <c r="R488">
        <v>120</v>
      </c>
      <c r="S488">
        <v>24</v>
      </c>
      <c r="T488" t="s">
        <v>63</v>
      </c>
      <c r="U488" t="s">
        <v>31</v>
      </c>
      <c r="V488">
        <v>2026</v>
      </c>
      <c r="W488">
        <v>3</v>
      </c>
      <c r="X488" t="s">
        <v>1423</v>
      </c>
      <c r="Y488" s="6">
        <v>46082</v>
      </c>
      <c r="Z488" t="s">
        <v>1413</v>
      </c>
      <c r="AA488" t="s">
        <v>31</v>
      </c>
      <c r="AB488" t="s">
        <v>63</v>
      </c>
      <c r="AC488" t="s">
        <v>23</v>
      </c>
      <c r="AD488">
        <v>1</v>
      </c>
      <c r="AE488">
        <v>0</v>
      </c>
      <c r="AF488">
        <v>1</v>
      </c>
      <c r="AG488">
        <v>0</v>
      </c>
      <c r="AH488">
        <v>0</v>
      </c>
      <c r="AI488">
        <v>1</v>
      </c>
      <c r="AJ488">
        <v>0</v>
      </c>
    </row>
    <row r="489" spans="1:36">
      <c r="A489" t="s">
        <v>617</v>
      </c>
      <c r="B489">
        <v>25.8</v>
      </c>
      <c r="C489" s="7">
        <v>46055.086111111108</v>
      </c>
      <c r="D489" s="7">
        <v>46056.16121791667</v>
      </c>
      <c r="E489" t="s">
        <v>23</v>
      </c>
      <c r="F489" t="s">
        <v>50</v>
      </c>
      <c r="G489" t="s">
        <v>25</v>
      </c>
      <c r="H489" t="s">
        <v>26</v>
      </c>
      <c r="I489" t="s">
        <v>42</v>
      </c>
      <c r="J489" t="s">
        <v>43</v>
      </c>
      <c r="K489" t="s">
        <v>58</v>
      </c>
      <c r="L489" t="s">
        <v>55</v>
      </c>
      <c r="M489">
        <v>203</v>
      </c>
      <c r="N489">
        <v>4</v>
      </c>
      <c r="O489">
        <v>0</v>
      </c>
      <c r="P489">
        <v>6</v>
      </c>
      <c r="Q489" t="s">
        <v>31</v>
      </c>
      <c r="R489">
        <v>120</v>
      </c>
      <c r="S489">
        <v>24</v>
      </c>
      <c r="T489" t="s">
        <v>31</v>
      </c>
      <c r="U489" t="s">
        <v>31</v>
      </c>
      <c r="V489">
        <v>2026</v>
      </c>
      <c r="W489">
        <v>2</v>
      </c>
      <c r="X489" t="s">
        <v>1419</v>
      </c>
      <c r="Y489" s="6">
        <v>46054</v>
      </c>
      <c r="Z489" t="s">
        <v>1413</v>
      </c>
      <c r="AA489" t="s">
        <v>31</v>
      </c>
      <c r="AB489" t="s">
        <v>63</v>
      </c>
      <c r="AC489" t="s">
        <v>23</v>
      </c>
      <c r="AD489">
        <v>1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</row>
    <row r="490" spans="1:36">
      <c r="A490" t="s">
        <v>620</v>
      </c>
      <c r="B490">
        <v>108.5</v>
      </c>
      <c r="C490" s="7">
        <v>46141.597222222219</v>
      </c>
      <c r="D490" s="7">
        <v>46146.118132569442</v>
      </c>
      <c r="E490" t="s">
        <v>23</v>
      </c>
      <c r="F490" t="s">
        <v>33</v>
      </c>
      <c r="G490" t="s">
        <v>51</v>
      </c>
      <c r="H490" t="s">
        <v>75</v>
      </c>
      <c r="I490" t="s">
        <v>42</v>
      </c>
      <c r="J490" t="s">
        <v>43</v>
      </c>
      <c r="K490" t="s">
        <v>37</v>
      </c>
      <c r="L490" t="s">
        <v>30</v>
      </c>
      <c r="M490">
        <v>146</v>
      </c>
      <c r="N490">
        <v>3</v>
      </c>
      <c r="O490">
        <v>0</v>
      </c>
      <c r="P490">
        <v>8</v>
      </c>
      <c r="Q490" t="s">
        <v>63</v>
      </c>
      <c r="R490">
        <v>240</v>
      </c>
      <c r="S490">
        <v>48</v>
      </c>
      <c r="T490" t="s">
        <v>63</v>
      </c>
      <c r="U490" t="s">
        <v>31</v>
      </c>
      <c r="V490">
        <v>2026</v>
      </c>
      <c r="W490">
        <v>4</v>
      </c>
      <c r="X490" t="s">
        <v>1412</v>
      </c>
      <c r="Y490" s="6">
        <v>46113</v>
      </c>
      <c r="Z490" t="s">
        <v>1418</v>
      </c>
      <c r="AA490" t="s">
        <v>31</v>
      </c>
      <c r="AB490" t="s">
        <v>63</v>
      </c>
      <c r="AC490" t="s">
        <v>23</v>
      </c>
      <c r="AD490">
        <v>1</v>
      </c>
      <c r="AE490">
        <v>0</v>
      </c>
      <c r="AF490">
        <v>1</v>
      </c>
      <c r="AG490">
        <v>0</v>
      </c>
      <c r="AH490">
        <v>1</v>
      </c>
      <c r="AI490">
        <v>1</v>
      </c>
      <c r="AJ490">
        <v>0</v>
      </c>
    </row>
    <row r="491" spans="1:36">
      <c r="A491" t="s">
        <v>621</v>
      </c>
      <c r="B491">
        <v>44.83</v>
      </c>
      <c r="C491" s="7">
        <v>46088.754166666666</v>
      </c>
      <c r="D491" s="7">
        <v>46090.622084710645</v>
      </c>
      <c r="E491" t="s">
        <v>23</v>
      </c>
      <c r="F491" t="s">
        <v>33</v>
      </c>
      <c r="G491" t="s">
        <v>51</v>
      </c>
      <c r="H491" t="s">
        <v>54</v>
      </c>
      <c r="I491" t="s">
        <v>42</v>
      </c>
      <c r="J491" t="s">
        <v>43</v>
      </c>
      <c r="K491" t="s">
        <v>67</v>
      </c>
      <c r="L491" t="s">
        <v>62</v>
      </c>
      <c r="M491">
        <v>116</v>
      </c>
      <c r="N491">
        <v>4</v>
      </c>
      <c r="O491">
        <v>0</v>
      </c>
      <c r="P491">
        <v>7</v>
      </c>
      <c r="Q491" t="s">
        <v>31</v>
      </c>
      <c r="R491">
        <v>240</v>
      </c>
      <c r="S491">
        <v>48</v>
      </c>
      <c r="T491" t="s">
        <v>63</v>
      </c>
      <c r="U491" t="s">
        <v>63</v>
      </c>
      <c r="V491">
        <v>2026</v>
      </c>
      <c r="W491">
        <v>3</v>
      </c>
      <c r="X491" t="s">
        <v>1423</v>
      </c>
      <c r="Y491" s="6">
        <v>46082</v>
      </c>
      <c r="Z491" t="s">
        <v>1413</v>
      </c>
      <c r="AA491" t="s">
        <v>31</v>
      </c>
      <c r="AB491" t="s">
        <v>63</v>
      </c>
      <c r="AC491" t="s">
        <v>23</v>
      </c>
      <c r="AD491">
        <v>1</v>
      </c>
      <c r="AE491">
        <v>0</v>
      </c>
      <c r="AF491">
        <v>1</v>
      </c>
      <c r="AG491">
        <v>0</v>
      </c>
      <c r="AH491">
        <v>0</v>
      </c>
      <c r="AI491">
        <v>1</v>
      </c>
      <c r="AJ491">
        <v>1</v>
      </c>
    </row>
    <row r="492" spans="1:36">
      <c r="A492" t="s">
        <v>622</v>
      </c>
      <c r="B492">
        <v>13.45</v>
      </c>
      <c r="C492" s="7">
        <v>46044.888194444444</v>
      </c>
      <c r="D492" s="7">
        <v>46045.448520590275</v>
      </c>
      <c r="E492" t="s">
        <v>23</v>
      </c>
      <c r="F492" t="s">
        <v>50</v>
      </c>
      <c r="G492" t="s">
        <v>51</v>
      </c>
      <c r="H492" t="s">
        <v>34</v>
      </c>
      <c r="I492" t="s">
        <v>27</v>
      </c>
      <c r="J492" t="s">
        <v>43</v>
      </c>
      <c r="K492" t="s">
        <v>29</v>
      </c>
      <c r="L492" t="s">
        <v>62</v>
      </c>
      <c r="M492">
        <v>337</v>
      </c>
      <c r="N492">
        <v>3</v>
      </c>
      <c r="O492">
        <v>1</v>
      </c>
      <c r="P492">
        <v>9</v>
      </c>
      <c r="Q492" t="s">
        <v>31</v>
      </c>
      <c r="R492">
        <v>120</v>
      </c>
      <c r="S492">
        <v>24</v>
      </c>
      <c r="T492" t="s">
        <v>31</v>
      </c>
      <c r="U492" t="s">
        <v>63</v>
      </c>
      <c r="V492">
        <v>2026</v>
      </c>
      <c r="W492">
        <v>1</v>
      </c>
      <c r="X492" t="s">
        <v>1414</v>
      </c>
      <c r="Y492" s="6">
        <v>46023</v>
      </c>
      <c r="Z492" t="s">
        <v>1418</v>
      </c>
      <c r="AA492" t="s">
        <v>63</v>
      </c>
      <c r="AB492" t="s">
        <v>63</v>
      </c>
      <c r="AC492" t="s">
        <v>23</v>
      </c>
      <c r="AD492">
        <v>1</v>
      </c>
      <c r="AE492">
        <v>0</v>
      </c>
      <c r="AF492">
        <v>1</v>
      </c>
      <c r="AG492">
        <v>1</v>
      </c>
      <c r="AH492">
        <v>0</v>
      </c>
      <c r="AI492">
        <v>0</v>
      </c>
      <c r="AJ492">
        <v>1</v>
      </c>
    </row>
    <row r="493" spans="1:36">
      <c r="A493" t="s">
        <v>623</v>
      </c>
      <c r="B493">
        <v>3.56</v>
      </c>
      <c r="C493" s="7">
        <v>46120.140972222223</v>
      </c>
      <c r="D493" s="7">
        <v>46120.289466666669</v>
      </c>
      <c r="E493" t="s">
        <v>23</v>
      </c>
      <c r="F493" t="s">
        <v>24</v>
      </c>
      <c r="G493" t="s">
        <v>25</v>
      </c>
      <c r="H493" t="s">
        <v>34</v>
      </c>
      <c r="I493" t="s">
        <v>35</v>
      </c>
      <c r="J493" t="s">
        <v>48</v>
      </c>
      <c r="K493" t="s">
        <v>37</v>
      </c>
      <c r="L493" t="s">
        <v>38</v>
      </c>
      <c r="M493">
        <v>42</v>
      </c>
      <c r="N493">
        <v>5</v>
      </c>
      <c r="O493">
        <v>0</v>
      </c>
      <c r="P493">
        <v>2</v>
      </c>
      <c r="Q493" t="s">
        <v>31</v>
      </c>
      <c r="R493">
        <v>15</v>
      </c>
      <c r="S493">
        <v>4</v>
      </c>
      <c r="T493" t="s">
        <v>31</v>
      </c>
      <c r="U493" t="s">
        <v>63</v>
      </c>
      <c r="V493">
        <v>2026</v>
      </c>
      <c r="W493">
        <v>4</v>
      </c>
      <c r="X493" t="s">
        <v>1412</v>
      </c>
      <c r="Y493" s="6">
        <v>46113</v>
      </c>
      <c r="Z493" t="s">
        <v>1413</v>
      </c>
      <c r="AA493" t="s">
        <v>31</v>
      </c>
      <c r="AB493" t="s">
        <v>63</v>
      </c>
      <c r="AC493" t="s">
        <v>23</v>
      </c>
      <c r="AD493">
        <v>1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1</v>
      </c>
    </row>
    <row r="494" spans="1:36">
      <c r="A494" t="s">
        <v>625</v>
      </c>
      <c r="B494">
        <v>5.98</v>
      </c>
      <c r="C494" s="7">
        <v>46195.372916666667</v>
      </c>
      <c r="D494" s="7">
        <v>46195.622103090274</v>
      </c>
      <c r="E494" t="s">
        <v>23</v>
      </c>
      <c r="F494" t="s">
        <v>40</v>
      </c>
      <c r="G494" t="s">
        <v>51</v>
      </c>
      <c r="H494" t="s">
        <v>26</v>
      </c>
      <c r="I494" t="s">
        <v>42</v>
      </c>
      <c r="J494" t="s">
        <v>36</v>
      </c>
      <c r="K494" t="s">
        <v>29</v>
      </c>
      <c r="L494" t="s">
        <v>44</v>
      </c>
      <c r="M494">
        <v>20</v>
      </c>
      <c r="N494">
        <v>5</v>
      </c>
      <c r="O494">
        <v>0</v>
      </c>
      <c r="P494">
        <v>4</v>
      </c>
      <c r="Q494" t="s">
        <v>31</v>
      </c>
      <c r="R494">
        <v>30</v>
      </c>
      <c r="S494">
        <v>8</v>
      </c>
      <c r="T494" t="s">
        <v>63</v>
      </c>
      <c r="U494" t="s">
        <v>63</v>
      </c>
      <c r="V494">
        <v>2026</v>
      </c>
      <c r="W494">
        <v>6</v>
      </c>
      <c r="X494" t="s">
        <v>1421</v>
      </c>
      <c r="Y494" s="6">
        <v>46174</v>
      </c>
      <c r="Z494" t="s">
        <v>1413</v>
      </c>
      <c r="AA494" t="s">
        <v>31</v>
      </c>
      <c r="AB494" t="s">
        <v>63</v>
      </c>
      <c r="AC494" t="s">
        <v>23</v>
      </c>
      <c r="AD494">
        <v>1</v>
      </c>
      <c r="AE494">
        <v>0</v>
      </c>
      <c r="AF494">
        <v>1</v>
      </c>
      <c r="AG494">
        <v>0</v>
      </c>
      <c r="AH494">
        <v>0</v>
      </c>
      <c r="AI494">
        <v>1</v>
      </c>
      <c r="AJ494">
        <v>1</v>
      </c>
    </row>
    <row r="495" spans="1:36">
      <c r="A495" t="s">
        <v>626</v>
      </c>
      <c r="B495">
        <v>47.28</v>
      </c>
      <c r="C495" s="7">
        <v>46194.052777777775</v>
      </c>
      <c r="D495" s="7">
        <v>46196.02279447917</v>
      </c>
      <c r="E495" t="s">
        <v>23</v>
      </c>
      <c r="F495" t="s">
        <v>33</v>
      </c>
      <c r="G495" t="s">
        <v>51</v>
      </c>
      <c r="H495" t="s">
        <v>26</v>
      </c>
      <c r="I495" t="s">
        <v>35</v>
      </c>
      <c r="J495" t="s">
        <v>48</v>
      </c>
      <c r="K495" t="s">
        <v>37</v>
      </c>
      <c r="L495" t="s">
        <v>44</v>
      </c>
      <c r="M495">
        <v>110</v>
      </c>
      <c r="N495">
        <v>3</v>
      </c>
      <c r="O495">
        <v>2</v>
      </c>
      <c r="P495">
        <v>15</v>
      </c>
      <c r="Q495" t="s">
        <v>31</v>
      </c>
      <c r="R495">
        <v>240</v>
      </c>
      <c r="S495">
        <v>48</v>
      </c>
      <c r="T495" t="s">
        <v>63</v>
      </c>
      <c r="U495" t="s">
        <v>63</v>
      </c>
      <c r="V495">
        <v>2026</v>
      </c>
      <c r="W495">
        <v>6</v>
      </c>
      <c r="X495" t="s">
        <v>1421</v>
      </c>
      <c r="Y495" s="6">
        <v>46174</v>
      </c>
      <c r="Z495" t="s">
        <v>1418</v>
      </c>
      <c r="AA495" t="s">
        <v>63</v>
      </c>
      <c r="AB495" t="s">
        <v>63</v>
      </c>
      <c r="AC495" t="s">
        <v>23</v>
      </c>
      <c r="AD495">
        <v>1</v>
      </c>
      <c r="AE495">
        <v>0</v>
      </c>
      <c r="AF495">
        <v>1</v>
      </c>
      <c r="AG495">
        <v>1</v>
      </c>
      <c r="AH495">
        <v>0</v>
      </c>
      <c r="AI495">
        <v>1</v>
      </c>
      <c r="AJ495">
        <v>1</v>
      </c>
    </row>
    <row r="496" spans="1:36">
      <c r="A496" t="s">
        <v>628</v>
      </c>
      <c r="B496">
        <v>8.4</v>
      </c>
      <c r="C496" s="7">
        <v>46034.383333333331</v>
      </c>
      <c r="D496" s="7">
        <v>46034.733509733793</v>
      </c>
      <c r="E496" t="s">
        <v>23</v>
      </c>
      <c r="F496" t="s">
        <v>50</v>
      </c>
      <c r="G496" t="s">
        <v>41</v>
      </c>
      <c r="H496" t="s">
        <v>26</v>
      </c>
      <c r="I496" t="s">
        <v>35</v>
      </c>
      <c r="J496" t="s">
        <v>43</v>
      </c>
      <c r="K496" t="s">
        <v>29</v>
      </c>
      <c r="L496" t="s">
        <v>85</v>
      </c>
      <c r="M496">
        <v>206</v>
      </c>
      <c r="N496">
        <v>4</v>
      </c>
      <c r="O496">
        <v>0</v>
      </c>
      <c r="P496">
        <v>6</v>
      </c>
      <c r="Q496" t="s">
        <v>31</v>
      </c>
      <c r="R496">
        <v>120</v>
      </c>
      <c r="S496">
        <v>24</v>
      </c>
      <c r="T496" t="s">
        <v>31</v>
      </c>
      <c r="U496" t="s">
        <v>63</v>
      </c>
      <c r="V496">
        <v>2026</v>
      </c>
      <c r="W496">
        <v>1</v>
      </c>
      <c r="X496" t="s">
        <v>1414</v>
      </c>
      <c r="Y496" s="6">
        <v>46023</v>
      </c>
      <c r="Z496" t="s">
        <v>1413</v>
      </c>
      <c r="AA496" t="s">
        <v>31</v>
      </c>
      <c r="AB496" t="s">
        <v>63</v>
      </c>
      <c r="AC496" t="s">
        <v>23</v>
      </c>
      <c r="AD496">
        <v>1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1</v>
      </c>
    </row>
    <row r="497" spans="1:36">
      <c r="A497" t="s">
        <v>629</v>
      </c>
      <c r="B497">
        <v>18.39</v>
      </c>
      <c r="C497" s="7">
        <v>46154.334027777775</v>
      </c>
      <c r="D497" s="7">
        <v>46155.100094016205</v>
      </c>
      <c r="E497" t="s">
        <v>23</v>
      </c>
      <c r="F497" t="s">
        <v>40</v>
      </c>
      <c r="G497" t="s">
        <v>65</v>
      </c>
      <c r="H497" t="s">
        <v>75</v>
      </c>
      <c r="I497" t="s">
        <v>42</v>
      </c>
      <c r="J497" t="s">
        <v>43</v>
      </c>
      <c r="K497" t="s">
        <v>52</v>
      </c>
      <c r="L497" t="s">
        <v>71</v>
      </c>
      <c r="M497">
        <v>47</v>
      </c>
      <c r="N497">
        <v>4</v>
      </c>
      <c r="O497">
        <v>0</v>
      </c>
      <c r="P497">
        <v>10</v>
      </c>
      <c r="Q497" t="s">
        <v>63</v>
      </c>
      <c r="R497">
        <v>30</v>
      </c>
      <c r="S497">
        <v>8</v>
      </c>
      <c r="T497" t="s">
        <v>31</v>
      </c>
      <c r="U497" t="s">
        <v>31</v>
      </c>
      <c r="V497">
        <v>2026</v>
      </c>
      <c r="W497">
        <v>5</v>
      </c>
      <c r="X497" t="s">
        <v>1416</v>
      </c>
      <c r="Y497" s="6">
        <v>46143</v>
      </c>
      <c r="Z497" t="s">
        <v>1413</v>
      </c>
      <c r="AA497" t="s">
        <v>31</v>
      </c>
      <c r="AB497" t="s">
        <v>63</v>
      </c>
      <c r="AC497" t="s">
        <v>23</v>
      </c>
      <c r="AD497">
        <v>1</v>
      </c>
      <c r="AE497">
        <v>0</v>
      </c>
      <c r="AF497">
        <v>1</v>
      </c>
      <c r="AG497">
        <v>0</v>
      </c>
      <c r="AH497">
        <v>1</v>
      </c>
      <c r="AI497">
        <v>0</v>
      </c>
      <c r="AJ497">
        <v>0</v>
      </c>
    </row>
    <row r="498" spans="1:36">
      <c r="A498" t="s">
        <v>630</v>
      </c>
      <c r="B498">
        <v>14.01</v>
      </c>
      <c r="C498" s="7">
        <v>46262.224305555559</v>
      </c>
      <c r="D498" s="7">
        <v>46262.808089606478</v>
      </c>
      <c r="E498" t="s">
        <v>23</v>
      </c>
      <c r="F498" t="s">
        <v>50</v>
      </c>
      <c r="G498" t="s">
        <v>51</v>
      </c>
      <c r="H498" t="s">
        <v>66</v>
      </c>
      <c r="I498" t="s">
        <v>27</v>
      </c>
      <c r="J498" t="s">
        <v>28</v>
      </c>
      <c r="K498" t="s">
        <v>29</v>
      </c>
      <c r="L498" t="s">
        <v>93</v>
      </c>
      <c r="M498">
        <v>338</v>
      </c>
      <c r="N498">
        <v>4</v>
      </c>
      <c r="O498">
        <v>0</v>
      </c>
      <c r="P498">
        <v>2</v>
      </c>
      <c r="Q498" t="s">
        <v>31</v>
      </c>
      <c r="R498">
        <v>120</v>
      </c>
      <c r="S498">
        <v>24</v>
      </c>
      <c r="T498" t="s">
        <v>31</v>
      </c>
      <c r="U498" t="s">
        <v>63</v>
      </c>
      <c r="V498">
        <v>2026</v>
      </c>
      <c r="W498">
        <v>8</v>
      </c>
      <c r="X498" t="s">
        <v>1417</v>
      </c>
      <c r="Y498" s="6">
        <v>46235</v>
      </c>
      <c r="Z498" t="s">
        <v>1413</v>
      </c>
      <c r="AA498" t="s">
        <v>31</v>
      </c>
      <c r="AB498" t="s">
        <v>63</v>
      </c>
      <c r="AC498" t="s">
        <v>23</v>
      </c>
      <c r="AD498">
        <v>1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1</v>
      </c>
    </row>
    <row r="499" spans="1:36">
      <c r="A499" t="s">
        <v>631</v>
      </c>
      <c r="B499">
        <v>32.700000000000003</v>
      </c>
      <c r="C499" s="7">
        <v>46097.859722222223</v>
      </c>
      <c r="D499" s="7">
        <v>46099.222222222219</v>
      </c>
      <c r="E499" t="s">
        <v>23</v>
      </c>
      <c r="F499" t="s">
        <v>50</v>
      </c>
      <c r="G499" t="s">
        <v>25</v>
      </c>
      <c r="H499" t="s">
        <v>66</v>
      </c>
      <c r="I499" t="s">
        <v>42</v>
      </c>
      <c r="J499" t="s">
        <v>48</v>
      </c>
      <c r="K499" t="s">
        <v>76</v>
      </c>
      <c r="L499" t="s">
        <v>93</v>
      </c>
      <c r="M499">
        <v>63</v>
      </c>
      <c r="N499">
        <v>4</v>
      </c>
      <c r="O499">
        <v>0</v>
      </c>
      <c r="P499">
        <v>3</v>
      </c>
      <c r="Q499" t="s">
        <v>31</v>
      </c>
      <c r="R499">
        <v>120</v>
      </c>
      <c r="S499">
        <v>24</v>
      </c>
      <c r="T499" t="s">
        <v>63</v>
      </c>
      <c r="U499" t="s">
        <v>31</v>
      </c>
      <c r="V499">
        <v>2026</v>
      </c>
      <c r="W499">
        <v>3</v>
      </c>
      <c r="X499" t="s">
        <v>1423</v>
      </c>
      <c r="Y499" s="6">
        <v>46082</v>
      </c>
      <c r="Z499" t="s">
        <v>1413</v>
      </c>
      <c r="AA499" t="s">
        <v>31</v>
      </c>
      <c r="AB499" t="s">
        <v>63</v>
      </c>
      <c r="AC499" t="s">
        <v>23</v>
      </c>
      <c r="AD499">
        <v>1</v>
      </c>
      <c r="AE499">
        <v>0</v>
      </c>
      <c r="AF499">
        <v>1</v>
      </c>
      <c r="AG499">
        <v>0</v>
      </c>
      <c r="AH499">
        <v>0</v>
      </c>
      <c r="AI499">
        <v>1</v>
      </c>
      <c r="AJ499">
        <v>0</v>
      </c>
    </row>
    <row r="500" spans="1:36">
      <c r="A500" t="s">
        <v>633</v>
      </c>
      <c r="B500">
        <v>12.42</v>
      </c>
      <c r="C500" s="7">
        <v>46104.488888888889</v>
      </c>
      <c r="D500" s="7">
        <v>46105.006239247683</v>
      </c>
      <c r="E500" t="s">
        <v>23</v>
      </c>
      <c r="F500" t="s">
        <v>24</v>
      </c>
      <c r="G500" t="s">
        <v>25</v>
      </c>
      <c r="H500" t="s">
        <v>66</v>
      </c>
      <c r="I500" t="s">
        <v>35</v>
      </c>
      <c r="J500" t="s">
        <v>36</v>
      </c>
      <c r="K500" t="s">
        <v>76</v>
      </c>
      <c r="L500" t="s">
        <v>93</v>
      </c>
      <c r="M500">
        <v>19</v>
      </c>
      <c r="N500">
        <v>4</v>
      </c>
      <c r="O500">
        <v>1</v>
      </c>
      <c r="P500">
        <v>4</v>
      </c>
      <c r="Q500" t="s">
        <v>31</v>
      </c>
      <c r="R500">
        <v>15</v>
      </c>
      <c r="S500">
        <v>4</v>
      </c>
      <c r="T500" t="s">
        <v>31</v>
      </c>
      <c r="U500" t="s">
        <v>31</v>
      </c>
      <c r="V500">
        <v>2026</v>
      </c>
      <c r="W500">
        <v>3</v>
      </c>
      <c r="X500" t="s">
        <v>1423</v>
      </c>
      <c r="Y500" s="6">
        <v>46082</v>
      </c>
      <c r="Z500" t="s">
        <v>1413</v>
      </c>
      <c r="AA500" t="s">
        <v>63</v>
      </c>
      <c r="AB500" t="s">
        <v>63</v>
      </c>
      <c r="AC500" t="s">
        <v>23</v>
      </c>
      <c r="AD500">
        <v>1</v>
      </c>
      <c r="AE500">
        <v>0</v>
      </c>
      <c r="AF500">
        <v>1</v>
      </c>
      <c r="AG500">
        <v>1</v>
      </c>
      <c r="AH500">
        <v>0</v>
      </c>
      <c r="AI500">
        <v>0</v>
      </c>
      <c r="AJ500">
        <v>0</v>
      </c>
    </row>
    <row r="501" spans="1:36">
      <c r="A501" t="s">
        <v>634</v>
      </c>
      <c r="B501">
        <v>29.68</v>
      </c>
      <c r="C501" s="7">
        <v>46058.957638888889</v>
      </c>
      <c r="D501" s="7">
        <v>46060.19442511574</v>
      </c>
      <c r="E501" t="s">
        <v>23</v>
      </c>
      <c r="F501" t="s">
        <v>50</v>
      </c>
      <c r="G501" t="s">
        <v>51</v>
      </c>
      <c r="H501" t="s">
        <v>54</v>
      </c>
      <c r="I501" t="s">
        <v>42</v>
      </c>
      <c r="J501" t="s">
        <v>48</v>
      </c>
      <c r="K501" t="s">
        <v>58</v>
      </c>
      <c r="L501" t="s">
        <v>62</v>
      </c>
      <c r="M501">
        <v>123</v>
      </c>
      <c r="N501">
        <v>4</v>
      </c>
      <c r="O501">
        <v>1</v>
      </c>
      <c r="P501">
        <v>8</v>
      </c>
      <c r="Q501" t="s">
        <v>31</v>
      </c>
      <c r="R501">
        <v>120</v>
      </c>
      <c r="S501">
        <v>24</v>
      </c>
      <c r="T501" t="s">
        <v>31</v>
      </c>
      <c r="U501" t="s">
        <v>31</v>
      </c>
      <c r="V501">
        <v>2026</v>
      </c>
      <c r="W501">
        <v>2</v>
      </c>
      <c r="X501" t="s">
        <v>1419</v>
      </c>
      <c r="Y501" s="6">
        <v>46054</v>
      </c>
      <c r="Z501" t="s">
        <v>1413</v>
      </c>
      <c r="AA501" t="s">
        <v>63</v>
      </c>
      <c r="AB501" t="s">
        <v>63</v>
      </c>
      <c r="AC501" t="s">
        <v>23</v>
      </c>
      <c r="AD501">
        <v>1</v>
      </c>
      <c r="AE501">
        <v>0</v>
      </c>
      <c r="AF501">
        <v>1</v>
      </c>
      <c r="AG501">
        <v>1</v>
      </c>
      <c r="AH501">
        <v>0</v>
      </c>
      <c r="AI501">
        <v>0</v>
      </c>
      <c r="AJ501">
        <v>0</v>
      </c>
    </row>
    <row r="502" spans="1:36">
      <c r="A502" t="s">
        <v>635</v>
      </c>
      <c r="B502">
        <v>5.8</v>
      </c>
      <c r="C502" s="7">
        <v>46144.852777777778</v>
      </c>
      <c r="D502" s="7">
        <v>46145.094636851849</v>
      </c>
      <c r="E502" t="s">
        <v>23</v>
      </c>
      <c r="F502" t="s">
        <v>24</v>
      </c>
      <c r="G502" t="s">
        <v>51</v>
      </c>
      <c r="H502" t="s">
        <v>26</v>
      </c>
      <c r="I502" t="s">
        <v>27</v>
      </c>
      <c r="J502" t="s">
        <v>48</v>
      </c>
      <c r="K502" t="s">
        <v>37</v>
      </c>
      <c r="L502" t="s">
        <v>71</v>
      </c>
      <c r="M502">
        <v>57</v>
      </c>
      <c r="N502">
        <v>5</v>
      </c>
      <c r="O502">
        <v>0</v>
      </c>
      <c r="P502">
        <v>5</v>
      </c>
      <c r="Q502" t="s">
        <v>31</v>
      </c>
      <c r="R502">
        <v>15</v>
      </c>
      <c r="S502">
        <v>4</v>
      </c>
      <c r="T502" t="s">
        <v>31</v>
      </c>
      <c r="U502" t="s">
        <v>31</v>
      </c>
      <c r="V502">
        <v>2026</v>
      </c>
      <c r="W502">
        <v>5</v>
      </c>
      <c r="X502" t="s">
        <v>1416</v>
      </c>
      <c r="Y502" s="6">
        <v>46143</v>
      </c>
      <c r="Z502" t="s">
        <v>1413</v>
      </c>
      <c r="AA502" t="s">
        <v>31</v>
      </c>
      <c r="AB502" t="s">
        <v>63</v>
      </c>
      <c r="AC502" t="s">
        <v>23</v>
      </c>
      <c r="AD502">
        <v>1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</row>
    <row r="503" spans="1:36">
      <c r="A503" t="s">
        <v>636</v>
      </c>
      <c r="B503">
        <v>26.77</v>
      </c>
      <c r="C503" s="7">
        <v>46215.412499999999</v>
      </c>
      <c r="D503" s="7">
        <v>46216.527842488424</v>
      </c>
      <c r="E503" t="s">
        <v>23</v>
      </c>
      <c r="F503" t="s">
        <v>33</v>
      </c>
      <c r="G503" t="s">
        <v>25</v>
      </c>
      <c r="H503" t="s">
        <v>54</v>
      </c>
      <c r="I503" t="s">
        <v>35</v>
      </c>
      <c r="J503" t="s">
        <v>36</v>
      </c>
      <c r="K503" t="s">
        <v>37</v>
      </c>
      <c r="L503" t="s">
        <v>71</v>
      </c>
      <c r="M503">
        <v>218</v>
      </c>
      <c r="N503">
        <v>4</v>
      </c>
      <c r="O503">
        <v>0</v>
      </c>
      <c r="P503">
        <v>7</v>
      </c>
      <c r="Q503" t="s">
        <v>31</v>
      </c>
      <c r="R503">
        <v>240</v>
      </c>
      <c r="S503">
        <v>48</v>
      </c>
      <c r="T503" t="s">
        <v>63</v>
      </c>
      <c r="U503" t="s">
        <v>63</v>
      </c>
      <c r="V503">
        <v>2026</v>
      </c>
      <c r="W503">
        <v>7</v>
      </c>
      <c r="X503" t="s">
        <v>1422</v>
      </c>
      <c r="Y503" s="6">
        <v>46204</v>
      </c>
      <c r="Z503" t="s">
        <v>1413</v>
      </c>
      <c r="AA503" t="s">
        <v>31</v>
      </c>
      <c r="AB503" t="s">
        <v>63</v>
      </c>
      <c r="AC503" t="s">
        <v>23</v>
      </c>
      <c r="AD503">
        <v>1</v>
      </c>
      <c r="AE503">
        <v>0</v>
      </c>
      <c r="AF503">
        <v>1</v>
      </c>
      <c r="AG503">
        <v>0</v>
      </c>
      <c r="AH503">
        <v>0</v>
      </c>
      <c r="AI503">
        <v>1</v>
      </c>
      <c r="AJ503">
        <v>1</v>
      </c>
    </row>
    <row r="504" spans="1:36">
      <c r="A504" t="s">
        <v>637</v>
      </c>
      <c r="B504">
        <v>80.81</v>
      </c>
      <c r="C504" s="7">
        <v>46035.76666666667</v>
      </c>
      <c r="D504" s="7">
        <v>46039.133804016201</v>
      </c>
      <c r="E504" t="s">
        <v>23</v>
      </c>
      <c r="F504" t="s">
        <v>33</v>
      </c>
      <c r="G504" t="s">
        <v>41</v>
      </c>
      <c r="H504" t="s">
        <v>26</v>
      </c>
      <c r="I504" t="s">
        <v>35</v>
      </c>
      <c r="J504" t="s">
        <v>36</v>
      </c>
      <c r="K504" t="s">
        <v>37</v>
      </c>
      <c r="L504" t="s">
        <v>68</v>
      </c>
      <c r="M504">
        <v>447</v>
      </c>
      <c r="N504">
        <v>2</v>
      </c>
      <c r="O504">
        <v>0</v>
      </c>
      <c r="P504">
        <v>4</v>
      </c>
      <c r="Q504" t="s">
        <v>63</v>
      </c>
      <c r="R504">
        <v>240</v>
      </c>
      <c r="S504">
        <v>48</v>
      </c>
      <c r="T504" t="s">
        <v>31</v>
      </c>
      <c r="U504" t="s">
        <v>31</v>
      </c>
      <c r="V504">
        <v>2026</v>
      </c>
      <c r="W504">
        <v>1</v>
      </c>
      <c r="X504" t="s">
        <v>1414</v>
      </c>
      <c r="Y504" s="6">
        <v>46023</v>
      </c>
      <c r="Z504" t="s">
        <v>1415</v>
      </c>
      <c r="AA504" t="s">
        <v>31</v>
      </c>
      <c r="AB504" t="s">
        <v>63</v>
      </c>
      <c r="AC504" t="s">
        <v>23</v>
      </c>
      <c r="AD504">
        <v>1</v>
      </c>
      <c r="AE504">
        <v>0</v>
      </c>
      <c r="AF504">
        <v>1</v>
      </c>
      <c r="AG504">
        <v>0</v>
      </c>
      <c r="AH504">
        <v>1</v>
      </c>
      <c r="AI504">
        <v>0</v>
      </c>
      <c r="AJ504">
        <v>0</v>
      </c>
    </row>
    <row r="505" spans="1:36">
      <c r="A505" t="s">
        <v>638</v>
      </c>
      <c r="B505">
        <v>29.02</v>
      </c>
      <c r="C505" s="7">
        <v>46219.655555555553</v>
      </c>
      <c r="D505" s="7">
        <v>46220.864732708331</v>
      </c>
      <c r="E505" t="s">
        <v>23</v>
      </c>
      <c r="F505" t="s">
        <v>50</v>
      </c>
      <c r="G505" t="s">
        <v>25</v>
      </c>
      <c r="H505" t="s">
        <v>75</v>
      </c>
      <c r="I505" t="s">
        <v>42</v>
      </c>
      <c r="J505" t="s">
        <v>28</v>
      </c>
      <c r="K505" t="s">
        <v>37</v>
      </c>
      <c r="L505" t="s">
        <v>85</v>
      </c>
      <c r="M505">
        <v>270</v>
      </c>
      <c r="N505">
        <v>3</v>
      </c>
      <c r="O505">
        <v>0</v>
      </c>
      <c r="P505">
        <v>7</v>
      </c>
      <c r="Q505" t="s">
        <v>31</v>
      </c>
      <c r="R505">
        <v>120</v>
      </c>
      <c r="S505">
        <v>24</v>
      </c>
      <c r="T505" t="s">
        <v>31</v>
      </c>
      <c r="U505" t="s">
        <v>31</v>
      </c>
      <c r="V505">
        <v>2026</v>
      </c>
      <c r="W505">
        <v>7</v>
      </c>
      <c r="X505" t="s">
        <v>1422</v>
      </c>
      <c r="Y505" s="6">
        <v>46204</v>
      </c>
      <c r="Z505" t="s">
        <v>1418</v>
      </c>
      <c r="AA505" t="s">
        <v>31</v>
      </c>
      <c r="AB505" t="s">
        <v>63</v>
      </c>
      <c r="AC505" t="s">
        <v>23</v>
      </c>
      <c r="AD505">
        <v>1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</row>
    <row r="506" spans="1:36">
      <c r="A506" t="s">
        <v>639</v>
      </c>
      <c r="B506">
        <v>29.52</v>
      </c>
      <c r="C506" s="7">
        <v>46097.510416666664</v>
      </c>
      <c r="D506" s="7">
        <v>46098.740587719905</v>
      </c>
      <c r="E506" t="s">
        <v>23</v>
      </c>
      <c r="F506" t="s">
        <v>50</v>
      </c>
      <c r="G506" t="s">
        <v>25</v>
      </c>
      <c r="H506" t="s">
        <v>26</v>
      </c>
      <c r="I506" t="s">
        <v>42</v>
      </c>
      <c r="J506" t="s">
        <v>48</v>
      </c>
      <c r="K506" t="s">
        <v>76</v>
      </c>
      <c r="L506" t="s">
        <v>30</v>
      </c>
      <c r="M506">
        <v>44</v>
      </c>
      <c r="N506">
        <v>4</v>
      </c>
      <c r="O506">
        <v>0</v>
      </c>
      <c r="P506">
        <v>4</v>
      </c>
      <c r="Q506" t="s">
        <v>31</v>
      </c>
      <c r="R506">
        <v>120</v>
      </c>
      <c r="S506">
        <v>24</v>
      </c>
      <c r="T506" t="s">
        <v>63</v>
      </c>
      <c r="U506" t="s">
        <v>31</v>
      </c>
      <c r="V506">
        <v>2026</v>
      </c>
      <c r="W506">
        <v>3</v>
      </c>
      <c r="X506" t="s">
        <v>1423</v>
      </c>
      <c r="Y506" s="6">
        <v>46082</v>
      </c>
      <c r="Z506" t="s">
        <v>1413</v>
      </c>
      <c r="AA506" t="s">
        <v>31</v>
      </c>
      <c r="AB506" t="s">
        <v>63</v>
      </c>
      <c r="AC506" t="s">
        <v>23</v>
      </c>
      <c r="AD506">
        <v>1</v>
      </c>
      <c r="AE506">
        <v>0</v>
      </c>
      <c r="AF506">
        <v>1</v>
      </c>
      <c r="AG506">
        <v>0</v>
      </c>
      <c r="AH506">
        <v>0</v>
      </c>
      <c r="AI506">
        <v>1</v>
      </c>
      <c r="AJ506">
        <v>0</v>
      </c>
    </row>
    <row r="507" spans="1:36">
      <c r="A507" t="s">
        <v>640</v>
      </c>
      <c r="B507">
        <v>25.82</v>
      </c>
      <c r="C507" s="7">
        <v>46144.472222222219</v>
      </c>
      <c r="D507" s="7">
        <v>46145.547874421296</v>
      </c>
      <c r="E507" t="s">
        <v>23</v>
      </c>
      <c r="F507" t="s">
        <v>50</v>
      </c>
      <c r="G507" t="s">
        <v>51</v>
      </c>
      <c r="H507" t="s">
        <v>26</v>
      </c>
      <c r="I507" t="s">
        <v>35</v>
      </c>
      <c r="J507" t="s">
        <v>36</v>
      </c>
      <c r="K507" t="s">
        <v>37</v>
      </c>
      <c r="L507" t="s">
        <v>93</v>
      </c>
      <c r="M507">
        <v>139</v>
      </c>
      <c r="N507">
        <v>4</v>
      </c>
      <c r="O507">
        <v>0</v>
      </c>
      <c r="P507">
        <v>3</v>
      </c>
      <c r="Q507" t="s">
        <v>31</v>
      </c>
      <c r="R507">
        <v>120</v>
      </c>
      <c r="S507">
        <v>24</v>
      </c>
      <c r="T507" t="s">
        <v>31</v>
      </c>
      <c r="U507" t="s">
        <v>31</v>
      </c>
      <c r="V507">
        <v>2026</v>
      </c>
      <c r="W507">
        <v>5</v>
      </c>
      <c r="X507" t="s">
        <v>1416</v>
      </c>
      <c r="Y507" s="6">
        <v>46143</v>
      </c>
      <c r="Z507" t="s">
        <v>1413</v>
      </c>
      <c r="AA507" t="s">
        <v>31</v>
      </c>
      <c r="AB507" t="s">
        <v>63</v>
      </c>
      <c r="AC507" t="s">
        <v>23</v>
      </c>
      <c r="AD507">
        <v>1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</row>
    <row r="508" spans="1:36">
      <c r="A508" t="s">
        <v>641</v>
      </c>
      <c r="C508" s="7">
        <v>46234.595833333333</v>
      </c>
      <c r="D508" s="7"/>
      <c r="E508" t="s">
        <v>74</v>
      </c>
      <c r="F508" t="s">
        <v>33</v>
      </c>
      <c r="G508" t="s">
        <v>25</v>
      </c>
      <c r="H508" t="s">
        <v>54</v>
      </c>
      <c r="I508" t="s">
        <v>42</v>
      </c>
      <c r="J508" t="s">
        <v>48</v>
      </c>
      <c r="K508" t="s">
        <v>29</v>
      </c>
      <c r="L508" t="s">
        <v>44</v>
      </c>
      <c r="M508">
        <v>179</v>
      </c>
      <c r="O508">
        <v>0</v>
      </c>
      <c r="P508">
        <v>4</v>
      </c>
      <c r="Q508" t="s">
        <v>63</v>
      </c>
      <c r="R508">
        <v>240</v>
      </c>
      <c r="S508">
        <v>48</v>
      </c>
      <c r="T508" t="s">
        <v>63</v>
      </c>
      <c r="U508" t="s">
        <v>74</v>
      </c>
      <c r="V508">
        <v>2026</v>
      </c>
      <c r="W508">
        <v>7</v>
      </c>
      <c r="X508" t="s">
        <v>1422</v>
      </c>
      <c r="Y508" s="6">
        <v>46204</v>
      </c>
      <c r="Z508" t="s">
        <v>1420</v>
      </c>
      <c r="AA508" t="s">
        <v>31</v>
      </c>
      <c r="AB508" t="s">
        <v>31</v>
      </c>
      <c r="AC508" t="s">
        <v>74</v>
      </c>
      <c r="AD508">
        <v>1</v>
      </c>
      <c r="AE508">
        <v>1</v>
      </c>
      <c r="AF508">
        <v>0</v>
      </c>
      <c r="AG508">
        <v>0</v>
      </c>
      <c r="AH508">
        <v>1</v>
      </c>
      <c r="AI508">
        <v>1</v>
      </c>
    </row>
    <row r="509" spans="1:36">
      <c r="A509" t="s">
        <v>642</v>
      </c>
      <c r="B509">
        <v>30.42</v>
      </c>
      <c r="C509" s="7">
        <v>46190.39166666667</v>
      </c>
      <c r="D509" s="7">
        <v>46191.659127708335</v>
      </c>
      <c r="E509" t="s">
        <v>23</v>
      </c>
      <c r="F509" t="s">
        <v>50</v>
      </c>
      <c r="G509" t="s">
        <v>65</v>
      </c>
      <c r="H509" t="s">
        <v>75</v>
      </c>
      <c r="I509" t="s">
        <v>42</v>
      </c>
      <c r="J509" t="s">
        <v>36</v>
      </c>
      <c r="K509" t="s">
        <v>37</v>
      </c>
      <c r="L509" t="s">
        <v>93</v>
      </c>
      <c r="M509">
        <v>147</v>
      </c>
      <c r="N509">
        <v>4</v>
      </c>
      <c r="O509">
        <v>0</v>
      </c>
      <c r="P509">
        <v>2</v>
      </c>
      <c r="Q509" t="s">
        <v>31</v>
      </c>
      <c r="R509">
        <v>120</v>
      </c>
      <c r="S509">
        <v>24</v>
      </c>
      <c r="T509" t="s">
        <v>31</v>
      </c>
      <c r="U509" t="s">
        <v>31</v>
      </c>
      <c r="V509">
        <v>2026</v>
      </c>
      <c r="W509">
        <v>6</v>
      </c>
      <c r="X509" t="s">
        <v>1421</v>
      </c>
      <c r="Y509" s="6">
        <v>46174</v>
      </c>
      <c r="Z509" t="s">
        <v>1413</v>
      </c>
      <c r="AA509" t="s">
        <v>31</v>
      </c>
      <c r="AB509" t="s">
        <v>63</v>
      </c>
      <c r="AC509" t="s">
        <v>23</v>
      </c>
      <c r="AD509">
        <v>1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</row>
    <row r="510" spans="1:36">
      <c r="A510" t="s">
        <v>643</v>
      </c>
      <c r="B510">
        <v>9.81</v>
      </c>
      <c r="C510" s="7">
        <v>46101.731944444444</v>
      </c>
      <c r="D510" s="7">
        <v>46102.140817812498</v>
      </c>
      <c r="E510" t="s">
        <v>23</v>
      </c>
      <c r="F510" t="s">
        <v>50</v>
      </c>
      <c r="G510" t="s">
        <v>51</v>
      </c>
      <c r="H510" t="s">
        <v>26</v>
      </c>
      <c r="I510" t="s">
        <v>35</v>
      </c>
      <c r="J510" t="s">
        <v>36</v>
      </c>
      <c r="K510" t="s">
        <v>52</v>
      </c>
      <c r="L510" t="s">
        <v>101</v>
      </c>
      <c r="M510">
        <v>92</v>
      </c>
      <c r="N510">
        <v>4</v>
      </c>
      <c r="O510">
        <v>0</v>
      </c>
      <c r="P510">
        <v>5</v>
      </c>
      <c r="Q510" t="s">
        <v>31</v>
      </c>
      <c r="R510">
        <v>120</v>
      </c>
      <c r="S510">
        <v>24</v>
      </c>
      <c r="T510" t="s">
        <v>63</v>
      </c>
      <c r="U510" t="s">
        <v>63</v>
      </c>
      <c r="V510">
        <v>2026</v>
      </c>
      <c r="W510">
        <v>3</v>
      </c>
      <c r="X510" t="s">
        <v>1423</v>
      </c>
      <c r="Y510" s="6">
        <v>46082</v>
      </c>
      <c r="Z510" t="s">
        <v>1413</v>
      </c>
      <c r="AA510" t="s">
        <v>31</v>
      </c>
      <c r="AB510" t="s">
        <v>63</v>
      </c>
      <c r="AC510" t="s">
        <v>23</v>
      </c>
      <c r="AD510">
        <v>1</v>
      </c>
      <c r="AE510">
        <v>0</v>
      </c>
      <c r="AF510">
        <v>1</v>
      </c>
      <c r="AG510">
        <v>0</v>
      </c>
      <c r="AH510">
        <v>0</v>
      </c>
      <c r="AI510">
        <v>1</v>
      </c>
      <c r="AJ510">
        <v>1</v>
      </c>
    </row>
    <row r="511" spans="1:36">
      <c r="A511" t="s">
        <v>644</v>
      </c>
      <c r="B511">
        <v>34.65</v>
      </c>
      <c r="C511" s="7">
        <v>46083.716666666667</v>
      </c>
      <c r="D511" s="7">
        <v>46085.160415416663</v>
      </c>
      <c r="E511" t="s">
        <v>23</v>
      </c>
      <c r="F511" t="s">
        <v>50</v>
      </c>
      <c r="G511" t="s">
        <v>25</v>
      </c>
      <c r="H511" t="s">
        <v>54</v>
      </c>
      <c r="I511" t="s">
        <v>27</v>
      </c>
      <c r="J511" t="s">
        <v>48</v>
      </c>
      <c r="K511" t="s">
        <v>37</v>
      </c>
      <c r="L511" t="s">
        <v>44</v>
      </c>
      <c r="M511">
        <v>65</v>
      </c>
      <c r="N511">
        <v>4</v>
      </c>
      <c r="O511">
        <v>0</v>
      </c>
      <c r="P511">
        <v>4</v>
      </c>
      <c r="Q511" t="s">
        <v>31</v>
      </c>
      <c r="R511">
        <v>120</v>
      </c>
      <c r="S511">
        <v>24</v>
      </c>
      <c r="T511" t="s">
        <v>63</v>
      </c>
      <c r="U511" t="s">
        <v>31</v>
      </c>
      <c r="V511">
        <v>2026</v>
      </c>
      <c r="W511">
        <v>3</v>
      </c>
      <c r="X511" t="s">
        <v>1423</v>
      </c>
      <c r="Y511" s="6">
        <v>46082</v>
      </c>
      <c r="Z511" t="s">
        <v>1413</v>
      </c>
      <c r="AA511" t="s">
        <v>31</v>
      </c>
      <c r="AB511" t="s">
        <v>63</v>
      </c>
      <c r="AC511" t="s">
        <v>23</v>
      </c>
      <c r="AD511">
        <v>1</v>
      </c>
      <c r="AE511">
        <v>0</v>
      </c>
      <c r="AF511">
        <v>1</v>
      </c>
      <c r="AG511">
        <v>0</v>
      </c>
      <c r="AH511">
        <v>0</v>
      </c>
      <c r="AI511">
        <v>1</v>
      </c>
      <c r="AJ511">
        <v>0</v>
      </c>
    </row>
    <row r="512" spans="1:36">
      <c r="A512" t="s">
        <v>645</v>
      </c>
      <c r="B512">
        <v>22.05</v>
      </c>
      <c r="C512" s="7">
        <v>46049.364583333336</v>
      </c>
      <c r="D512" s="7">
        <v>46050.28317052083</v>
      </c>
      <c r="E512" t="s">
        <v>23</v>
      </c>
      <c r="F512" t="s">
        <v>50</v>
      </c>
      <c r="G512" t="s">
        <v>25</v>
      </c>
      <c r="H512" t="s">
        <v>34</v>
      </c>
      <c r="I512" t="s">
        <v>42</v>
      </c>
      <c r="J512" t="s">
        <v>28</v>
      </c>
      <c r="K512" t="s">
        <v>29</v>
      </c>
      <c r="L512" t="s">
        <v>38</v>
      </c>
      <c r="M512">
        <v>58</v>
      </c>
      <c r="N512">
        <v>4</v>
      </c>
      <c r="O512">
        <v>0</v>
      </c>
      <c r="P512">
        <v>7</v>
      </c>
      <c r="Q512" t="s">
        <v>31</v>
      </c>
      <c r="R512">
        <v>120</v>
      </c>
      <c r="S512">
        <v>24</v>
      </c>
      <c r="T512" t="s">
        <v>63</v>
      </c>
      <c r="U512" t="s">
        <v>63</v>
      </c>
      <c r="V512">
        <v>2026</v>
      </c>
      <c r="W512">
        <v>1</v>
      </c>
      <c r="X512" t="s">
        <v>1414</v>
      </c>
      <c r="Y512" s="6">
        <v>46023</v>
      </c>
      <c r="Z512" t="s">
        <v>1413</v>
      </c>
      <c r="AA512" t="s">
        <v>31</v>
      </c>
      <c r="AB512" t="s">
        <v>63</v>
      </c>
      <c r="AC512" t="s">
        <v>23</v>
      </c>
      <c r="AD512">
        <v>1</v>
      </c>
      <c r="AE512">
        <v>0</v>
      </c>
      <c r="AF512">
        <v>1</v>
      </c>
      <c r="AG512">
        <v>0</v>
      </c>
      <c r="AH512">
        <v>0</v>
      </c>
      <c r="AI512">
        <v>1</v>
      </c>
      <c r="AJ512">
        <v>1</v>
      </c>
    </row>
    <row r="513" spans="1:36">
      <c r="A513" t="s">
        <v>646</v>
      </c>
      <c r="B513">
        <v>67.569999999999993</v>
      </c>
      <c r="C513" s="7">
        <v>46122.261805555558</v>
      </c>
      <c r="D513" s="7">
        <v>46125.077279826386</v>
      </c>
      <c r="E513" t="s">
        <v>23</v>
      </c>
      <c r="F513" t="s">
        <v>33</v>
      </c>
      <c r="G513" t="s">
        <v>25</v>
      </c>
      <c r="H513" t="s">
        <v>34</v>
      </c>
      <c r="I513" t="s">
        <v>35</v>
      </c>
      <c r="J513" t="s">
        <v>48</v>
      </c>
      <c r="K513" t="s">
        <v>37</v>
      </c>
      <c r="L513" t="s">
        <v>93</v>
      </c>
      <c r="M513">
        <v>631</v>
      </c>
      <c r="N513">
        <v>2</v>
      </c>
      <c r="O513">
        <v>0</v>
      </c>
      <c r="P513">
        <v>13</v>
      </c>
      <c r="Q513" t="s">
        <v>63</v>
      </c>
      <c r="R513">
        <v>240</v>
      </c>
      <c r="S513">
        <v>48</v>
      </c>
      <c r="T513" t="s">
        <v>31</v>
      </c>
      <c r="U513" t="s">
        <v>31</v>
      </c>
      <c r="V513">
        <v>2026</v>
      </c>
      <c r="W513">
        <v>4</v>
      </c>
      <c r="X513" t="s">
        <v>1412</v>
      </c>
      <c r="Y513" s="6">
        <v>46113</v>
      </c>
      <c r="Z513" t="s">
        <v>1415</v>
      </c>
      <c r="AA513" t="s">
        <v>31</v>
      </c>
      <c r="AB513" t="s">
        <v>63</v>
      </c>
      <c r="AC513" t="s">
        <v>23</v>
      </c>
      <c r="AD513">
        <v>1</v>
      </c>
      <c r="AE513">
        <v>0</v>
      </c>
      <c r="AF513">
        <v>1</v>
      </c>
      <c r="AG513">
        <v>0</v>
      </c>
      <c r="AH513">
        <v>1</v>
      </c>
      <c r="AI513">
        <v>0</v>
      </c>
      <c r="AJ513">
        <v>0</v>
      </c>
    </row>
    <row r="514" spans="1:36">
      <c r="A514" t="s">
        <v>647</v>
      </c>
      <c r="B514">
        <v>76.17</v>
      </c>
      <c r="C514" s="7">
        <v>46067.109722222223</v>
      </c>
      <c r="D514" s="7">
        <v>46070.283333333333</v>
      </c>
      <c r="E514" t="s">
        <v>23</v>
      </c>
      <c r="F514" t="s">
        <v>50</v>
      </c>
      <c r="G514" t="s">
        <v>25</v>
      </c>
      <c r="H514" t="s">
        <v>26</v>
      </c>
      <c r="I514" t="s">
        <v>35</v>
      </c>
      <c r="J514" t="s">
        <v>43</v>
      </c>
      <c r="K514" t="s">
        <v>52</v>
      </c>
      <c r="L514" t="s">
        <v>55</v>
      </c>
      <c r="M514">
        <v>114</v>
      </c>
      <c r="N514">
        <v>3</v>
      </c>
      <c r="O514">
        <v>0</v>
      </c>
      <c r="P514">
        <v>7</v>
      </c>
      <c r="Q514" t="s">
        <v>31</v>
      </c>
      <c r="R514">
        <v>120</v>
      </c>
      <c r="S514">
        <v>24</v>
      </c>
      <c r="T514" t="s">
        <v>63</v>
      </c>
      <c r="U514" t="s">
        <v>31</v>
      </c>
      <c r="V514">
        <v>2026</v>
      </c>
      <c r="W514">
        <v>2</v>
      </c>
      <c r="X514" t="s">
        <v>1419</v>
      </c>
      <c r="Y514" s="6">
        <v>46054</v>
      </c>
      <c r="Z514" t="s">
        <v>1418</v>
      </c>
      <c r="AA514" t="s">
        <v>31</v>
      </c>
      <c r="AB514" t="s">
        <v>63</v>
      </c>
      <c r="AC514" t="s">
        <v>23</v>
      </c>
      <c r="AD514">
        <v>1</v>
      </c>
      <c r="AE514">
        <v>0</v>
      </c>
      <c r="AF514">
        <v>1</v>
      </c>
      <c r="AG514">
        <v>0</v>
      </c>
      <c r="AH514">
        <v>0</v>
      </c>
      <c r="AI514">
        <v>1</v>
      </c>
      <c r="AJ514">
        <v>0</v>
      </c>
    </row>
    <row r="515" spans="1:36">
      <c r="A515" t="s">
        <v>649</v>
      </c>
      <c r="B515">
        <v>20.65</v>
      </c>
      <c r="C515" s="7">
        <v>46067.961111111108</v>
      </c>
      <c r="D515" s="7">
        <v>46068.821530810186</v>
      </c>
      <c r="E515" t="s">
        <v>23</v>
      </c>
      <c r="F515" t="s">
        <v>33</v>
      </c>
      <c r="G515" t="s">
        <v>51</v>
      </c>
      <c r="H515" t="s">
        <v>26</v>
      </c>
      <c r="I515" t="s">
        <v>42</v>
      </c>
      <c r="J515" t="s">
        <v>48</v>
      </c>
      <c r="K515" t="s">
        <v>52</v>
      </c>
      <c r="L515" t="s">
        <v>93</v>
      </c>
      <c r="M515">
        <v>138</v>
      </c>
      <c r="N515">
        <v>3</v>
      </c>
      <c r="O515">
        <v>1</v>
      </c>
      <c r="P515">
        <v>13</v>
      </c>
      <c r="Q515" t="s">
        <v>63</v>
      </c>
      <c r="R515">
        <v>240</v>
      </c>
      <c r="S515">
        <v>48</v>
      </c>
      <c r="T515" t="s">
        <v>63</v>
      </c>
      <c r="U515" t="s">
        <v>63</v>
      </c>
      <c r="V515">
        <v>2026</v>
      </c>
      <c r="W515">
        <v>2</v>
      </c>
      <c r="X515" t="s">
        <v>1419</v>
      </c>
      <c r="Y515" s="6">
        <v>46054</v>
      </c>
      <c r="Z515" t="s">
        <v>1418</v>
      </c>
      <c r="AA515" t="s">
        <v>63</v>
      </c>
      <c r="AB515" t="s">
        <v>63</v>
      </c>
      <c r="AC515" t="s">
        <v>23</v>
      </c>
      <c r="AD515">
        <v>1</v>
      </c>
      <c r="AE515">
        <v>0</v>
      </c>
      <c r="AF515">
        <v>1</v>
      </c>
      <c r="AG515">
        <v>1</v>
      </c>
      <c r="AH515">
        <v>1</v>
      </c>
      <c r="AI515">
        <v>1</v>
      </c>
      <c r="AJ515">
        <v>1</v>
      </c>
    </row>
    <row r="516" spans="1:36">
      <c r="A516" t="s">
        <v>650</v>
      </c>
      <c r="B516">
        <v>66.83</v>
      </c>
      <c r="C516" s="7">
        <v>46262.972222222219</v>
      </c>
      <c r="D516" s="7">
        <v>46265.756856377317</v>
      </c>
      <c r="E516" t="s">
        <v>23</v>
      </c>
      <c r="F516" t="s">
        <v>50</v>
      </c>
      <c r="G516" t="s">
        <v>25</v>
      </c>
      <c r="H516" t="s">
        <v>34</v>
      </c>
      <c r="I516" t="s">
        <v>42</v>
      </c>
      <c r="J516" t="s">
        <v>36</v>
      </c>
      <c r="K516" t="s">
        <v>76</v>
      </c>
      <c r="L516" t="s">
        <v>38</v>
      </c>
      <c r="M516">
        <v>54</v>
      </c>
      <c r="N516">
        <v>4</v>
      </c>
      <c r="O516">
        <v>0</v>
      </c>
      <c r="P516">
        <v>2</v>
      </c>
      <c r="Q516" t="s">
        <v>31</v>
      </c>
      <c r="R516">
        <v>120</v>
      </c>
      <c r="S516">
        <v>24</v>
      </c>
      <c r="T516" t="s">
        <v>63</v>
      </c>
      <c r="U516" t="s">
        <v>31</v>
      </c>
      <c r="V516">
        <v>2026</v>
      </c>
      <c r="W516">
        <v>8</v>
      </c>
      <c r="X516" t="s">
        <v>1417</v>
      </c>
      <c r="Y516" s="6">
        <v>46235</v>
      </c>
      <c r="Z516" t="s">
        <v>1413</v>
      </c>
      <c r="AA516" t="s">
        <v>31</v>
      </c>
      <c r="AB516" t="s">
        <v>63</v>
      </c>
      <c r="AC516" t="s">
        <v>23</v>
      </c>
      <c r="AD516">
        <v>1</v>
      </c>
      <c r="AE516">
        <v>0</v>
      </c>
      <c r="AF516">
        <v>1</v>
      </c>
      <c r="AG516">
        <v>0</v>
      </c>
      <c r="AH516">
        <v>0</v>
      </c>
      <c r="AI516">
        <v>1</v>
      </c>
      <c r="AJ516">
        <v>0</v>
      </c>
    </row>
    <row r="517" spans="1:36">
      <c r="A517" t="s">
        <v>651</v>
      </c>
      <c r="B517">
        <v>16.27</v>
      </c>
      <c r="C517" s="7">
        <v>46028.839583333334</v>
      </c>
      <c r="D517" s="7">
        <v>46029.517384270832</v>
      </c>
      <c r="E517" t="s">
        <v>23</v>
      </c>
      <c r="F517" t="s">
        <v>50</v>
      </c>
      <c r="G517" t="s">
        <v>41</v>
      </c>
      <c r="H517" t="s">
        <v>54</v>
      </c>
      <c r="I517" t="s">
        <v>42</v>
      </c>
      <c r="J517" t="s">
        <v>43</v>
      </c>
      <c r="K517" t="s">
        <v>37</v>
      </c>
      <c r="L517" t="s">
        <v>44</v>
      </c>
      <c r="M517">
        <v>143</v>
      </c>
      <c r="N517">
        <v>4</v>
      </c>
      <c r="O517">
        <v>0</v>
      </c>
      <c r="P517">
        <v>5</v>
      </c>
      <c r="Q517" t="s">
        <v>31</v>
      </c>
      <c r="R517">
        <v>120</v>
      </c>
      <c r="S517">
        <v>24</v>
      </c>
      <c r="T517" t="s">
        <v>31</v>
      </c>
      <c r="U517" t="s">
        <v>63</v>
      </c>
      <c r="V517">
        <v>2026</v>
      </c>
      <c r="W517">
        <v>1</v>
      </c>
      <c r="X517" t="s">
        <v>1414</v>
      </c>
      <c r="Y517" s="6">
        <v>46023</v>
      </c>
      <c r="Z517" t="s">
        <v>1413</v>
      </c>
      <c r="AA517" t="s">
        <v>31</v>
      </c>
      <c r="AB517" t="s">
        <v>63</v>
      </c>
      <c r="AC517" t="s">
        <v>23</v>
      </c>
      <c r="AD517">
        <v>1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1</v>
      </c>
    </row>
    <row r="518" spans="1:36">
      <c r="A518" t="s">
        <v>652</v>
      </c>
      <c r="B518">
        <v>32.79</v>
      </c>
      <c r="C518" s="7">
        <v>46204.695138888892</v>
      </c>
      <c r="D518" s="7">
        <v>46206.061356550927</v>
      </c>
      <c r="E518" t="s">
        <v>23</v>
      </c>
      <c r="F518" t="s">
        <v>33</v>
      </c>
      <c r="G518" t="s">
        <v>41</v>
      </c>
      <c r="H518" t="s">
        <v>26</v>
      </c>
      <c r="I518" t="s">
        <v>27</v>
      </c>
      <c r="J518" t="s">
        <v>28</v>
      </c>
      <c r="K518" t="s">
        <v>52</v>
      </c>
      <c r="L518" t="s">
        <v>101</v>
      </c>
      <c r="M518">
        <v>279</v>
      </c>
      <c r="N518">
        <v>3</v>
      </c>
      <c r="O518">
        <v>0</v>
      </c>
      <c r="P518">
        <v>4</v>
      </c>
      <c r="Q518" t="s">
        <v>31</v>
      </c>
      <c r="R518">
        <v>240</v>
      </c>
      <c r="S518">
        <v>48</v>
      </c>
      <c r="T518" t="s">
        <v>31</v>
      </c>
      <c r="U518" t="s">
        <v>63</v>
      </c>
      <c r="V518">
        <v>2026</v>
      </c>
      <c r="W518">
        <v>7</v>
      </c>
      <c r="X518" t="s">
        <v>1422</v>
      </c>
      <c r="Y518" s="6">
        <v>46204</v>
      </c>
      <c r="Z518" t="s">
        <v>1418</v>
      </c>
      <c r="AA518" t="s">
        <v>31</v>
      </c>
      <c r="AB518" t="s">
        <v>63</v>
      </c>
      <c r="AC518" t="s">
        <v>23</v>
      </c>
      <c r="AD518">
        <v>1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1</v>
      </c>
    </row>
    <row r="519" spans="1:36">
      <c r="A519" t="s">
        <v>653</v>
      </c>
      <c r="B519">
        <v>26.42</v>
      </c>
      <c r="C519" s="7">
        <v>46074.040972222225</v>
      </c>
      <c r="D519" s="7">
        <v>46075.141782557868</v>
      </c>
      <c r="E519" t="s">
        <v>23</v>
      </c>
      <c r="F519" t="s">
        <v>33</v>
      </c>
      <c r="G519" t="s">
        <v>51</v>
      </c>
      <c r="H519" t="s">
        <v>26</v>
      </c>
      <c r="I519" t="s">
        <v>42</v>
      </c>
      <c r="J519" t="s">
        <v>43</v>
      </c>
      <c r="K519" t="s">
        <v>37</v>
      </c>
      <c r="L519" t="s">
        <v>1401</v>
      </c>
      <c r="M519">
        <v>215</v>
      </c>
      <c r="N519">
        <v>4</v>
      </c>
      <c r="O519">
        <v>0</v>
      </c>
      <c r="P519">
        <v>7</v>
      </c>
      <c r="Q519" t="s">
        <v>31</v>
      </c>
      <c r="R519">
        <v>240</v>
      </c>
      <c r="S519">
        <v>48</v>
      </c>
      <c r="T519" t="s">
        <v>63</v>
      </c>
      <c r="U519" t="s">
        <v>63</v>
      </c>
      <c r="V519">
        <v>2026</v>
      </c>
      <c r="W519">
        <v>2</v>
      </c>
      <c r="X519" t="s">
        <v>1419</v>
      </c>
      <c r="Y519" s="6">
        <v>46054</v>
      </c>
      <c r="Z519" t="s">
        <v>1413</v>
      </c>
      <c r="AA519" t="s">
        <v>31</v>
      </c>
      <c r="AB519" t="s">
        <v>63</v>
      </c>
      <c r="AC519" t="s">
        <v>23</v>
      </c>
      <c r="AD519">
        <v>1</v>
      </c>
      <c r="AE519">
        <v>0</v>
      </c>
      <c r="AF519">
        <v>1</v>
      </c>
      <c r="AG519">
        <v>0</v>
      </c>
      <c r="AH519">
        <v>0</v>
      </c>
      <c r="AI519">
        <v>1</v>
      </c>
      <c r="AJ519">
        <v>1</v>
      </c>
    </row>
    <row r="520" spans="1:36">
      <c r="A520" t="s">
        <v>654</v>
      </c>
      <c r="B520">
        <v>10.7</v>
      </c>
      <c r="C520" s="7">
        <v>46110.680555555555</v>
      </c>
      <c r="D520" s="7">
        <v>46111.126560636571</v>
      </c>
      <c r="E520" t="s">
        <v>23</v>
      </c>
      <c r="F520" t="s">
        <v>50</v>
      </c>
      <c r="G520" t="s">
        <v>41</v>
      </c>
      <c r="H520" t="s">
        <v>34</v>
      </c>
      <c r="I520" t="s">
        <v>27</v>
      </c>
      <c r="J520" t="s">
        <v>36</v>
      </c>
      <c r="K520" t="s">
        <v>52</v>
      </c>
      <c r="L520" t="s">
        <v>55</v>
      </c>
      <c r="M520">
        <v>213</v>
      </c>
      <c r="N520">
        <v>4</v>
      </c>
      <c r="O520">
        <v>0</v>
      </c>
      <c r="P520">
        <v>5</v>
      </c>
      <c r="Q520" t="s">
        <v>31</v>
      </c>
      <c r="R520">
        <v>120</v>
      </c>
      <c r="S520">
        <v>24</v>
      </c>
      <c r="T520" t="s">
        <v>31</v>
      </c>
      <c r="U520" t="s">
        <v>63</v>
      </c>
      <c r="V520">
        <v>2026</v>
      </c>
      <c r="W520">
        <v>3</v>
      </c>
      <c r="X520" t="s">
        <v>1423</v>
      </c>
      <c r="Y520" s="6">
        <v>46082</v>
      </c>
      <c r="Z520" t="s">
        <v>1413</v>
      </c>
      <c r="AA520" t="s">
        <v>31</v>
      </c>
      <c r="AB520" t="s">
        <v>63</v>
      </c>
      <c r="AC520" t="s">
        <v>23</v>
      </c>
      <c r="AD520">
        <v>1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1</v>
      </c>
    </row>
    <row r="521" spans="1:36">
      <c r="A521" t="s">
        <v>655</v>
      </c>
      <c r="B521">
        <v>4.2</v>
      </c>
      <c r="C521" s="7">
        <v>46176.87222222222</v>
      </c>
      <c r="D521" s="7">
        <v>46177.047228414354</v>
      </c>
      <c r="E521" t="s">
        <v>23</v>
      </c>
      <c r="F521" t="s">
        <v>40</v>
      </c>
      <c r="G521" t="s">
        <v>41</v>
      </c>
      <c r="H521" t="s">
        <v>54</v>
      </c>
      <c r="I521" t="s">
        <v>42</v>
      </c>
      <c r="J521" t="s">
        <v>28</v>
      </c>
      <c r="K521" t="s">
        <v>37</v>
      </c>
      <c r="L521" t="s">
        <v>93</v>
      </c>
      <c r="M521">
        <v>5</v>
      </c>
      <c r="N521">
        <v>5</v>
      </c>
      <c r="O521">
        <v>0</v>
      </c>
      <c r="P521">
        <v>6</v>
      </c>
      <c r="Q521" t="s">
        <v>31</v>
      </c>
      <c r="R521">
        <v>30</v>
      </c>
      <c r="S521">
        <v>8</v>
      </c>
      <c r="T521" t="s">
        <v>63</v>
      </c>
      <c r="U521" t="s">
        <v>63</v>
      </c>
      <c r="V521">
        <v>2026</v>
      </c>
      <c r="W521">
        <v>6</v>
      </c>
      <c r="X521" t="s">
        <v>1421</v>
      </c>
      <c r="Y521" s="6">
        <v>46174</v>
      </c>
      <c r="Z521" t="s">
        <v>1413</v>
      </c>
      <c r="AA521" t="s">
        <v>31</v>
      </c>
      <c r="AB521" t="s">
        <v>63</v>
      </c>
      <c r="AC521" t="s">
        <v>23</v>
      </c>
      <c r="AD521">
        <v>1</v>
      </c>
      <c r="AE521">
        <v>0</v>
      </c>
      <c r="AF521">
        <v>1</v>
      </c>
      <c r="AG521">
        <v>0</v>
      </c>
      <c r="AH521">
        <v>0</v>
      </c>
      <c r="AI521">
        <v>1</v>
      </c>
      <c r="AJ521">
        <v>1</v>
      </c>
    </row>
    <row r="522" spans="1:36">
      <c r="A522" t="s">
        <v>656</v>
      </c>
      <c r="B522">
        <v>5.99</v>
      </c>
      <c r="C522" s="7">
        <v>46137.541666666664</v>
      </c>
      <c r="D522" s="7">
        <v>46137.79108260417</v>
      </c>
      <c r="E522" t="s">
        <v>23</v>
      </c>
      <c r="F522" t="s">
        <v>40</v>
      </c>
      <c r="G522" t="s">
        <v>51</v>
      </c>
      <c r="H522" t="s">
        <v>26</v>
      </c>
      <c r="I522" t="s">
        <v>35</v>
      </c>
      <c r="J522" t="s">
        <v>43</v>
      </c>
      <c r="K522" t="s">
        <v>67</v>
      </c>
      <c r="L522" t="s">
        <v>38</v>
      </c>
      <c r="M522">
        <v>44</v>
      </c>
      <c r="N522">
        <v>4</v>
      </c>
      <c r="O522">
        <v>1</v>
      </c>
      <c r="P522">
        <v>8</v>
      </c>
      <c r="Q522" t="s">
        <v>31</v>
      </c>
      <c r="R522">
        <v>30</v>
      </c>
      <c r="S522">
        <v>8</v>
      </c>
      <c r="T522" t="s">
        <v>31</v>
      </c>
      <c r="U522" t="s">
        <v>63</v>
      </c>
      <c r="V522">
        <v>2026</v>
      </c>
      <c r="W522">
        <v>4</v>
      </c>
      <c r="X522" t="s">
        <v>1412</v>
      </c>
      <c r="Y522" s="6">
        <v>46113</v>
      </c>
      <c r="Z522" t="s">
        <v>1413</v>
      </c>
      <c r="AA522" t="s">
        <v>63</v>
      </c>
      <c r="AB522" t="s">
        <v>63</v>
      </c>
      <c r="AC522" t="s">
        <v>23</v>
      </c>
      <c r="AD522">
        <v>1</v>
      </c>
      <c r="AE522">
        <v>0</v>
      </c>
      <c r="AF522">
        <v>1</v>
      </c>
      <c r="AG522">
        <v>1</v>
      </c>
      <c r="AH522">
        <v>0</v>
      </c>
      <c r="AI522">
        <v>0</v>
      </c>
      <c r="AJ522">
        <v>1</v>
      </c>
    </row>
    <row r="523" spans="1:36">
      <c r="A523" t="s">
        <v>657</v>
      </c>
      <c r="B523">
        <v>14.2</v>
      </c>
      <c r="C523" s="7">
        <v>46081.430555555555</v>
      </c>
      <c r="D523" s="7">
        <v>46082.022262812498</v>
      </c>
      <c r="E523" t="s">
        <v>23</v>
      </c>
      <c r="F523" t="s">
        <v>40</v>
      </c>
      <c r="G523" t="s">
        <v>25</v>
      </c>
      <c r="H523" t="s">
        <v>75</v>
      </c>
      <c r="I523" t="s">
        <v>35</v>
      </c>
      <c r="J523" t="s">
        <v>43</v>
      </c>
      <c r="K523" t="s">
        <v>37</v>
      </c>
      <c r="L523" t="s">
        <v>93</v>
      </c>
      <c r="M523">
        <v>102</v>
      </c>
      <c r="N523">
        <v>4</v>
      </c>
      <c r="O523">
        <v>1</v>
      </c>
      <c r="P523">
        <v>8</v>
      </c>
      <c r="Q523" t="s">
        <v>31</v>
      </c>
      <c r="R523">
        <v>30</v>
      </c>
      <c r="S523">
        <v>8</v>
      </c>
      <c r="T523" t="s">
        <v>31</v>
      </c>
      <c r="U523" t="s">
        <v>31</v>
      </c>
      <c r="V523">
        <v>2026</v>
      </c>
      <c r="W523">
        <v>2</v>
      </c>
      <c r="X523" t="s">
        <v>1419</v>
      </c>
      <c r="Y523" s="6">
        <v>46054</v>
      </c>
      <c r="Z523" t="s">
        <v>1413</v>
      </c>
      <c r="AA523" t="s">
        <v>63</v>
      </c>
      <c r="AB523" t="s">
        <v>63</v>
      </c>
      <c r="AC523" t="s">
        <v>23</v>
      </c>
      <c r="AD523">
        <v>1</v>
      </c>
      <c r="AE523">
        <v>0</v>
      </c>
      <c r="AF523">
        <v>1</v>
      </c>
      <c r="AG523">
        <v>1</v>
      </c>
      <c r="AH523">
        <v>0</v>
      </c>
      <c r="AI523">
        <v>0</v>
      </c>
      <c r="AJ523">
        <v>0</v>
      </c>
    </row>
    <row r="524" spans="1:36">
      <c r="A524" t="s">
        <v>658</v>
      </c>
      <c r="B524">
        <v>17.170000000000002</v>
      </c>
      <c r="C524" s="7">
        <v>46063.963888888888</v>
      </c>
      <c r="D524" s="7">
        <v>46064.679448541669</v>
      </c>
      <c r="E524" t="s">
        <v>23</v>
      </c>
      <c r="F524" t="s">
        <v>40</v>
      </c>
      <c r="G524" t="s">
        <v>65</v>
      </c>
      <c r="H524" t="s">
        <v>75</v>
      </c>
      <c r="I524" t="s">
        <v>42</v>
      </c>
      <c r="J524" t="s">
        <v>48</v>
      </c>
      <c r="K524" t="s">
        <v>58</v>
      </c>
      <c r="L524" t="s">
        <v>44</v>
      </c>
      <c r="M524">
        <v>42</v>
      </c>
      <c r="N524">
        <v>4</v>
      </c>
      <c r="O524">
        <v>1</v>
      </c>
      <c r="P524">
        <v>7</v>
      </c>
      <c r="Q524" t="s">
        <v>31</v>
      </c>
      <c r="R524">
        <v>30</v>
      </c>
      <c r="S524">
        <v>8</v>
      </c>
      <c r="T524" t="s">
        <v>31</v>
      </c>
      <c r="U524" t="s">
        <v>31</v>
      </c>
      <c r="V524">
        <v>2026</v>
      </c>
      <c r="W524">
        <v>2</v>
      </c>
      <c r="X524" t="s">
        <v>1419</v>
      </c>
      <c r="Y524" s="6">
        <v>46054</v>
      </c>
      <c r="Z524" t="s">
        <v>1413</v>
      </c>
      <c r="AA524" t="s">
        <v>63</v>
      </c>
      <c r="AB524" t="s">
        <v>63</v>
      </c>
      <c r="AC524" t="s">
        <v>23</v>
      </c>
      <c r="AD524">
        <v>1</v>
      </c>
      <c r="AE524">
        <v>0</v>
      </c>
      <c r="AF524">
        <v>1</v>
      </c>
      <c r="AG524">
        <v>1</v>
      </c>
      <c r="AH524">
        <v>0</v>
      </c>
      <c r="AI524">
        <v>0</v>
      </c>
      <c r="AJ524">
        <v>0</v>
      </c>
    </row>
    <row r="525" spans="1:36">
      <c r="A525" t="s">
        <v>660</v>
      </c>
      <c r="B525">
        <v>16.600000000000001</v>
      </c>
      <c r="C525" s="7">
        <v>46151.581250000003</v>
      </c>
      <c r="D525" s="7">
        <v>46152.273011168982</v>
      </c>
      <c r="E525" t="s">
        <v>23</v>
      </c>
      <c r="F525" t="s">
        <v>33</v>
      </c>
      <c r="G525" t="s">
        <v>41</v>
      </c>
      <c r="H525" t="s">
        <v>26</v>
      </c>
      <c r="I525" t="s">
        <v>35</v>
      </c>
      <c r="J525" t="s">
        <v>48</v>
      </c>
      <c r="K525" t="s">
        <v>29</v>
      </c>
      <c r="L525" t="s">
        <v>68</v>
      </c>
      <c r="M525">
        <v>258</v>
      </c>
      <c r="N525">
        <v>2</v>
      </c>
      <c r="O525">
        <v>2</v>
      </c>
      <c r="P525">
        <v>15</v>
      </c>
      <c r="Q525" t="s">
        <v>31</v>
      </c>
      <c r="R525">
        <v>240</v>
      </c>
      <c r="S525">
        <v>48</v>
      </c>
      <c r="T525" t="s">
        <v>31</v>
      </c>
      <c r="U525" t="s">
        <v>63</v>
      </c>
      <c r="V525">
        <v>2026</v>
      </c>
      <c r="W525">
        <v>5</v>
      </c>
      <c r="X525" t="s">
        <v>1416</v>
      </c>
      <c r="Y525" s="6">
        <v>46143</v>
      </c>
      <c r="Z525" t="s">
        <v>1415</v>
      </c>
      <c r="AA525" t="s">
        <v>63</v>
      </c>
      <c r="AB525" t="s">
        <v>63</v>
      </c>
      <c r="AC525" t="s">
        <v>23</v>
      </c>
      <c r="AD525">
        <v>1</v>
      </c>
      <c r="AE525">
        <v>0</v>
      </c>
      <c r="AF525">
        <v>1</v>
      </c>
      <c r="AG525">
        <v>1</v>
      </c>
      <c r="AH525">
        <v>0</v>
      </c>
      <c r="AI525">
        <v>0</v>
      </c>
      <c r="AJ525">
        <v>1</v>
      </c>
    </row>
    <row r="526" spans="1:36">
      <c r="A526" t="s">
        <v>661</v>
      </c>
      <c r="B526">
        <v>9.31</v>
      </c>
      <c r="C526" s="7">
        <v>46157.609027777777</v>
      </c>
      <c r="D526" s="7">
        <v>46157.997052523147</v>
      </c>
      <c r="E526" t="s">
        <v>23</v>
      </c>
      <c r="F526" t="s">
        <v>50</v>
      </c>
      <c r="G526" t="s">
        <v>65</v>
      </c>
      <c r="H526" t="s">
        <v>34</v>
      </c>
      <c r="I526" t="s">
        <v>35</v>
      </c>
      <c r="J526" t="s">
        <v>36</v>
      </c>
      <c r="K526" t="s">
        <v>37</v>
      </c>
      <c r="L526" t="s">
        <v>71</v>
      </c>
      <c r="M526">
        <v>135</v>
      </c>
      <c r="N526">
        <v>4</v>
      </c>
      <c r="O526">
        <v>0</v>
      </c>
      <c r="P526">
        <v>11</v>
      </c>
      <c r="Q526" t="s">
        <v>63</v>
      </c>
      <c r="R526">
        <v>120</v>
      </c>
      <c r="S526">
        <v>24</v>
      </c>
      <c r="T526" t="s">
        <v>31</v>
      </c>
      <c r="U526" t="s">
        <v>63</v>
      </c>
      <c r="V526">
        <v>2026</v>
      </c>
      <c r="W526">
        <v>5</v>
      </c>
      <c r="X526" t="s">
        <v>1416</v>
      </c>
      <c r="Y526" s="6">
        <v>46143</v>
      </c>
      <c r="Z526" t="s">
        <v>1413</v>
      </c>
      <c r="AA526" t="s">
        <v>31</v>
      </c>
      <c r="AB526" t="s">
        <v>63</v>
      </c>
      <c r="AC526" t="s">
        <v>23</v>
      </c>
      <c r="AD526">
        <v>1</v>
      </c>
      <c r="AE526">
        <v>0</v>
      </c>
      <c r="AF526">
        <v>1</v>
      </c>
      <c r="AG526">
        <v>0</v>
      </c>
      <c r="AH526">
        <v>1</v>
      </c>
      <c r="AI526">
        <v>0</v>
      </c>
      <c r="AJ526">
        <v>1</v>
      </c>
    </row>
    <row r="527" spans="1:36">
      <c r="A527" t="s">
        <v>662</v>
      </c>
      <c r="B527">
        <v>56.5</v>
      </c>
      <c r="C527" s="7">
        <v>46137.871527777781</v>
      </c>
      <c r="D527" s="7">
        <v>46140.225818425926</v>
      </c>
      <c r="E527" t="s">
        <v>23</v>
      </c>
      <c r="F527" t="s">
        <v>33</v>
      </c>
      <c r="G527" t="s">
        <v>65</v>
      </c>
      <c r="H527" t="s">
        <v>34</v>
      </c>
      <c r="I527" t="s">
        <v>35</v>
      </c>
      <c r="J527" t="s">
        <v>43</v>
      </c>
      <c r="K527" t="s">
        <v>58</v>
      </c>
      <c r="L527" t="s">
        <v>1401</v>
      </c>
      <c r="M527">
        <v>110</v>
      </c>
      <c r="N527">
        <v>4</v>
      </c>
      <c r="O527">
        <v>0</v>
      </c>
      <c r="P527">
        <v>2</v>
      </c>
      <c r="Q527" t="s">
        <v>31</v>
      </c>
      <c r="R527">
        <v>240</v>
      </c>
      <c r="S527">
        <v>48</v>
      </c>
      <c r="T527" t="s">
        <v>63</v>
      </c>
      <c r="U527" t="s">
        <v>31</v>
      </c>
      <c r="V527">
        <v>2026</v>
      </c>
      <c r="W527">
        <v>4</v>
      </c>
      <c r="X527" t="s">
        <v>1412</v>
      </c>
      <c r="Y527" s="6">
        <v>46113</v>
      </c>
      <c r="Z527" t="s">
        <v>1413</v>
      </c>
      <c r="AA527" t="s">
        <v>31</v>
      </c>
      <c r="AB527" t="s">
        <v>63</v>
      </c>
      <c r="AC527" t="s">
        <v>23</v>
      </c>
      <c r="AD527">
        <v>1</v>
      </c>
      <c r="AE527">
        <v>0</v>
      </c>
      <c r="AF527">
        <v>1</v>
      </c>
      <c r="AG527">
        <v>0</v>
      </c>
      <c r="AH527">
        <v>0</v>
      </c>
      <c r="AI527">
        <v>1</v>
      </c>
      <c r="AJ527">
        <v>0</v>
      </c>
    </row>
    <row r="528" spans="1:36">
      <c r="A528" t="s">
        <v>663</v>
      </c>
      <c r="B528">
        <v>42.78</v>
      </c>
      <c r="C528" s="7">
        <v>46040.71597222222</v>
      </c>
      <c r="D528" s="7">
        <v>46042.498467824073</v>
      </c>
      <c r="E528" t="s">
        <v>23</v>
      </c>
      <c r="F528" t="s">
        <v>50</v>
      </c>
      <c r="G528" t="s">
        <v>25</v>
      </c>
      <c r="H528" t="s">
        <v>54</v>
      </c>
      <c r="I528" t="s">
        <v>35</v>
      </c>
      <c r="J528" t="s">
        <v>43</v>
      </c>
      <c r="K528" t="s">
        <v>37</v>
      </c>
      <c r="L528" t="s">
        <v>62</v>
      </c>
      <c r="M528">
        <v>206</v>
      </c>
      <c r="N528">
        <v>4</v>
      </c>
      <c r="O528">
        <v>0</v>
      </c>
      <c r="P528">
        <v>5</v>
      </c>
      <c r="Q528" t="s">
        <v>31</v>
      </c>
      <c r="R528">
        <v>120</v>
      </c>
      <c r="S528">
        <v>24</v>
      </c>
      <c r="T528" t="s">
        <v>31</v>
      </c>
      <c r="U528" t="s">
        <v>31</v>
      </c>
      <c r="V528">
        <v>2026</v>
      </c>
      <c r="W528">
        <v>1</v>
      </c>
      <c r="X528" t="s">
        <v>1414</v>
      </c>
      <c r="Y528" s="6">
        <v>46023</v>
      </c>
      <c r="Z528" t="s">
        <v>1413</v>
      </c>
      <c r="AA528" t="s">
        <v>31</v>
      </c>
      <c r="AB528" t="s">
        <v>63</v>
      </c>
      <c r="AC528" t="s">
        <v>23</v>
      </c>
      <c r="AD528">
        <v>1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</row>
    <row r="529" spans="1:36">
      <c r="A529" t="s">
        <v>664</v>
      </c>
      <c r="B529">
        <v>49.91</v>
      </c>
      <c r="C529" s="7">
        <v>46157.888194444444</v>
      </c>
      <c r="D529" s="7">
        <v>46159.967898009258</v>
      </c>
      <c r="E529" t="s">
        <v>23</v>
      </c>
      <c r="F529" t="s">
        <v>33</v>
      </c>
      <c r="G529" t="s">
        <v>41</v>
      </c>
      <c r="H529" t="s">
        <v>26</v>
      </c>
      <c r="I529" t="s">
        <v>42</v>
      </c>
      <c r="J529" t="s">
        <v>43</v>
      </c>
      <c r="K529" t="s">
        <v>37</v>
      </c>
      <c r="L529" t="s">
        <v>71</v>
      </c>
      <c r="M529">
        <v>147</v>
      </c>
      <c r="N529">
        <v>4</v>
      </c>
      <c r="O529">
        <v>0</v>
      </c>
      <c r="P529">
        <v>5</v>
      </c>
      <c r="Q529" t="s">
        <v>31</v>
      </c>
      <c r="R529">
        <v>240</v>
      </c>
      <c r="S529">
        <v>48</v>
      </c>
      <c r="T529" t="s">
        <v>63</v>
      </c>
      <c r="U529" t="s">
        <v>31</v>
      </c>
      <c r="V529">
        <v>2026</v>
      </c>
      <c r="W529">
        <v>5</v>
      </c>
      <c r="X529" t="s">
        <v>1416</v>
      </c>
      <c r="Y529" s="6">
        <v>46143</v>
      </c>
      <c r="Z529" t="s">
        <v>1413</v>
      </c>
      <c r="AA529" t="s">
        <v>31</v>
      </c>
      <c r="AB529" t="s">
        <v>63</v>
      </c>
      <c r="AC529" t="s">
        <v>23</v>
      </c>
      <c r="AD529">
        <v>1</v>
      </c>
      <c r="AE529">
        <v>0</v>
      </c>
      <c r="AF529">
        <v>1</v>
      </c>
      <c r="AG529">
        <v>0</v>
      </c>
      <c r="AH529">
        <v>0</v>
      </c>
      <c r="AI529">
        <v>1</v>
      </c>
      <c r="AJ529">
        <v>0</v>
      </c>
    </row>
    <row r="530" spans="1:36">
      <c r="A530" t="s">
        <v>665</v>
      </c>
      <c r="B530">
        <v>29.78</v>
      </c>
      <c r="C530" s="7">
        <v>46060.260416666664</v>
      </c>
      <c r="D530" s="7">
        <v>46061.501147233794</v>
      </c>
      <c r="E530" t="s">
        <v>23</v>
      </c>
      <c r="F530" t="s">
        <v>33</v>
      </c>
      <c r="G530" t="s">
        <v>25</v>
      </c>
      <c r="H530" t="s">
        <v>26</v>
      </c>
      <c r="I530" t="s">
        <v>35</v>
      </c>
      <c r="J530" t="s">
        <v>48</v>
      </c>
      <c r="K530" t="s">
        <v>76</v>
      </c>
      <c r="L530" t="s">
        <v>85</v>
      </c>
      <c r="M530">
        <v>85</v>
      </c>
      <c r="N530">
        <v>4</v>
      </c>
      <c r="O530">
        <v>0</v>
      </c>
      <c r="P530">
        <v>5</v>
      </c>
      <c r="Q530" t="s">
        <v>31</v>
      </c>
      <c r="R530">
        <v>240</v>
      </c>
      <c r="S530">
        <v>48</v>
      </c>
      <c r="T530" t="s">
        <v>63</v>
      </c>
      <c r="U530" t="s">
        <v>63</v>
      </c>
      <c r="V530">
        <v>2026</v>
      </c>
      <c r="W530">
        <v>2</v>
      </c>
      <c r="X530" t="s">
        <v>1419</v>
      </c>
      <c r="Y530" s="6">
        <v>46054</v>
      </c>
      <c r="Z530" t="s">
        <v>1413</v>
      </c>
      <c r="AA530" t="s">
        <v>31</v>
      </c>
      <c r="AB530" t="s">
        <v>63</v>
      </c>
      <c r="AC530" t="s">
        <v>23</v>
      </c>
      <c r="AD530">
        <v>1</v>
      </c>
      <c r="AE530">
        <v>0</v>
      </c>
      <c r="AF530">
        <v>1</v>
      </c>
      <c r="AG530">
        <v>0</v>
      </c>
      <c r="AH530">
        <v>0</v>
      </c>
      <c r="AI530">
        <v>1</v>
      </c>
      <c r="AJ530">
        <v>1</v>
      </c>
    </row>
    <row r="531" spans="1:36">
      <c r="A531" t="s">
        <v>666</v>
      </c>
      <c r="B531">
        <v>74.62</v>
      </c>
      <c r="C531" s="7">
        <v>46167.600694444445</v>
      </c>
      <c r="D531" s="7">
        <v>46170.709725555556</v>
      </c>
      <c r="E531" t="s">
        <v>23</v>
      </c>
      <c r="F531" t="s">
        <v>50</v>
      </c>
      <c r="G531" t="s">
        <v>41</v>
      </c>
      <c r="H531" t="s">
        <v>54</v>
      </c>
      <c r="I531" t="s">
        <v>42</v>
      </c>
      <c r="J531" t="s">
        <v>28</v>
      </c>
      <c r="K531" t="s">
        <v>67</v>
      </c>
      <c r="L531" t="s">
        <v>71</v>
      </c>
      <c r="M531">
        <v>141</v>
      </c>
      <c r="N531">
        <v>4</v>
      </c>
      <c r="O531">
        <v>0</v>
      </c>
      <c r="P531">
        <v>2</v>
      </c>
      <c r="Q531" t="s">
        <v>31</v>
      </c>
      <c r="R531">
        <v>120</v>
      </c>
      <c r="S531">
        <v>24</v>
      </c>
      <c r="T531" t="s">
        <v>31</v>
      </c>
      <c r="U531" t="s">
        <v>31</v>
      </c>
      <c r="V531">
        <v>2026</v>
      </c>
      <c r="W531">
        <v>5</v>
      </c>
      <c r="X531" t="s">
        <v>1416</v>
      </c>
      <c r="Y531" s="6">
        <v>46143</v>
      </c>
      <c r="Z531" t="s">
        <v>1413</v>
      </c>
      <c r="AA531" t="s">
        <v>31</v>
      </c>
      <c r="AB531" t="s">
        <v>63</v>
      </c>
      <c r="AC531" t="s">
        <v>23</v>
      </c>
      <c r="AD531">
        <v>1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</row>
    <row r="532" spans="1:36">
      <c r="A532" t="s">
        <v>667</v>
      </c>
      <c r="B532">
        <v>61.61</v>
      </c>
      <c r="C532" s="7">
        <v>46216.370138888888</v>
      </c>
      <c r="D532" s="7">
        <v>46218.937331261572</v>
      </c>
      <c r="E532" t="s">
        <v>23</v>
      </c>
      <c r="F532" t="s">
        <v>33</v>
      </c>
      <c r="G532" t="s">
        <v>51</v>
      </c>
      <c r="H532" t="s">
        <v>26</v>
      </c>
      <c r="I532" t="s">
        <v>27</v>
      </c>
      <c r="J532" t="s">
        <v>43</v>
      </c>
      <c r="K532" t="s">
        <v>76</v>
      </c>
      <c r="L532" t="s">
        <v>38</v>
      </c>
      <c r="M532">
        <v>165</v>
      </c>
      <c r="N532">
        <v>4</v>
      </c>
      <c r="O532">
        <v>0</v>
      </c>
      <c r="P532">
        <v>3</v>
      </c>
      <c r="Q532" t="s">
        <v>31</v>
      </c>
      <c r="R532">
        <v>240</v>
      </c>
      <c r="S532">
        <v>48</v>
      </c>
      <c r="T532" t="s">
        <v>63</v>
      </c>
      <c r="U532" t="s">
        <v>31</v>
      </c>
      <c r="V532">
        <v>2026</v>
      </c>
      <c r="W532">
        <v>7</v>
      </c>
      <c r="X532" t="s">
        <v>1422</v>
      </c>
      <c r="Y532" s="6">
        <v>46204</v>
      </c>
      <c r="Z532" t="s">
        <v>1413</v>
      </c>
      <c r="AA532" t="s">
        <v>31</v>
      </c>
      <c r="AB532" t="s">
        <v>63</v>
      </c>
      <c r="AC532" t="s">
        <v>23</v>
      </c>
      <c r="AD532">
        <v>1</v>
      </c>
      <c r="AE532">
        <v>0</v>
      </c>
      <c r="AF532">
        <v>1</v>
      </c>
      <c r="AG532">
        <v>0</v>
      </c>
      <c r="AH532">
        <v>0</v>
      </c>
      <c r="AI532">
        <v>1</v>
      </c>
      <c r="AJ532">
        <v>0</v>
      </c>
    </row>
    <row r="533" spans="1:36">
      <c r="A533" t="s">
        <v>668</v>
      </c>
      <c r="B533">
        <v>73.2</v>
      </c>
      <c r="C533" s="7">
        <v>46226.361111111109</v>
      </c>
      <c r="D533" s="7">
        <v>46229.411171817126</v>
      </c>
      <c r="E533" t="s">
        <v>23</v>
      </c>
      <c r="F533" t="s">
        <v>33</v>
      </c>
      <c r="G533" t="s">
        <v>65</v>
      </c>
      <c r="H533" t="s">
        <v>34</v>
      </c>
      <c r="I533" t="s">
        <v>27</v>
      </c>
      <c r="J533" t="s">
        <v>43</v>
      </c>
      <c r="K533" t="s">
        <v>58</v>
      </c>
      <c r="L533" t="s">
        <v>55</v>
      </c>
      <c r="M533">
        <v>217</v>
      </c>
      <c r="N533">
        <v>3</v>
      </c>
      <c r="O533">
        <v>1</v>
      </c>
      <c r="P533">
        <v>6</v>
      </c>
      <c r="Q533" t="s">
        <v>31</v>
      </c>
      <c r="R533">
        <v>240</v>
      </c>
      <c r="S533">
        <v>48</v>
      </c>
      <c r="T533" t="s">
        <v>63</v>
      </c>
      <c r="U533" t="s">
        <v>31</v>
      </c>
      <c r="V533">
        <v>2026</v>
      </c>
      <c r="W533">
        <v>7</v>
      </c>
      <c r="X533" t="s">
        <v>1422</v>
      </c>
      <c r="Y533" s="6">
        <v>46204</v>
      </c>
      <c r="Z533" t="s">
        <v>1418</v>
      </c>
      <c r="AA533" t="s">
        <v>63</v>
      </c>
      <c r="AB533" t="s">
        <v>63</v>
      </c>
      <c r="AC533" t="s">
        <v>23</v>
      </c>
      <c r="AD533">
        <v>1</v>
      </c>
      <c r="AE533">
        <v>0</v>
      </c>
      <c r="AF533">
        <v>1</v>
      </c>
      <c r="AG533">
        <v>1</v>
      </c>
      <c r="AH533">
        <v>0</v>
      </c>
      <c r="AI533">
        <v>1</v>
      </c>
      <c r="AJ533">
        <v>0</v>
      </c>
    </row>
    <row r="534" spans="1:36">
      <c r="A534" t="s">
        <v>669</v>
      </c>
      <c r="B534">
        <v>28.1</v>
      </c>
      <c r="C534" s="7">
        <v>46157.363194444442</v>
      </c>
      <c r="D534" s="7">
        <v>46158.534175324072</v>
      </c>
      <c r="E534" t="s">
        <v>23</v>
      </c>
      <c r="F534" t="s">
        <v>50</v>
      </c>
      <c r="G534" t="s">
        <v>51</v>
      </c>
      <c r="H534" t="s">
        <v>66</v>
      </c>
      <c r="I534" t="s">
        <v>35</v>
      </c>
      <c r="J534" t="s">
        <v>48</v>
      </c>
      <c r="K534" t="s">
        <v>52</v>
      </c>
      <c r="L534" t="s">
        <v>71</v>
      </c>
      <c r="M534">
        <v>85</v>
      </c>
      <c r="N534">
        <v>4</v>
      </c>
      <c r="O534">
        <v>0</v>
      </c>
      <c r="P534">
        <v>7</v>
      </c>
      <c r="Q534" t="s">
        <v>31</v>
      </c>
      <c r="R534">
        <v>120</v>
      </c>
      <c r="S534">
        <v>24</v>
      </c>
      <c r="T534" t="s">
        <v>63</v>
      </c>
      <c r="U534" t="s">
        <v>31</v>
      </c>
      <c r="V534">
        <v>2026</v>
      </c>
      <c r="W534">
        <v>5</v>
      </c>
      <c r="X534" t="s">
        <v>1416</v>
      </c>
      <c r="Y534" s="6">
        <v>46143</v>
      </c>
      <c r="Z534" t="s">
        <v>1413</v>
      </c>
      <c r="AA534" t="s">
        <v>31</v>
      </c>
      <c r="AB534" t="s">
        <v>63</v>
      </c>
      <c r="AC534" t="s">
        <v>23</v>
      </c>
      <c r="AD534">
        <v>1</v>
      </c>
      <c r="AE534">
        <v>0</v>
      </c>
      <c r="AF534">
        <v>1</v>
      </c>
      <c r="AG534">
        <v>0</v>
      </c>
      <c r="AH534">
        <v>0</v>
      </c>
      <c r="AI534">
        <v>1</v>
      </c>
      <c r="AJ534">
        <v>0</v>
      </c>
    </row>
    <row r="535" spans="1:36">
      <c r="A535" t="s">
        <v>670</v>
      </c>
      <c r="B535">
        <v>95.91</v>
      </c>
      <c r="C535" s="7">
        <v>46227.737500000003</v>
      </c>
      <c r="D535" s="7">
        <v>46231.733607372684</v>
      </c>
      <c r="E535" t="s">
        <v>23</v>
      </c>
      <c r="F535" t="s">
        <v>33</v>
      </c>
      <c r="G535" t="s">
        <v>41</v>
      </c>
      <c r="H535" t="s">
        <v>26</v>
      </c>
      <c r="I535" t="s">
        <v>27</v>
      </c>
      <c r="J535" t="s">
        <v>36</v>
      </c>
      <c r="K535" t="s">
        <v>76</v>
      </c>
      <c r="L535" t="s">
        <v>93</v>
      </c>
      <c r="M535">
        <v>92</v>
      </c>
      <c r="N535">
        <v>4</v>
      </c>
      <c r="O535">
        <v>0</v>
      </c>
      <c r="P535">
        <v>6</v>
      </c>
      <c r="Q535" t="s">
        <v>31</v>
      </c>
      <c r="R535">
        <v>240</v>
      </c>
      <c r="S535">
        <v>48</v>
      </c>
      <c r="T535" t="s">
        <v>63</v>
      </c>
      <c r="U535" t="s">
        <v>31</v>
      </c>
      <c r="V535">
        <v>2026</v>
      </c>
      <c r="W535">
        <v>7</v>
      </c>
      <c r="X535" t="s">
        <v>1422</v>
      </c>
      <c r="Y535" s="6">
        <v>46204</v>
      </c>
      <c r="Z535" t="s">
        <v>1413</v>
      </c>
      <c r="AA535" t="s">
        <v>31</v>
      </c>
      <c r="AB535" t="s">
        <v>63</v>
      </c>
      <c r="AC535" t="s">
        <v>23</v>
      </c>
      <c r="AD535">
        <v>1</v>
      </c>
      <c r="AE535">
        <v>0</v>
      </c>
      <c r="AF535">
        <v>1</v>
      </c>
      <c r="AG535">
        <v>0</v>
      </c>
      <c r="AH535">
        <v>0</v>
      </c>
      <c r="AI535">
        <v>1</v>
      </c>
      <c r="AJ535">
        <v>0</v>
      </c>
    </row>
    <row r="536" spans="1:36">
      <c r="A536" t="s">
        <v>671</v>
      </c>
      <c r="B536">
        <v>7.07</v>
      </c>
      <c r="C536" s="7">
        <v>46214.36041666667</v>
      </c>
      <c r="D536" s="7">
        <v>46214.654882187497</v>
      </c>
      <c r="E536" t="s">
        <v>23</v>
      </c>
      <c r="F536" t="s">
        <v>40</v>
      </c>
      <c r="G536" t="s">
        <v>51</v>
      </c>
      <c r="H536" t="s">
        <v>75</v>
      </c>
      <c r="I536" t="s">
        <v>35</v>
      </c>
      <c r="J536" t="s">
        <v>48</v>
      </c>
      <c r="K536" t="s">
        <v>29</v>
      </c>
      <c r="L536" t="s">
        <v>44</v>
      </c>
      <c r="M536">
        <v>66</v>
      </c>
      <c r="N536">
        <v>3</v>
      </c>
      <c r="O536">
        <v>1</v>
      </c>
      <c r="P536">
        <v>14</v>
      </c>
      <c r="Q536" t="s">
        <v>63</v>
      </c>
      <c r="R536">
        <v>30</v>
      </c>
      <c r="S536">
        <v>8</v>
      </c>
      <c r="T536" t="s">
        <v>31</v>
      </c>
      <c r="U536" t="s">
        <v>63</v>
      </c>
      <c r="V536">
        <v>2026</v>
      </c>
      <c r="W536">
        <v>7</v>
      </c>
      <c r="X536" t="s">
        <v>1422</v>
      </c>
      <c r="Y536" s="6">
        <v>46204</v>
      </c>
      <c r="Z536" t="s">
        <v>1418</v>
      </c>
      <c r="AA536" t="s">
        <v>63</v>
      </c>
      <c r="AB536" t="s">
        <v>63</v>
      </c>
      <c r="AC536" t="s">
        <v>23</v>
      </c>
      <c r="AD536">
        <v>1</v>
      </c>
      <c r="AE536">
        <v>0</v>
      </c>
      <c r="AF536">
        <v>1</v>
      </c>
      <c r="AG536">
        <v>1</v>
      </c>
      <c r="AH536">
        <v>1</v>
      </c>
      <c r="AI536">
        <v>0</v>
      </c>
      <c r="AJ536">
        <v>1</v>
      </c>
    </row>
    <row r="537" spans="1:36">
      <c r="A537" t="s">
        <v>672</v>
      </c>
      <c r="B537">
        <v>16.82</v>
      </c>
      <c r="C537" s="7">
        <v>46229.929861111108</v>
      </c>
      <c r="D537" s="7">
        <v>46230.630661134259</v>
      </c>
      <c r="E537" t="s">
        <v>23</v>
      </c>
      <c r="F537" t="s">
        <v>40</v>
      </c>
      <c r="G537" t="s">
        <v>51</v>
      </c>
      <c r="H537" t="s">
        <v>75</v>
      </c>
      <c r="I537" t="s">
        <v>35</v>
      </c>
      <c r="J537" t="s">
        <v>36</v>
      </c>
      <c r="K537" t="s">
        <v>58</v>
      </c>
      <c r="L537" t="s">
        <v>30</v>
      </c>
      <c r="M537">
        <v>7</v>
      </c>
      <c r="N537">
        <v>4</v>
      </c>
      <c r="O537">
        <v>0</v>
      </c>
      <c r="P537">
        <v>4</v>
      </c>
      <c r="Q537" t="s">
        <v>31</v>
      </c>
      <c r="R537">
        <v>30</v>
      </c>
      <c r="S537">
        <v>8</v>
      </c>
      <c r="T537" t="s">
        <v>63</v>
      </c>
      <c r="U537" t="s">
        <v>31</v>
      </c>
      <c r="V537">
        <v>2026</v>
      </c>
      <c r="W537">
        <v>7</v>
      </c>
      <c r="X537" t="s">
        <v>1422</v>
      </c>
      <c r="Y537" s="6">
        <v>46204</v>
      </c>
      <c r="Z537" t="s">
        <v>1413</v>
      </c>
      <c r="AA537" t="s">
        <v>31</v>
      </c>
      <c r="AB537" t="s">
        <v>63</v>
      </c>
      <c r="AC537" t="s">
        <v>23</v>
      </c>
      <c r="AD537">
        <v>1</v>
      </c>
      <c r="AE537">
        <v>0</v>
      </c>
      <c r="AF537">
        <v>1</v>
      </c>
      <c r="AG537">
        <v>0</v>
      </c>
      <c r="AH537">
        <v>0</v>
      </c>
      <c r="AI537">
        <v>1</v>
      </c>
      <c r="AJ537">
        <v>0</v>
      </c>
    </row>
    <row r="538" spans="1:36">
      <c r="A538" t="s">
        <v>673</v>
      </c>
      <c r="B538">
        <v>40.43</v>
      </c>
      <c r="C538" s="7">
        <v>46102.786111111112</v>
      </c>
      <c r="D538" s="7">
        <v>46104.470577511573</v>
      </c>
      <c r="E538" t="s">
        <v>23</v>
      </c>
      <c r="F538" t="s">
        <v>33</v>
      </c>
      <c r="G538" t="s">
        <v>65</v>
      </c>
      <c r="H538" t="s">
        <v>75</v>
      </c>
      <c r="I538" t="s">
        <v>42</v>
      </c>
      <c r="J538" t="s">
        <v>43</v>
      </c>
      <c r="K538" t="s">
        <v>37</v>
      </c>
      <c r="L538" t="s">
        <v>93</v>
      </c>
      <c r="M538">
        <v>113</v>
      </c>
      <c r="N538">
        <v>4</v>
      </c>
      <c r="O538">
        <v>0</v>
      </c>
      <c r="P538">
        <v>5</v>
      </c>
      <c r="Q538" t="s">
        <v>31</v>
      </c>
      <c r="R538">
        <v>240</v>
      </c>
      <c r="S538">
        <v>48</v>
      </c>
      <c r="T538" t="s">
        <v>63</v>
      </c>
      <c r="U538" t="s">
        <v>63</v>
      </c>
      <c r="V538">
        <v>2026</v>
      </c>
      <c r="W538">
        <v>3</v>
      </c>
      <c r="X538" t="s">
        <v>1423</v>
      </c>
      <c r="Y538" s="6">
        <v>46082</v>
      </c>
      <c r="Z538" t="s">
        <v>1413</v>
      </c>
      <c r="AA538" t="s">
        <v>31</v>
      </c>
      <c r="AB538" t="s">
        <v>63</v>
      </c>
      <c r="AC538" t="s">
        <v>23</v>
      </c>
      <c r="AD538">
        <v>1</v>
      </c>
      <c r="AE538">
        <v>0</v>
      </c>
      <c r="AF538">
        <v>1</v>
      </c>
      <c r="AG538">
        <v>0</v>
      </c>
      <c r="AH538">
        <v>0</v>
      </c>
      <c r="AI538">
        <v>1</v>
      </c>
      <c r="AJ538">
        <v>1</v>
      </c>
    </row>
    <row r="539" spans="1:36">
      <c r="A539" t="s">
        <v>674</v>
      </c>
      <c r="B539">
        <v>34.97</v>
      </c>
      <c r="C539" s="7">
        <v>46217.383333333331</v>
      </c>
      <c r="D539" s="7">
        <v>46218.840218067133</v>
      </c>
      <c r="E539" t="s">
        <v>23</v>
      </c>
      <c r="F539" t="s">
        <v>33</v>
      </c>
      <c r="G539" t="s">
        <v>25</v>
      </c>
      <c r="H539" t="s">
        <v>34</v>
      </c>
      <c r="I539" t="s">
        <v>42</v>
      </c>
      <c r="J539" t="s">
        <v>48</v>
      </c>
      <c r="K539" t="s">
        <v>58</v>
      </c>
      <c r="L539" t="s">
        <v>93</v>
      </c>
      <c r="M539">
        <v>291</v>
      </c>
      <c r="N539">
        <v>3</v>
      </c>
      <c r="O539">
        <v>0</v>
      </c>
      <c r="P539">
        <v>5</v>
      </c>
      <c r="Q539" t="s">
        <v>63</v>
      </c>
      <c r="R539">
        <v>240</v>
      </c>
      <c r="S539">
        <v>48</v>
      </c>
      <c r="T539" t="s">
        <v>31</v>
      </c>
      <c r="U539" t="s">
        <v>63</v>
      </c>
      <c r="V539">
        <v>2026</v>
      </c>
      <c r="W539">
        <v>7</v>
      </c>
      <c r="X539" t="s">
        <v>1422</v>
      </c>
      <c r="Y539" s="6">
        <v>46204</v>
      </c>
      <c r="Z539" t="s">
        <v>1418</v>
      </c>
      <c r="AA539" t="s">
        <v>31</v>
      </c>
      <c r="AB539" t="s">
        <v>63</v>
      </c>
      <c r="AC539" t="s">
        <v>23</v>
      </c>
      <c r="AD539">
        <v>1</v>
      </c>
      <c r="AE539">
        <v>0</v>
      </c>
      <c r="AF539">
        <v>1</v>
      </c>
      <c r="AG539">
        <v>0</v>
      </c>
      <c r="AH539">
        <v>1</v>
      </c>
      <c r="AI539">
        <v>0</v>
      </c>
      <c r="AJ539">
        <v>1</v>
      </c>
    </row>
    <row r="540" spans="1:36">
      <c r="A540" t="s">
        <v>675</v>
      </c>
      <c r="B540">
        <v>7.24</v>
      </c>
      <c r="C540" s="7">
        <v>46161.073611111111</v>
      </c>
      <c r="D540" s="7">
        <v>46161.375126770836</v>
      </c>
      <c r="E540" t="s">
        <v>23</v>
      </c>
      <c r="F540" t="s">
        <v>40</v>
      </c>
      <c r="G540" t="s">
        <v>25</v>
      </c>
      <c r="H540" t="s">
        <v>75</v>
      </c>
      <c r="I540" t="s">
        <v>35</v>
      </c>
      <c r="J540" t="s">
        <v>43</v>
      </c>
      <c r="K540" t="s">
        <v>29</v>
      </c>
      <c r="L540" t="s">
        <v>71</v>
      </c>
      <c r="M540">
        <v>36</v>
      </c>
      <c r="N540">
        <v>5</v>
      </c>
      <c r="O540">
        <v>0</v>
      </c>
      <c r="P540">
        <v>4</v>
      </c>
      <c r="Q540" t="s">
        <v>31</v>
      </c>
      <c r="R540">
        <v>30</v>
      </c>
      <c r="S540">
        <v>8</v>
      </c>
      <c r="T540" t="s">
        <v>31</v>
      </c>
      <c r="U540" t="s">
        <v>63</v>
      </c>
      <c r="V540">
        <v>2026</v>
      </c>
      <c r="W540">
        <v>5</v>
      </c>
      <c r="X540" t="s">
        <v>1416</v>
      </c>
      <c r="Y540" s="6">
        <v>46143</v>
      </c>
      <c r="Z540" t="s">
        <v>1413</v>
      </c>
      <c r="AA540" t="s">
        <v>31</v>
      </c>
      <c r="AB540" t="s">
        <v>63</v>
      </c>
      <c r="AC540" t="s">
        <v>23</v>
      </c>
      <c r="AD540">
        <v>1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1</v>
      </c>
    </row>
    <row r="541" spans="1:36">
      <c r="A541" t="s">
        <v>676</v>
      </c>
      <c r="B541">
        <v>13.29</v>
      </c>
      <c r="C541" s="7">
        <v>46245.790277777778</v>
      </c>
      <c r="D541" s="7">
        <v>46246.343914722223</v>
      </c>
      <c r="E541" t="s">
        <v>23</v>
      </c>
      <c r="F541" t="s">
        <v>50</v>
      </c>
      <c r="G541" t="s">
        <v>41</v>
      </c>
      <c r="H541" t="s">
        <v>26</v>
      </c>
      <c r="I541" t="s">
        <v>27</v>
      </c>
      <c r="J541" t="s">
        <v>48</v>
      </c>
      <c r="K541" t="s">
        <v>67</v>
      </c>
      <c r="L541" t="s">
        <v>55</v>
      </c>
      <c r="M541">
        <v>108</v>
      </c>
      <c r="N541">
        <v>4</v>
      </c>
      <c r="O541">
        <v>1</v>
      </c>
      <c r="P541">
        <v>5</v>
      </c>
      <c r="Q541" t="s">
        <v>31</v>
      </c>
      <c r="R541">
        <v>120</v>
      </c>
      <c r="S541">
        <v>24</v>
      </c>
      <c r="T541" t="s">
        <v>63</v>
      </c>
      <c r="U541" t="s">
        <v>63</v>
      </c>
      <c r="V541">
        <v>2026</v>
      </c>
      <c r="W541">
        <v>8</v>
      </c>
      <c r="X541" t="s">
        <v>1417</v>
      </c>
      <c r="Y541" s="6">
        <v>46235</v>
      </c>
      <c r="Z541" t="s">
        <v>1413</v>
      </c>
      <c r="AA541" t="s">
        <v>63</v>
      </c>
      <c r="AB541" t="s">
        <v>63</v>
      </c>
      <c r="AC541" t="s">
        <v>23</v>
      </c>
      <c r="AD541">
        <v>1</v>
      </c>
      <c r="AE541">
        <v>0</v>
      </c>
      <c r="AF541">
        <v>1</v>
      </c>
      <c r="AG541">
        <v>1</v>
      </c>
      <c r="AH541">
        <v>0</v>
      </c>
      <c r="AI541">
        <v>1</v>
      </c>
      <c r="AJ541">
        <v>1</v>
      </c>
    </row>
    <row r="542" spans="1:36">
      <c r="A542" t="s">
        <v>677</v>
      </c>
      <c r="B542">
        <v>15.51</v>
      </c>
      <c r="C542" s="7">
        <v>46097.691666666666</v>
      </c>
      <c r="D542" s="7">
        <v>46098.337940335645</v>
      </c>
      <c r="E542" t="s">
        <v>23</v>
      </c>
      <c r="F542" t="s">
        <v>50</v>
      </c>
      <c r="G542" t="s">
        <v>51</v>
      </c>
      <c r="H542" t="s">
        <v>75</v>
      </c>
      <c r="I542" t="s">
        <v>35</v>
      </c>
      <c r="J542" t="s">
        <v>36</v>
      </c>
      <c r="K542" t="s">
        <v>37</v>
      </c>
      <c r="L542" t="s">
        <v>68</v>
      </c>
      <c r="M542">
        <v>111</v>
      </c>
      <c r="N542">
        <v>4</v>
      </c>
      <c r="O542">
        <v>1</v>
      </c>
      <c r="P542">
        <v>10</v>
      </c>
      <c r="Q542" t="s">
        <v>31</v>
      </c>
      <c r="R542">
        <v>120</v>
      </c>
      <c r="S542">
        <v>24</v>
      </c>
      <c r="T542" t="s">
        <v>63</v>
      </c>
      <c r="U542" t="s">
        <v>63</v>
      </c>
      <c r="V542">
        <v>2026</v>
      </c>
      <c r="W542">
        <v>3</v>
      </c>
      <c r="X542" t="s">
        <v>1423</v>
      </c>
      <c r="Y542" s="6">
        <v>46082</v>
      </c>
      <c r="Z542" t="s">
        <v>1413</v>
      </c>
      <c r="AA542" t="s">
        <v>63</v>
      </c>
      <c r="AB542" t="s">
        <v>63</v>
      </c>
      <c r="AC542" t="s">
        <v>23</v>
      </c>
      <c r="AD542">
        <v>1</v>
      </c>
      <c r="AE542">
        <v>0</v>
      </c>
      <c r="AF542">
        <v>1</v>
      </c>
      <c r="AG542">
        <v>1</v>
      </c>
      <c r="AH542">
        <v>0</v>
      </c>
      <c r="AI542">
        <v>1</v>
      </c>
      <c r="AJ542">
        <v>1</v>
      </c>
    </row>
    <row r="543" spans="1:36">
      <c r="A543" t="s">
        <v>678</v>
      </c>
      <c r="B543">
        <v>6.31</v>
      </c>
      <c r="C543" s="7">
        <v>46125.82916666667</v>
      </c>
      <c r="D543" s="7">
        <v>46126.092203298613</v>
      </c>
      <c r="E543" t="s">
        <v>23</v>
      </c>
      <c r="F543" t="s">
        <v>33</v>
      </c>
      <c r="G543" t="s">
        <v>41</v>
      </c>
      <c r="H543" t="s">
        <v>26</v>
      </c>
      <c r="I543" t="s">
        <v>35</v>
      </c>
      <c r="J543" t="s">
        <v>43</v>
      </c>
      <c r="K543" t="s">
        <v>52</v>
      </c>
      <c r="L543" t="s">
        <v>30</v>
      </c>
      <c r="M543">
        <v>447</v>
      </c>
      <c r="N543">
        <v>3</v>
      </c>
      <c r="O543">
        <v>0</v>
      </c>
      <c r="P543">
        <v>6</v>
      </c>
      <c r="Q543" t="s">
        <v>31</v>
      </c>
      <c r="R543">
        <v>240</v>
      </c>
      <c r="S543">
        <v>48</v>
      </c>
      <c r="T543" t="s">
        <v>31</v>
      </c>
      <c r="U543" t="s">
        <v>63</v>
      </c>
      <c r="V543">
        <v>2026</v>
      </c>
      <c r="W543">
        <v>4</v>
      </c>
      <c r="X543" t="s">
        <v>1412</v>
      </c>
      <c r="Y543" s="6">
        <v>46113</v>
      </c>
      <c r="Z543" t="s">
        <v>1418</v>
      </c>
      <c r="AA543" t="s">
        <v>31</v>
      </c>
      <c r="AB543" t="s">
        <v>63</v>
      </c>
      <c r="AC543" t="s">
        <v>23</v>
      </c>
      <c r="AD543">
        <v>1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1</v>
      </c>
    </row>
    <row r="544" spans="1:36">
      <c r="A544" t="s">
        <v>679</v>
      </c>
      <c r="B544">
        <v>10.32</v>
      </c>
      <c r="C544" s="7">
        <v>46032.967361111114</v>
      </c>
      <c r="D544" s="7">
        <v>46033.397329120373</v>
      </c>
      <c r="E544" t="s">
        <v>23</v>
      </c>
      <c r="F544" t="s">
        <v>50</v>
      </c>
      <c r="G544" t="s">
        <v>25</v>
      </c>
      <c r="H544" t="s">
        <v>26</v>
      </c>
      <c r="I544" t="s">
        <v>42</v>
      </c>
      <c r="J544" t="s">
        <v>28</v>
      </c>
      <c r="K544" t="s">
        <v>52</v>
      </c>
      <c r="L544" t="s">
        <v>101</v>
      </c>
      <c r="M544">
        <v>174</v>
      </c>
      <c r="N544">
        <v>4</v>
      </c>
      <c r="O544">
        <v>0</v>
      </c>
      <c r="P544">
        <v>5</v>
      </c>
      <c r="Q544" t="s">
        <v>31</v>
      </c>
      <c r="R544">
        <v>120</v>
      </c>
      <c r="S544">
        <v>24</v>
      </c>
      <c r="T544" t="s">
        <v>31</v>
      </c>
      <c r="U544" t="s">
        <v>63</v>
      </c>
      <c r="V544">
        <v>2026</v>
      </c>
      <c r="W544">
        <v>1</v>
      </c>
      <c r="X544" t="s">
        <v>1414</v>
      </c>
      <c r="Y544" s="6">
        <v>46023</v>
      </c>
      <c r="Z544" t="s">
        <v>1413</v>
      </c>
      <c r="AA544" t="s">
        <v>31</v>
      </c>
      <c r="AB544" t="s">
        <v>63</v>
      </c>
      <c r="AC544" t="s">
        <v>23</v>
      </c>
      <c r="AD544">
        <v>1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1</v>
      </c>
    </row>
    <row r="545" spans="1:36">
      <c r="A545" t="s">
        <v>680</v>
      </c>
      <c r="B545">
        <v>3.92</v>
      </c>
      <c r="C545" s="7">
        <v>46129.584027777775</v>
      </c>
      <c r="D545" s="7">
        <v>46129.747156423611</v>
      </c>
      <c r="E545" t="s">
        <v>23</v>
      </c>
      <c r="F545" t="s">
        <v>40</v>
      </c>
      <c r="G545" t="s">
        <v>25</v>
      </c>
      <c r="H545" t="s">
        <v>34</v>
      </c>
      <c r="I545" t="s">
        <v>35</v>
      </c>
      <c r="J545" t="s">
        <v>48</v>
      </c>
      <c r="K545" t="s">
        <v>52</v>
      </c>
      <c r="L545" t="s">
        <v>62</v>
      </c>
      <c r="M545">
        <v>28</v>
      </c>
      <c r="N545">
        <v>5</v>
      </c>
      <c r="O545">
        <v>0</v>
      </c>
      <c r="P545">
        <v>2</v>
      </c>
      <c r="Q545" t="s">
        <v>31</v>
      </c>
      <c r="R545">
        <v>30</v>
      </c>
      <c r="S545">
        <v>8</v>
      </c>
      <c r="T545" t="s">
        <v>63</v>
      </c>
      <c r="U545" t="s">
        <v>63</v>
      </c>
      <c r="V545">
        <v>2026</v>
      </c>
      <c r="W545">
        <v>4</v>
      </c>
      <c r="X545" t="s">
        <v>1412</v>
      </c>
      <c r="Y545" s="6">
        <v>46113</v>
      </c>
      <c r="Z545" t="s">
        <v>1413</v>
      </c>
      <c r="AA545" t="s">
        <v>31</v>
      </c>
      <c r="AB545" t="s">
        <v>63</v>
      </c>
      <c r="AC545" t="s">
        <v>23</v>
      </c>
      <c r="AD545">
        <v>1</v>
      </c>
      <c r="AE545">
        <v>0</v>
      </c>
      <c r="AF545">
        <v>1</v>
      </c>
      <c r="AG545">
        <v>0</v>
      </c>
      <c r="AH545">
        <v>0</v>
      </c>
      <c r="AI545">
        <v>1</v>
      </c>
      <c r="AJ545">
        <v>1</v>
      </c>
    </row>
    <row r="546" spans="1:36">
      <c r="A546" t="s">
        <v>681</v>
      </c>
      <c r="B546">
        <v>27.22</v>
      </c>
      <c r="C546" s="7">
        <v>46119.70208333333</v>
      </c>
      <c r="D546" s="7">
        <v>46120.836444872686</v>
      </c>
      <c r="E546" t="s">
        <v>23</v>
      </c>
      <c r="F546" t="s">
        <v>33</v>
      </c>
      <c r="G546" t="s">
        <v>51</v>
      </c>
      <c r="H546" t="s">
        <v>34</v>
      </c>
      <c r="I546" t="s">
        <v>35</v>
      </c>
      <c r="J546" t="s">
        <v>28</v>
      </c>
      <c r="K546" t="s">
        <v>37</v>
      </c>
      <c r="L546" t="s">
        <v>85</v>
      </c>
      <c r="M546">
        <v>382</v>
      </c>
      <c r="N546">
        <v>2</v>
      </c>
      <c r="O546">
        <v>3</v>
      </c>
      <c r="P546">
        <v>13</v>
      </c>
      <c r="Q546" t="s">
        <v>31</v>
      </c>
      <c r="R546">
        <v>240</v>
      </c>
      <c r="S546">
        <v>48</v>
      </c>
      <c r="T546" t="s">
        <v>31</v>
      </c>
      <c r="U546" t="s">
        <v>63</v>
      </c>
      <c r="V546">
        <v>2026</v>
      </c>
      <c r="W546">
        <v>4</v>
      </c>
      <c r="X546" t="s">
        <v>1412</v>
      </c>
      <c r="Y546" s="6">
        <v>46113</v>
      </c>
      <c r="Z546" t="s">
        <v>1415</v>
      </c>
      <c r="AA546" t="s">
        <v>63</v>
      </c>
      <c r="AB546" t="s">
        <v>63</v>
      </c>
      <c r="AC546" t="s">
        <v>23</v>
      </c>
      <c r="AD546">
        <v>1</v>
      </c>
      <c r="AE546">
        <v>0</v>
      </c>
      <c r="AF546">
        <v>1</v>
      </c>
      <c r="AG546">
        <v>1</v>
      </c>
      <c r="AH546">
        <v>0</v>
      </c>
      <c r="AI546">
        <v>0</v>
      </c>
      <c r="AJ546">
        <v>1</v>
      </c>
    </row>
    <row r="547" spans="1:36">
      <c r="A547" t="s">
        <v>682</v>
      </c>
      <c r="B547">
        <v>19.25</v>
      </c>
      <c r="C547" s="7">
        <v>46045.46875</v>
      </c>
      <c r="D547" s="7">
        <v>46046.270959988426</v>
      </c>
      <c r="E547" t="s">
        <v>23</v>
      </c>
      <c r="F547" t="s">
        <v>40</v>
      </c>
      <c r="G547" t="s">
        <v>41</v>
      </c>
      <c r="H547" t="s">
        <v>26</v>
      </c>
      <c r="I547" t="s">
        <v>42</v>
      </c>
      <c r="J547" t="s">
        <v>36</v>
      </c>
      <c r="K547" t="s">
        <v>37</v>
      </c>
      <c r="L547" t="s">
        <v>44</v>
      </c>
      <c r="M547">
        <v>27</v>
      </c>
      <c r="N547">
        <v>4</v>
      </c>
      <c r="O547">
        <v>0</v>
      </c>
      <c r="P547">
        <v>7</v>
      </c>
      <c r="Q547" t="s">
        <v>31</v>
      </c>
      <c r="R547">
        <v>30</v>
      </c>
      <c r="S547">
        <v>8</v>
      </c>
      <c r="T547" t="s">
        <v>63</v>
      </c>
      <c r="U547" t="s">
        <v>31</v>
      </c>
      <c r="V547">
        <v>2026</v>
      </c>
      <c r="W547">
        <v>1</v>
      </c>
      <c r="X547" t="s">
        <v>1414</v>
      </c>
      <c r="Y547" s="6">
        <v>46023</v>
      </c>
      <c r="Z547" t="s">
        <v>1413</v>
      </c>
      <c r="AA547" t="s">
        <v>31</v>
      </c>
      <c r="AB547" t="s">
        <v>63</v>
      </c>
      <c r="AC547" t="s">
        <v>23</v>
      </c>
      <c r="AD547">
        <v>1</v>
      </c>
      <c r="AE547">
        <v>0</v>
      </c>
      <c r="AF547">
        <v>1</v>
      </c>
      <c r="AG547">
        <v>0</v>
      </c>
      <c r="AH547">
        <v>0</v>
      </c>
      <c r="AI547">
        <v>1</v>
      </c>
      <c r="AJ547">
        <v>0</v>
      </c>
    </row>
    <row r="548" spans="1:36">
      <c r="A548" t="s">
        <v>683</v>
      </c>
      <c r="B548">
        <v>12.14</v>
      </c>
      <c r="C548" s="7">
        <v>46251.138194444444</v>
      </c>
      <c r="D548" s="7">
        <v>46251.643904976852</v>
      </c>
      <c r="E548" t="s">
        <v>23</v>
      </c>
      <c r="F548" t="s">
        <v>33</v>
      </c>
      <c r="G548" t="s">
        <v>51</v>
      </c>
      <c r="H548" t="s">
        <v>34</v>
      </c>
      <c r="I548" t="s">
        <v>35</v>
      </c>
      <c r="J548" t="s">
        <v>28</v>
      </c>
      <c r="K548" t="s">
        <v>52</v>
      </c>
      <c r="L548" t="s">
        <v>38</v>
      </c>
      <c r="M548">
        <v>323</v>
      </c>
      <c r="N548">
        <v>3</v>
      </c>
      <c r="O548">
        <v>0</v>
      </c>
      <c r="P548">
        <v>5</v>
      </c>
      <c r="Q548" t="s">
        <v>31</v>
      </c>
      <c r="R548">
        <v>240</v>
      </c>
      <c r="S548">
        <v>48</v>
      </c>
      <c r="T548" t="s">
        <v>31</v>
      </c>
      <c r="U548" t="s">
        <v>63</v>
      </c>
      <c r="V548">
        <v>2026</v>
      </c>
      <c r="W548">
        <v>8</v>
      </c>
      <c r="X548" t="s">
        <v>1417</v>
      </c>
      <c r="Y548" s="6">
        <v>46235</v>
      </c>
      <c r="Z548" t="s">
        <v>1418</v>
      </c>
      <c r="AA548" t="s">
        <v>31</v>
      </c>
      <c r="AB548" t="s">
        <v>63</v>
      </c>
      <c r="AC548" t="s">
        <v>23</v>
      </c>
      <c r="AD548">
        <v>1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1</v>
      </c>
    </row>
    <row r="549" spans="1:36">
      <c r="A549" t="s">
        <v>684</v>
      </c>
      <c r="B549">
        <v>5.3</v>
      </c>
      <c r="C549" s="7">
        <v>46219.347222222219</v>
      </c>
      <c r="D549" s="7">
        <v>46219.568223414353</v>
      </c>
      <c r="E549" t="s">
        <v>23</v>
      </c>
      <c r="F549" t="s">
        <v>24</v>
      </c>
      <c r="G549" t="s">
        <v>65</v>
      </c>
      <c r="H549" t="s">
        <v>34</v>
      </c>
      <c r="I549" t="s">
        <v>27</v>
      </c>
      <c r="J549" t="s">
        <v>48</v>
      </c>
      <c r="K549" t="s">
        <v>67</v>
      </c>
      <c r="L549" t="s">
        <v>71</v>
      </c>
      <c r="M549">
        <v>20</v>
      </c>
      <c r="N549">
        <v>5</v>
      </c>
      <c r="O549">
        <v>0</v>
      </c>
      <c r="P549">
        <v>2</v>
      </c>
      <c r="Q549" t="s">
        <v>31</v>
      </c>
      <c r="R549">
        <v>15</v>
      </c>
      <c r="S549">
        <v>4</v>
      </c>
      <c r="T549" t="s">
        <v>31</v>
      </c>
      <c r="U549" t="s">
        <v>31</v>
      </c>
      <c r="V549">
        <v>2026</v>
      </c>
      <c r="W549">
        <v>7</v>
      </c>
      <c r="X549" t="s">
        <v>1422</v>
      </c>
      <c r="Y549" s="6">
        <v>46204</v>
      </c>
      <c r="Z549" t="s">
        <v>1413</v>
      </c>
      <c r="AA549" t="s">
        <v>31</v>
      </c>
      <c r="AB549" t="s">
        <v>63</v>
      </c>
      <c r="AC549" t="s">
        <v>23</v>
      </c>
      <c r="AD549">
        <v>1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</row>
    <row r="550" spans="1:36">
      <c r="A550" t="s">
        <v>685</v>
      </c>
      <c r="B550">
        <v>9.69</v>
      </c>
      <c r="C550" s="7">
        <v>46203.994444444441</v>
      </c>
      <c r="D550" s="7">
        <v>46204.398297222222</v>
      </c>
      <c r="E550" t="s">
        <v>23</v>
      </c>
      <c r="F550" t="s">
        <v>33</v>
      </c>
      <c r="G550" t="s">
        <v>25</v>
      </c>
      <c r="H550" t="s">
        <v>26</v>
      </c>
      <c r="I550" t="s">
        <v>35</v>
      </c>
      <c r="J550" t="s">
        <v>48</v>
      </c>
      <c r="K550" t="s">
        <v>52</v>
      </c>
      <c r="L550" t="s">
        <v>85</v>
      </c>
      <c r="M550">
        <v>248</v>
      </c>
      <c r="N550">
        <v>4</v>
      </c>
      <c r="O550">
        <v>0</v>
      </c>
      <c r="P550">
        <v>5</v>
      </c>
      <c r="Q550" t="s">
        <v>31</v>
      </c>
      <c r="R550">
        <v>240</v>
      </c>
      <c r="S550">
        <v>48</v>
      </c>
      <c r="T550" t="s">
        <v>31</v>
      </c>
      <c r="U550" t="s">
        <v>63</v>
      </c>
      <c r="V550">
        <v>2026</v>
      </c>
      <c r="W550">
        <v>6</v>
      </c>
      <c r="X550" t="s">
        <v>1421</v>
      </c>
      <c r="Y550" s="6">
        <v>46174</v>
      </c>
      <c r="Z550" t="s">
        <v>1413</v>
      </c>
      <c r="AA550" t="s">
        <v>31</v>
      </c>
      <c r="AB550" t="s">
        <v>63</v>
      </c>
      <c r="AC550" t="s">
        <v>23</v>
      </c>
      <c r="AD550">
        <v>1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1</v>
      </c>
    </row>
    <row r="551" spans="1:36">
      <c r="A551" t="s">
        <v>686</v>
      </c>
      <c r="B551">
        <v>14.58</v>
      </c>
      <c r="C551" s="7">
        <v>46246.536805555559</v>
      </c>
      <c r="D551" s="7">
        <v>46247.144382094906</v>
      </c>
      <c r="E551" t="s">
        <v>23</v>
      </c>
      <c r="F551" t="s">
        <v>50</v>
      </c>
      <c r="G551" t="s">
        <v>65</v>
      </c>
      <c r="H551" t="s">
        <v>66</v>
      </c>
      <c r="I551" t="s">
        <v>35</v>
      </c>
      <c r="J551" t="s">
        <v>43</v>
      </c>
      <c r="K551" t="s">
        <v>52</v>
      </c>
      <c r="L551" t="s">
        <v>93</v>
      </c>
      <c r="M551">
        <v>148</v>
      </c>
      <c r="N551">
        <v>4</v>
      </c>
      <c r="O551">
        <v>0</v>
      </c>
      <c r="P551">
        <v>7</v>
      </c>
      <c r="Q551" t="s">
        <v>31</v>
      </c>
      <c r="R551">
        <v>120</v>
      </c>
      <c r="S551">
        <v>24</v>
      </c>
      <c r="T551" t="s">
        <v>31</v>
      </c>
      <c r="U551" t="s">
        <v>63</v>
      </c>
      <c r="V551">
        <v>2026</v>
      </c>
      <c r="W551">
        <v>8</v>
      </c>
      <c r="X551" t="s">
        <v>1417</v>
      </c>
      <c r="Y551" s="6">
        <v>46235</v>
      </c>
      <c r="Z551" t="s">
        <v>1413</v>
      </c>
      <c r="AA551" t="s">
        <v>31</v>
      </c>
      <c r="AB551" t="s">
        <v>63</v>
      </c>
      <c r="AC551" t="s">
        <v>23</v>
      </c>
      <c r="AD551">
        <v>1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1</v>
      </c>
    </row>
    <row r="552" spans="1:36">
      <c r="A552" t="s">
        <v>687</v>
      </c>
      <c r="B552">
        <v>8.98</v>
      </c>
      <c r="C552" s="7">
        <v>46123.326388888891</v>
      </c>
      <c r="D552" s="7">
        <v>46123.700355428242</v>
      </c>
      <c r="E552" t="s">
        <v>23</v>
      </c>
      <c r="F552" t="s">
        <v>40</v>
      </c>
      <c r="G552" t="s">
        <v>51</v>
      </c>
      <c r="H552" t="s">
        <v>26</v>
      </c>
      <c r="I552" t="s">
        <v>27</v>
      </c>
      <c r="J552" t="s">
        <v>36</v>
      </c>
      <c r="K552" t="s">
        <v>37</v>
      </c>
      <c r="L552" t="s">
        <v>38</v>
      </c>
      <c r="M552">
        <v>79</v>
      </c>
      <c r="N552">
        <v>4</v>
      </c>
      <c r="O552">
        <v>0</v>
      </c>
      <c r="P552">
        <v>2</v>
      </c>
      <c r="Q552" t="s">
        <v>31</v>
      </c>
      <c r="R552">
        <v>30</v>
      </c>
      <c r="S552">
        <v>8</v>
      </c>
      <c r="T552" t="s">
        <v>31</v>
      </c>
      <c r="U552" t="s">
        <v>31</v>
      </c>
      <c r="V552">
        <v>2026</v>
      </c>
      <c r="W552">
        <v>4</v>
      </c>
      <c r="X552" t="s">
        <v>1412</v>
      </c>
      <c r="Y552" s="6">
        <v>46113</v>
      </c>
      <c r="Z552" t="s">
        <v>1413</v>
      </c>
      <c r="AA552" t="s">
        <v>31</v>
      </c>
      <c r="AB552" t="s">
        <v>63</v>
      </c>
      <c r="AC552" t="s">
        <v>23</v>
      </c>
      <c r="AD552">
        <v>1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</row>
    <row r="553" spans="1:36">
      <c r="A553" t="s">
        <v>688</v>
      </c>
      <c r="B553">
        <v>9.25</v>
      </c>
      <c r="C553" s="7">
        <v>46113.194444444445</v>
      </c>
      <c r="D553" s="7">
        <v>46113.579861111109</v>
      </c>
      <c r="E553" t="s">
        <v>23</v>
      </c>
      <c r="F553" t="s">
        <v>40</v>
      </c>
      <c r="G553" t="s">
        <v>25</v>
      </c>
      <c r="H553" t="s">
        <v>54</v>
      </c>
      <c r="I553" t="s">
        <v>35</v>
      </c>
      <c r="J553" t="s">
        <v>48</v>
      </c>
      <c r="K553" t="s">
        <v>37</v>
      </c>
      <c r="L553" t="s">
        <v>93</v>
      </c>
      <c r="M553">
        <v>16</v>
      </c>
      <c r="N553">
        <v>4</v>
      </c>
      <c r="O553">
        <v>0</v>
      </c>
      <c r="P553">
        <v>7</v>
      </c>
      <c r="Q553" t="s">
        <v>31</v>
      </c>
      <c r="R553">
        <v>30</v>
      </c>
      <c r="S553">
        <v>8</v>
      </c>
      <c r="T553" t="s">
        <v>63</v>
      </c>
      <c r="U553" t="s">
        <v>31</v>
      </c>
      <c r="V553">
        <v>2026</v>
      </c>
      <c r="W553">
        <v>4</v>
      </c>
      <c r="X553" t="s">
        <v>1412</v>
      </c>
      <c r="Y553" s="6">
        <v>46113</v>
      </c>
      <c r="Z553" t="s">
        <v>1413</v>
      </c>
      <c r="AA553" t="s">
        <v>31</v>
      </c>
      <c r="AB553" t="s">
        <v>63</v>
      </c>
      <c r="AC553" t="s">
        <v>23</v>
      </c>
      <c r="AD553">
        <v>1</v>
      </c>
      <c r="AE553">
        <v>0</v>
      </c>
      <c r="AF553">
        <v>1</v>
      </c>
      <c r="AG553">
        <v>0</v>
      </c>
      <c r="AH553">
        <v>0</v>
      </c>
      <c r="AI553">
        <v>1</v>
      </c>
      <c r="AJ553">
        <v>0</v>
      </c>
    </row>
    <row r="554" spans="1:36">
      <c r="A554" t="s">
        <v>690</v>
      </c>
      <c r="B554">
        <v>17.510000000000002</v>
      </c>
      <c r="C554" s="7">
        <v>46222.190972222219</v>
      </c>
      <c r="D554" s="7">
        <v>46222.920579062498</v>
      </c>
      <c r="E554" t="s">
        <v>23</v>
      </c>
      <c r="F554" t="s">
        <v>50</v>
      </c>
      <c r="G554" t="s">
        <v>65</v>
      </c>
      <c r="H554" t="s">
        <v>34</v>
      </c>
      <c r="I554" t="s">
        <v>42</v>
      </c>
      <c r="J554" t="s">
        <v>28</v>
      </c>
      <c r="K554" t="s">
        <v>58</v>
      </c>
      <c r="L554" t="s">
        <v>85</v>
      </c>
      <c r="M554">
        <v>132</v>
      </c>
      <c r="N554">
        <v>4</v>
      </c>
      <c r="O554">
        <v>0</v>
      </c>
      <c r="P554">
        <v>7</v>
      </c>
      <c r="Q554" t="s">
        <v>31</v>
      </c>
      <c r="R554">
        <v>120</v>
      </c>
      <c r="S554">
        <v>24</v>
      </c>
      <c r="T554" t="s">
        <v>31</v>
      </c>
      <c r="U554" t="s">
        <v>63</v>
      </c>
      <c r="V554">
        <v>2026</v>
      </c>
      <c r="W554">
        <v>7</v>
      </c>
      <c r="X554" t="s">
        <v>1422</v>
      </c>
      <c r="Y554" s="6">
        <v>46204</v>
      </c>
      <c r="Z554" t="s">
        <v>1413</v>
      </c>
      <c r="AA554" t="s">
        <v>31</v>
      </c>
      <c r="AB554" t="s">
        <v>63</v>
      </c>
      <c r="AC554" t="s">
        <v>23</v>
      </c>
      <c r="AD554">
        <v>1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1</v>
      </c>
    </row>
    <row r="555" spans="1:36">
      <c r="A555" t="s">
        <v>692</v>
      </c>
      <c r="B555">
        <v>14.65</v>
      </c>
      <c r="C555" s="7">
        <v>46111.807638888888</v>
      </c>
      <c r="D555" s="7">
        <v>46112.417949224538</v>
      </c>
      <c r="E555" t="s">
        <v>23</v>
      </c>
      <c r="F555" t="s">
        <v>33</v>
      </c>
      <c r="G555" t="s">
        <v>51</v>
      </c>
      <c r="H555" t="s">
        <v>26</v>
      </c>
      <c r="I555" t="s">
        <v>42</v>
      </c>
      <c r="J555" t="s">
        <v>48</v>
      </c>
      <c r="K555" t="s">
        <v>29</v>
      </c>
      <c r="L555" t="s">
        <v>55</v>
      </c>
      <c r="M555">
        <v>407</v>
      </c>
      <c r="N555">
        <v>3</v>
      </c>
      <c r="O555">
        <v>0</v>
      </c>
      <c r="P555">
        <v>2</v>
      </c>
      <c r="Q555" t="s">
        <v>31</v>
      </c>
      <c r="R555">
        <v>240</v>
      </c>
      <c r="S555">
        <v>48</v>
      </c>
      <c r="T555" t="s">
        <v>31</v>
      </c>
      <c r="U555" t="s">
        <v>63</v>
      </c>
      <c r="V555">
        <v>2026</v>
      </c>
      <c r="W555">
        <v>3</v>
      </c>
      <c r="X555" t="s">
        <v>1423</v>
      </c>
      <c r="Y555" s="6">
        <v>46082</v>
      </c>
      <c r="Z555" t="s">
        <v>1418</v>
      </c>
      <c r="AA555" t="s">
        <v>31</v>
      </c>
      <c r="AB555" t="s">
        <v>63</v>
      </c>
      <c r="AC555" t="s">
        <v>23</v>
      </c>
      <c r="AD555">
        <v>1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1</v>
      </c>
    </row>
    <row r="556" spans="1:36">
      <c r="A556" t="s">
        <v>693</v>
      </c>
      <c r="B556">
        <v>23.3</v>
      </c>
      <c r="C556" s="7">
        <v>46250.147222222222</v>
      </c>
      <c r="D556" s="7">
        <v>46251.117932615743</v>
      </c>
      <c r="E556" t="s">
        <v>23</v>
      </c>
      <c r="F556" t="s">
        <v>40</v>
      </c>
      <c r="G556" t="s">
        <v>25</v>
      </c>
      <c r="H556" t="s">
        <v>26</v>
      </c>
      <c r="I556" t="s">
        <v>42</v>
      </c>
      <c r="J556" t="s">
        <v>28</v>
      </c>
      <c r="K556" t="s">
        <v>37</v>
      </c>
      <c r="L556" t="s">
        <v>101</v>
      </c>
      <c r="M556">
        <v>46</v>
      </c>
      <c r="N556">
        <v>4</v>
      </c>
      <c r="O556">
        <v>0</v>
      </c>
      <c r="P556">
        <v>3</v>
      </c>
      <c r="Q556" t="s">
        <v>31</v>
      </c>
      <c r="R556">
        <v>30</v>
      </c>
      <c r="S556">
        <v>8</v>
      </c>
      <c r="T556" t="s">
        <v>31</v>
      </c>
      <c r="U556" t="s">
        <v>31</v>
      </c>
      <c r="V556">
        <v>2026</v>
      </c>
      <c r="W556">
        <v>8</v>
      </c>
      <c r="X556" t="s">
        <v>1417</v>
      </c>
      <c r="Y556" s="6">
        <v>46235</v>
      </c>
      <c r="Z556" t="s">
        <v>1413</v>
      </c>
      <c r="AA556" t="s">
        <v>31</v>
      </c>
      <c r="AB556" t="s">
        <v>63</v>
      </c>
      <c r="AC556" t="s">
        <v>23</v>
      </c>
      <c r="AD556">
        <v>1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0</v>
      </c>
    </row>
    <row r="557" spans="1:36">
      <c r="A557" t="s">
        <v>694</v>
      </c>
      <c r="B557">
        <v>52.65</v>
      </c>
      <c r="C557" s="7">
        <v>46104.646527777775</v>
      </c>
      <c r="D557" s="7">
        <v>46106.840205486114</v>
      </c>
      <c r="E557" t="s">
        <v>23</v>
      </c>
      <c r="F557" t="s">
        <v>33</v>
      </c>
      <c r="G557" t="s">
        <v>65</v>
      </c>
      <c r="H557" t="s">
        <v>26</v>
      </c>
      <c r="I557" t="s">
        <v>42</v>
      </c>
      <c r="J557" t="s">
        <v>28</v>
      </c>
      <c r="K557" t="s">
        <v>76</v>
      </c>
      <c r="L557" t="s">
        <v>62</v>
      </c>
      <c r="M557">
        <v>209</v>
      </c>
      <c r="N557">
        <v>3</v>
      </c>
      <c r="O557">
        <v>0</v>
      </c>
      <c r="P557">
        <v>7</v>
      </c>
      <c r="Q557" t="s">
        <v>31</v>
      </c>
      <c r="R557">
        <v>240</v>
      </c>
      <c r="S557">
        <v>48</v>
      </c>
      <c r="T557" t="s">
        <v>63</v>
      </c>
      <c r="U557" t="s">
        <v>31</v>
      </c>
      <c r="V557">
        <v>2026</v>
      </c>
      <c r="W557">
        <v>3</v>
      </c>
      <c r="X557" t="s">
        <v>1423</v>
      </c>
      <c r="Y557" s="6">
        <v>46082</v>
      </c>
      <c r="Z557" t="s">
        <v>1418</v>
      </c>
      <c r="AA557" t="s">
        <v>31</v>
      </c>
      <c r="AB557" t="s">
        <v>63</v>
      </c>
      <c r="AC557" t="s">
        <v>23</v>
      </c>
      <c r="AD557">
        <v>1</v>
      </c>
      <c r="AE557">
        <v>0</v>
      </c>
      <c r="AF557">
        <v>1</v>
      </c>
      <c r="AG557">
        <v>0</v>
      </c>
      <c r="AH557">
        <v>0</v>
      </c>
      <c r="AI557">
        <v>1</v>
      </c>
      <c r="AJ557">
        <v>0</v>
      </c>
    </row>
    <row r="558" spans="1:36">
      <c r="A558" t="s">
        <v>695</v>
      </c>
      <c r="B558">
        <v>16.170000000000002</v>
      </c>
      <c r="C558" s="7">
        <v>46145.829861111109</v>
      </c>
      <c r="D558" s="7">
        <v>46146.503808472226</v>
      </c>
      <c r="E558" t="s">
        <v>23</v>
      </c>
      <c r="F558" t="s">
        <v>40</v>
      </c>
      <c r="G558" t="s">
        <v>51</v>
      </c>
      <c r="H558" t="s">
        <v>26</v>
      </c>
      <c r="I558" t="s">
        <v>42</v>
      </c>
      <c r="J558" t="s">
        <v>43</v>
      </c>
      <c r="K558" t="s">
        <v>37</v>
      </c>
      <c r="L558" t="s">
        <v>93</v>
      </c>
      <c r="M558">
        <v>20</v>
      </c>
      <c r="N558">
        <v>4</v>
      </c>
      <c r="O558">
        <v>0</v>
      </c>
      <c r="P558">
        <v>5</v>
      </c>
      <c r="Q558" t="s">
        <v>31</v>
      </c>
      <c r="R558">
        <v>30</v>
      </c>
      <c r="S558">
        <v>8</v>
      </c>
      <c r="T558" t="s">
        <v>63</v>
      </c>
      <c r="U558" t="s">
        <v>31</v>
      </c>
      <c r="V558">
        <v>2026</v>
      </c>
      <c r="W558">
        <v>5</v>
      </c>
      <c r="X558" t="s">
        <v>1416</v>
      </c>
      <c r="Y558" s="6">
        <v>46143</v>
      </c>
      <c r="Z558" t="s">
        <v>1413</v>
      </c>
      <c r="AA558" t="s">
        <v>31</v>
      </c>
      <c r="AB558" t="s">
        <v>63</v>
      </c>
      <c r="AC558" t="s">
        <v>23</v>
      </c>
      <c r="AD558">
        <v>1</v>
      </c>
      <c r="AE558">
        <v>0</v>
      </c>
      <c r="AF558">
        <v>1</v>
      </c>
      <c r="AG558">
        <v>0</v>
      </c>
      <c r="AH558">
        <v>0</v>
      </c>
      <c r="AI558">
        <v>1</v>
      </c>
      <c r="AJ558">
        <v>0</v>
      </c>
    </row>
    <row r="559" spans="1:36">
      <c r="A559" t="s">
        <v>696</v>
      </c>
      <c r="B559">
        <v>11.35</v>
      </c>
      <c r="C559" s="7">
        <v>46194.207638888889</v>
      </c>
      <c r="D559" s="7">
        <v>46194.680552048609</v>
      </c>
      <c r="E559" t="s">
        <v>23</v>
      </c>
      <c r="F559" t="s">
        <v>40</v>
      </c>
      <c r="G559" t="s">
        <v>65</v>
      </c>
      <c r="H559" t="s">
        <v>34</v>
      </c>
      <c r="I559" t="s">
        <v>35</v>
      </c>
      <c r="J559" t="s">
        <v>43</v>
      </c>
      <c r="K559" t="s">
        <v>37</v>
      </c>
      <c r="L559" t="s">
        <v>68</v>
      </c>
      <c r="M559">
        <v>31</v>
      </c>
      <c r="N559">
        <v>4</v>
      </c>
      <c r="O559">
        <v>0</v>
      </c>
      <c r="P559">
        <v>2</v>
      </c>
      <c r="Q559" t="s">
        <v>31</v>
      </c>
      <c r="R559">
        <v>30</v>
      </c>
      <c r="S559">
        <v>8</v>
      </c>
      <c r="T559" t="s">
        <v>31</v>
      </c>
      <c r="U559" t="s">
        <v>31</v>
      </c>
      <c r="V559">
        <v>2026</v>
      </c>
      <c r="W559">
        <v>6</v>
      </c>
      <c r="X559" t="s">
        <v>1421</v>
      </c>
      <c r="Y559" s="6">
        <v>46174</v>
      </c>
      <c r="Z559" t="s">
        <v>1413</v>
      </c>
      <c r="AA559" t="s">
        <v>31</v>
      </c>
      <c r="AB559" t="s">
        <v>63</v>
      </c>
      <c r="AC559" t="s">
        <v>23</v>
      </c>
      <c r="AD559">
        <v>1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</row>
    <row r="560" spans="1:36">
      <c r="A560" t="s">
        <v>697</v>
      </c>
      <c r="B560">
        <v>15.98</v>
      </c>
      <c r="C560" s="7">
        <v>46242.90347222222</v>
      </c>
      <c r="D560" s="7">
        <v>46243.569306458332</v>
      </c>
      <c r="E560" t="s">
        <v>23</v>
      </c>
      <c r="F560" t="s">
        <v>40</v>
      </c>
      <c r="G560" t="s">
        <v>25</v>
      </c>
      <c r="H560" t="s">
        <v>54</v>
      </c>
      <c r="I560" t="s">
        <v>42</v>
      </c>
      <c r="J560" t="s">
        <v>43</v>
      </c>
      <c r="K560" t="s">
        <v>76</v>
      </c>
      <c r="L560" t="s">
        <v>62</v>
      </c>
      <c r="M560">
        <v>46</v>
      </c>
      <c r="N560">
        <v>4</v>
      </c>
      <c r="O560">
        <v>1</v>
      </c>
      <c r="P560">
        <v>16</v>
      </c>
      <c r="Q560" t="s">
        <v>63</v>
      </c>
      <c r="R560">
        <v>30</v>
      </c>
      <c r="S560">
        <v>8</v>
      </c>
      <c r="T560" t="s">
        <v>31</v>
      </c>
      <c r="U560" t="s">
        <v>31</v>
      </c>
      <c r="V560">
        <v>2026</v>
      </c>
      <c r="W560">
        <v>8</v>
      </c>
      <c r="X560" t="s">
        <v>1417</v>
      </c>
      <c r="Y560" s="6">
        <v>46235</v>
      </c>
      <c r="Z560" t="s">
        <v>1413</v>
      </c>
      <c r="AA560" t="s">
        <v>63</v>
      </c>
      <c r="AB560" t="s">
        <v>63</v>
      </c>
      <c r="AC560" t="s">
        <v>23</v>
      </c>
      <c r="AD560">
        <v>1</v>
      </c>
      <c r="AE560">
        <v>0</v>
      </c>
      <c r="AF560">
        <v>1</v>
      </c>
      <c r="AG560">
        <v>1</v>
      </c>
      <c r="AH560">
        <v>1</v>
      </c>
      <c r="AI560">
        <v>0</v>
      </c>
      <c r="AJ560">
        <v>0</v>
      </c>
    </row>
    <row r="561" spans="1:36">
      <c r="A561" t="s">
        <v>698</v>
      </c>
      <c r="B561">
        <v>21.7</v>
      </c>
      <c r="C561" s="7">
        <v>46230.263888888891</v>
      </c>
      <c r="D561" s="7">
        <v>46231.168092233798</v>
      </c>
      <c r="E561" t="s">
        <v>23</v>
      </c>
      <c r="F561" t="s">
        <v>40</v>
      </c>
      <c r="G561" t="s">
        <v>41</v>
      </c>
      <c r="H561" t="s">
        <v>26</v>
      </c>
      <c r="I561" t="s">
        <v>27</v>
      </c>
      <c r="J561" t="s">
        <v>48</v>
      </c>
      <c r="K561" t="s">
        <v>76</v>
      </c>
      <c r="L561" t="s">
        <v>55</v>
      </c>
      <c r="M561">
        <v>25</v>
      </c>
      <c r="N561">
        <v>4</v>
      </c>
      <c r="O561">
        <v>1</v>
      </c>
      <c r="P561">
        <v>8</v>
      </c>
      <c r="Q561" t="s">
        <v>31</v>
      </c>
      <c r="R561">
        <v>30</v>
      </c>
      <c r="S561">
        <v>8</v>
      </c>
      <c r="T561" t="s">
        <v>63</v>
      </c>
      <c r="U561" t="s">
        <v>31</v>
      </c>
      <c r="V561">
        <v>2026</v>
      </c>
      <c r="W561">
        <v>7</v>
      </c>
      <c r="X561" t="s">
        <v>1422</v>
      </c>
      <c r="Y561" s="6">
        <v>46204</v>
      </c>
      <c r="Z561" t="s">
        <v>1413</v>
      </c>
      <c r="AA561" t="s">
        <v>63</v>
      </c>
      <c r="AB561" t="s">
        <v>63</v>
      </c>
      <c r="AC561" t="s">
        <v>23</v>
      </c>
      <c r="AD561">
        <v>1</v>
      </c>
      <c r="AE561">
        <v>0</v>
      </c>
      <c r="AF561">
        <v>1</v>
      </c>
      <c r="AG561">
        <v>1</v>
      </c>
      <c r="AH561">
        <v>0</v>
      </c>
      <c r="AI561">
        <v>1</v>
      </c>
      <c r="AJ561">
        <v>0</v>
      </c>
    </row>
    <row r="562" spans="1:36">
      <c r="A562" t="s">
        <v>699</v>
      </c>
      <c r="B562">
        <v>37.450000000000003</v>
      </c>
      <c r="C562" s="7">
        <v>46043.175000000003</v>
      </c>
      <c r="D562" s="7">
        <v>46044.735218761576</v>
      </c>
      <c r="E562" t="s">
        <v>23</v>
      </c>
      <c r="F562" t="s">
        <v>33</v>
      </c>
      <c r="G562" t="s">
        <v>41</v>
      </c>
      <c r="H562" t="s">
        <v>66</v>
      </c>
      <c r="I562" t="s">
        <v>42</v>
      </c>
      <c r="J562" t="s">
        <v>43</v>
      </c>
      <c r="K562" t="s">
        <v>58</v>
      </c>
      <c r="L562" t="s">
        <v>101</v>
      </c>
      <c r="M562">
        <v>252</v>
      </c>
      <c r="N562">
        <v>3</v>
      </c>
      <c r="O562">
        <v>0</v>
      </c>
      <c r="P562">
        <v>3</v>
      </c>
      <c r="Q562" t="s">
        <v>31</v>
      </c>
      <c r="R562">
        <v>240</v>
      </c>
      <c r="S562">
        <v>48</v>
      </c>
      <c r="T562" t="s">
        <v>31</v>
      </c>
      <c r="U562" t="s">
        <v>63</v>
      </c>
      <c r="V562">
        <v>2026</v>
      </c>
      <c r="W562">
        <v>1</v>
      </c>
      <c r="X562" t="s">
        <v>1414</v>
      </c>
      <c r="Y562" s="6">
        <v>46023</v>
      </c>
      <c r="Z562" t="s">
        <v>1418</v>
      </c>
      <c r="AA562" t="s">
        <v>31</v>
      </c>
      <c r="AB562" t="s">
        <v>63</v>
      </c>
      <c r="AC562" t="s">
        <v>23</v>
      </c>
      <c r="AD562">
        <v>1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1</v>
      </c>
    </row>
    <row r="563" spans="1:36">
      <c r="A563" t="s">
        <v>700</v>
      </c>
      <c r="B563">
        <v>13.17</v>
      </c>
      <c r="C563" s="7">
        <v>46054.213194444441</v>
      </c>
      <c r="D563" s="7">
        <v>46054.761794328704</v>
      </c>
      <c r="E563" t="s">
        <v>23</v>
      </c>
      <c r="F563" t="s">
        <v>1402</v>
      </c>
      <c r="G563" t="s">
        <v>51</v>
      </c>
      <c r="H563" t="s">
        <v>26</v>
      </c>
      <c r="I563" t="s">
        <v>42</v>
      </c>
      <c r="J563" t="s">
        <v>28</v>
      </c>
      <c r="K563" t="s">
        <v>37</v>
      </c>
      <c r="L563" t="s">
        <v>30</v>
      </c>
      <c r="M563">
        <v>41</v>
      </c>
      <c r="N563">
        <v>4</v>
      </c>
      <c r="O563">
        <v>1</v>
      </c>
      <c r="P563">
        <v>8</v>
      </c>
      <c r="Q563" t="s">
        <v>31</v>
      </c>
      <c r="V563">
        <v>2026</v>
      </c>
      <c r="W563">
        <v>2</v>
      </c>
      <c r="X563" t="s">
        <v>1419</v>
      </c>
      <c r="Y563" s="6">
        <v>46054</v>
      </c>
      <c r="Z563" t="s">
        <v>1413</v>
      </c>
      <c r="AA563" t="s">
        <v>63</v>
      </c>
      <c r="AB563" t="s">
        <v>63</v>
      </c>
      <c r="AC563" t="s">
        <v>23</v>
      </c>
      <c r="AD563">
        <v>1</v>
      </c>
      <c r="AE563">
        <v>0</v>
      </c>
      <c r="AF563">
        <v>1</v>
      </c>
      <c r="AG563">
        <v>1</v>
      </c>
      <c r="AH563">
        <v>0</v>
      </c>
    </row>
    <row r="564" spans="1:36">
      <c r="A564" t="s">
        <v>701</v>
      </c>
      <c r="B564">
        <v>13.24</v>
      </c>
      <c r="C564" s="7">
        <v>46246.4375</v>
      </c>
      <c r="D564" s="7">
        <v>46246.989233437504</v>
      </c>
      <c r="E564" t="s">
        <v>23</v>
      </c>
      <c r="F564" t="s">
        <v>50</v>
      </c>
      <c r="G564" t="s">
        <v>51</v>
      </c>
      <c r="H564" t="s">
        <v>75</v>
      </c>
      <c r="I564" t="s">
        <v>35</v>
      </c>
      <c r="J564" t="s">
        <v>43</v>
      </c>
      <c r="K564" t="s">
        <v>37</v>
      </c>
      <c r="L564" t="s">
        <v>71</v>
      </c>
      <c r="M564">
        <v>139</v>
      </c>
      <c r="N564">
        <v>4</v>
      </c>
      <c r="O564">
        <v>0</v>
      </c>
      <c r="P564">
        <v>7</v>
      </c>
      <c r="Q564" t="s">
        <v>31</v>
      </c>
      <c r="R564">
        <v>120</v>
      </c>
      <c r="S564">
        <v>24</v>
      </c>
      <c r="T564" t="s">
        <v>31</v>
      </c>
      <c r="U564" t="s">
        <v>63</v>
      </c>
      <c r="V564">
        <v>2026</v>
      </c>
      <c r="W564">
        <v>8</v>
      </c>
      <c r="X564" t="s">
        <v>1417</v>
      </c>
      <c r="Y564" s="6">
        <v>46235</v>
      </c>
      <c r="Z564" t="s">
        <v>1413</v>
      </c>
      <c r="AA564" t="s">
        <v>31</v>
      </c>
      <c r="AB564" t="s">
        <v>63</v>
      </c>
      <c r="AC564" t="s">
        <v>23</v>
      </c>
      <c r="AD564">
        <v>1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1</v>
      </c>
    </row>
    <row r="565" spans="1:36">
      <c r="A565" t="s">
        <v>702</v>
      </c>
      <c r="B565">
        <v>17.170000000000002</v>
      </c>
      <c r="C565" s="7">
        <v>46052.51666666667</v>
      </c>
      <c r="D565" s="7">
        <v>46053.232002013887</v>
      </c>
      <c r="E565" t="s">
        <v>23</v>
      </c>
      <c r="F565" t="s">
        <v>50</v>
      </c>
      <c r="G565" t="s">
        <v>51</v>
      </c>
      <c r="H565" t="s">
        <v>26</v>
      </c>
      <c r="I565" t="s">
        <v>35</v>
      </c>
      <c r="J565" t="s">
        <v>43</v>
      </c>
      <c r="K565" t="s">
        <v>67</v>
      </c>
      <c r="L565" t="s">
        <v>30</v>
      </c>
      <c r="M565">
        <v>153</v>
      </c>
      <c r="N565">
        <v>4</v>
      </c>
      <c r="O565">
        <v>0</v>
      </c>
      <c r="P565">
        <v>6</v>
      </c>
      <c r="Q565" t="s">
        <v>31</v>
      </c>
      <c r="R565">
        <v>120</v>
      </c>
      <c r="S565">
        <v>24</v>
      </c>
      <c r="T565" t="s">
        <v>31</v>
      </c>
      <c r="U565" t="s">
        <v>63</v>
      </c>
      <c r="V565">
        <v>2026</v>
      </c>
      <c r="W565">
        <v>1</v>
      </c>
      <c r="X565" t="s">
        <v>1414</v>
      </c>
      <c r="Y565" s="6">
        <v>46023</v>
      </c>
      <c r="Z565" t="s">
        <v>1413</v>
      </c>
      <c r="AA565" t="s">
        <v>31</v>
      </c>
      <c r="AB565" t="s">
        <v>63</v>
      </c>
      <c r="AC565" t="s">
        <v>23</v>
      </c>
      <c r="AD565">
        <v>1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1</v>
      </c>
    </row>
    <row r="566" spans="1:36">
      <c r="A566" t="s">
        <v>704</v>
      </c>
      <c r="B566">
        <v>80.849999999999994</v>
      </c>
      <c r="C566" s="7">
        <v>46215.974999999999</v>
      </c>
      <c r="D566" s="7">
        <v>46219.343896446757</v>
      </c>
      <c r="E566" t="s">
        <v>23</v>
      </c>
      <c r="F566" t="s">
        <v>33</v>
      </c>
      <c r="G566" t="s">
        <v>51</v>
      </c>
      <c r="H566" t="s">
        <v>26</v>
      </c>
      <c r="I566" t="s">
        <v>42</v>
      </c>
      <c r="J566" t="s">
        <v>28</v>
      </c>
      <c r="K566" t="s">
        <v>37</v>
      </c>
      <c r="L566" t="s">
        <v>85</v>
      </c>
      <c r="M566">
        <v>285</v>
      </c>
      <c r="N566">
        <v>3</v>
      </c>
      <c r="O566">
        <v>0</v>
      </c>
      <c r="P566">
        <v>5</v>
      </c>
      <c r="Q566" t="s">
        <v>31</v>
      </c>
      <c r="R566">
        <v>240</v>
      </c>
      <c r="S566">
        <v>48</v>
      </c>
      <c r="T566" t="s">
        <v>31</v>
      </c>
      <c r="U566" t="s">
        <v>31</v>
      </c>
      <c r="V566">
        <v>2026</v>
      </c>
      <c r="W566">
        <v>7</v>
      </c>
      <c r="X566" t="s">
        <v>1422</v>
      </c>
      <c r="Y566" s="6">
        <v>46204</v>
      </c>
      <c r="Z566" t="s">
        <v>1418</v>
      </c>
      <c r="AA566" t="s">
        <v>31</v>
      </c>
      <c r="AB566" t="s">
        <v>63</v>
      </c>
      <c r="AC566" t="s">
        <v>23</v>
      </c>
      <c r="AD566">
        <v>1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</row>
    <row r="567" spans="1:36">
      <c r="A567" t="s">
        <v>705</v>
      </c>
      <c r="B567">
        <v>20.170000000000002</v>
      </c>
      <c r="C567" s="7">
        <v>46184.29583333333</v>
      </c>
      <c r="D567" s="7">
        <v>46185.136176122687</v>
      </c>
      <c r="E567" t="s">
        <v>23</v>
      </c>
      <c r="F567" t="s">
        <v>50</v>
      </c>
      <c r="G567" t="s">
        <v>65</v>
      </c>
      <c r="H567" t="s">
        <v>54</v>
      </c>
      <c r="I567" t="s">
        <v>27</v>
      </c>
      <c r="J567" t="s">
        <v>28</v>
      </c>
      <c r="K567" t="s">
        <v>52</v>
      </c>
      <c r="L567" t="s">
        <v>55</v>
      </c>
      <c r="M567">
        <v>83</v>
      </c>
      <c r="N567">
        <v>4</v>
      </c>
      <c r="O567">
        <v>0</v>
      </c>
      <c r="P567">
        <v>5</v>
      </c>
      <c r="Q567" t="s">
        <v>31</v>
      </c>
      <c r="R567">
        <v>120</v>
      </c>
      <c r="S567">
        <v>24</v>
      </c>
      <c r="T567" t="s">
        <v>63</v>
      </c>
      <c r="U567" t="s">
        <v>63</v>
      </c>
      <c r="V567">
        <v>2026</v>
      </c>
      <c r="W567">
        <v>6</v>
      </c>
      <c r="X567" t="s">
        <v>1421</v>
      </c>
      <c r="Y567" s="6">
        <v>46174</v>
      </c>
      <c r="Z567" t="s">
        <v>1413</v>
      </c>
      <c r="AA567" t="s">
        <v>31</v>
      </c>
      <c r="AB567" t="s">
        <v>63</v>
      </c>
      <c r="AC567" t="s">
        <v>23</v>
      </c>
      <c r="AD567">
        <v>1</v>
      </c>
      <c r="AE567">
        <v>0</v>
      </c>
      <c r="AF567">
        <v>1</v>
      </c>
      <c r="AG567">
        <v>0</v>
      </c>
      <c r="AH567">
        <v>0</v>
      </c>
      <c r="AI567">
        <v>1</v>
      </c>
      <c r="AJ567">
        <v>1</v>
      </c>
    </row>
    <row r="568" spans="1:36">
      <c r="A568" t="s">
        <v>706</v>
      </c>
      <c r="B568">
        <v>29.67</v>
      </c>
      <c r="C568" s="7">
        <v>46144.693055555559</v>
      </c>
      <c r="D568" s="7">
        <v>46145.929166666669</v>
      </c>
      <c r="E568" t="s">
        <v>23</v>
      </c>
      <c r="F568" t="s">
        <v>33</v>
      </c>
      <c r="G568" t="s">
        <v>25</v>
      </c>
      <c r="H568" t="s">
        <v>26</v>
      </c>
      <c r="I568" t="s">
        <v>35</v>
      </c>
      <c r="J568" t="s">
        <v>28</v>
      </c>
      <c r="K568" t="s">
        <v>67</v>
      </c>
      <c r="L568" t="s">
        <v>55</v>
      </c>
      <c r="M568">
        <v>338</v>
      </c>
      <c r="N568">
        <v>3</v>
      </c>
      <c r="O568">
        <v>0</v>
      </c>
      <c r="P568">
        <v>2</v>
      </c>
      <c r="Q568" t="s">
        <v>31</v>
      </c>
      <c r="R568">
        <v>240</v>
      </c>
      <c r="S568">
        <v>48</v>
      </c>
      <c r="T568" t="s">
        <v>31</v>
      </c>
      <c r="U568" t="s">
        <v>63</v>
      </c>
      <c r="V568">
        <v>2026</v>
      </c>
      <c r="W568">
        <v>5</v>
      </c>
      <c r="X568" t="s">
        <v>1416</v>
      </c>
      <c r="Y568" s="6">
        <v>46143</v>
      </c>
      <c r="Z568" t="s">
        <v>1418</v>
      </c>
      <c r="AA568" t="s">
        <v>31</v>
      </c>
      <c r="AB568" t="s">
        <v>63</v>
      </c>
      <c r="AC568" t="s">
        <v>23</v>
      </c>
      <c r="AD568">
        <v>1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1</v>
      </c>
    </row>
    <row r="569" spans="1:36">
      <c r="A569" t="s">
        <v>708</v>
      </c>
      <c r="B569">
        <v>61.25</v>
      </c>
      <c r="C569" s="7">
        <v>46169.736111111109</v>
      </c>
      <c r="D569" s="7">
        <v>46172.288026296294</v>
      </c>
      <c r="E569" t="s">
        <v>23</v>
      </c>
      <c r="F569" t="s">
        <v>33</v>
      </c>
      <c r="G569" t="s">
        <v>25</v>
      </c>
      <c r="H569" t="s">
        <v>66</v>
      </c>
      <c r="I569" t="s">
        <v>35</v>
      </c>
      <c r="J569" t="s">
        <v>28</v>
      </c>
      <c r="K569" t="s">
        <v>58</v>
      </c>
      <c r="L569" t="s">
        <v>101</v>
      </c>
      <c r="M569">
        <v>121</v>
      </c>
      <c r="N569">
        <v>4</v>
      </c>
      <c r="O569">
        <v>0</v>
      </c>
      <c r="P569">
        <v>2</v>
      </c>
      <c r="Q569" t="s">
        <v>31</v>
      </c>
      <c r="R569">
        <v>240</v>
      </c>
      <c r="S569">
        <v>48</v>
      </c>
      <c r="T569" t="s">
        <v>63</v>
      </c>
      <c r="U569" t="s">
        <v>31</v>
      </c>
      <c r="V569">
        <v>2026</v>
      </c>
      <c r="W569">
        <v>5</v>
      </c>
      <c r="X569" t="s">
        <v>1416</v>
      </c>
      <c r="Y569" s="6">
        <v>46143</v>
      </c>
      <c r="Z569" t="s">
        <v>1413</v>
      </c>
      <c r="AA569" t="s">
        <v>31</v>
      </c>
      <c r="AB569" t="s">
        <v>63</v>
      </c>
      <c r="AC569" t="s">
        <v>23</v>
      </c>
      <c r="AD569">
        <v>1</v>
      </c>
      <c r="AE569">
        <v>0</v>
      </c>
      <c r="AF569">
        <v>1</v>
      </c>
      <c r="AG569">
        <v>0</v>
      </c>
      <c r="AH569">
        <v>0</v>
      </c>
      <c r="AI569">
        <v>1</v>
      </c>
      <c r="AJ569">
        <v>0</v>
      </c>
    </row>
    <row r="570" spans="1:36">
      <c r="A570" t="s">
        <v>709</v>
      </c>
      <c r="B570">
        <v>9.8000000000000007</v>
      </c>
      <c r="C570" s="7">
        <v>46112.593055555553</v>
      </c>
      <c r="D570" s="7">
        <v>46113.001441099535</v>
      </c>
      <c r="E570" t="s">
        <v>23</v>
      </c>
      <c r="F570" t="s">
        <v>50</v>
      </c>
      <c r="G570" t="s">
        <v>41</v>
      </c>
      <c r="H570" t="s">
        <v>75</v>
      </c>
      <c r="I570" t="s">
        <v>27</v>
      </c>
      <c r="J570" t="s">
        <v>28</v>
      </c>
      <c r="K570" t="s">
        <v>52</v>
      </c>
      <c r="L570" t="s">
        <v>38</v>
      </c>
      <c r="M570">
        <v>40</v>
      </c>
      <c r="N570">
        <v>4</v>
      </c>
      <c r="O570">
        <v>0</v>
      </c>
      <c r="P570">
        <v>7</v>
      </c>
      <c r="Q570" t="s">
        <v>31</v>
      </c>
      <c r="R570">
        <v>120</v>
      </c>
      <c r="S570">
        <v>24</v>
      </c>
      <c r="T570" t="s">
        <v>63</v>
      </c>
      <c r="U570" t="s">
        <v>63</v>
      </c>
      <c r="V570">
        <v>2026</v>
      </c>
      <c r="W570">
        <v>3</v>
      </c>
      <c r="X570" t="s">
        <v>1423</v>
      </c>
      <c r="Y570" s="6">
        <v>46082</v>
      </c>
      <c r="Z570" t="s">
        <v>1413</v>
      </c>
      <c r="AA570" t="s">
        <v>31</v>
      </c>
      <c r="AB570" t="s">
        <v>63</v>
      </c>
      <c r="AC570" t="s">
        <v>23</v>
      </c>
      <c r="AD570">
        <v>1</v>
      </c>
      <c r="AE570">
        <v>0</v>
      </c>
      <c r="AF570">
        <v>1</v>
      </c>
      <c r="AG570">
        <v>0</v>
      </c>
      <c r="AH570">
        <v>0</v>
      </c>
      <c r="AI570">
        <v>1</v>
      </c>
      <c r="AJ570">
        <v>1</v>
      </c>
    </row>
    <row r="571" spans="1:36">
      <c r="A571" t="s">
        <v>710</v>
      </c>
      <c r="B571">
        <v>32.25</v>
      </c>
      <c r="C571" s="7">
        <v>46182.42083333333</v>
      </c>
      <c r="D571" s="7">
        <v>46183.764714305558</v>
      </c>
      <c r="E571" t="s">
        <v>23</v>
      </c>
      <c r="F571" t="s">
        <v>50</v>
      </c>
      <c r="G571" t="s">
        <v>51</v>
      </c>
      <c r="H571" t="s">
        <v>66</v>
      </c>
      <c r="I571" t="s">
        <v>42</v>
      </c>
      <c r="J571" t="s">
        <v>43</v>
      </c>
      <c r="K571" t="s">
        <v>37</v>
      </c>
      <c r="L571" t="s">
        <v>55</v>
      </c>
      <c r="M571">
        <v>63</v>
      </c>
      <c r="N571">
        <v>4</v>
      </c>
      <c r="O571">
        <v>1</v>
      </c>
      <c r="P571">
        <v>9</v>
      </c>
      <c r="Q571" t="s">
        <v>31</v>
      </c>
      <c r="R571">
        <v>120</v>
      </c>
      <c r="S571">
        <v>24</v>
      </c>
      <c r="T571" t="s">
        <v>63</v>
      </c>
      <c r="U571" t="s">
        <v>31</v>
      </c>
      <c r="V571">
        <v>2026</v>
      </c>
      <c r="W571">
        <v>6</v>
      </c>
      <c r="X571" t="s">
        <v>1421</v>
      </c>
      <c r="Y571" s="6">
        <v>46174</v>
      </c>
      <c r="Z571" t="s">
        <v>1413</v>
      </c>
      <c r="AA571" t="s">
        <v>63</v>
      </c>
      <c r="AB571" t="s">
        <v>63</v>
      </c>
      <c r="AC571" t="s">
        <v>23</v>
      </c>
      <c r="AD571">
        <v>1</v>
      </c>
      <c r="AE571">
        <v>0</v>
      </c>
      <c r="AF571">
        <v>1</v>
      </c>
      <c r="AG571">
        <v>1</v>
      </c>
      <c r="AH571">
        <v>0</v>
      </c>
      <c r="AI571">
        <v>1</v>
      </c>
      <c r="AJ571">
        <v>0</v>
      </c>
    </row>
    <row r="572" spans="1:36">
      <c r="A572" t="s">
        <v>711</v>
      </c>
      <c r="B572">
        <v>39.89</v>
      </c>
      <c r="C572" s="7">
        <v>46249.852083333331</v>
      </c>
      <c r="D572" s="7">
        <v>46251.514131678239</v>
      </c>
      <c r="E572" t="s">
        <v>23</v>
      </c>
      <c r="F572" t="s">
        <v>40</v>
      </c>
      <c r="G572" t="s">
        <v>65</v>
      </c>
      <c r="H572" t="s">
        <v>26</v>
      </c>
      <c r="I572" t="s">
        <v>35</v>
      </c>
      <c r="J572" t="s">
        <v>28</v>
      </c>
      <c r="K572" t="s">
        <v>52</v>
      </c>
      <c r="L572" t="s">
        <v>44</v>
      </c>
      <c r="M572">
        <v>48</v>
      </c>
      <c r="N572">
        <v>4</v>
      </c>
      <c r="O572">
        <v>0</v>
      </c>
      <c r="P572">
        <v>8</v>
      </c>
      <c r="Q572" t="s">
        <v>63</v>
      </c>
      <c r="R572">
        <v>30</v>
      </c>
      <c r="S572">
        <v>8</v>
      </c>
      <c r="T572" t="s">
        <v>31</v>
      </c>
      <c r="U572" t="s">
        <v>31</v>
      </c>
      <c r="V572">
        <v>2026</v>
      </c>
      <c r="W572">
        <v>8</v>
      </c>
      <c r="X572" t="s">
        <v>1417</v>
      </c>
      <c r="Y572" s="6">
        <v>46235</v>
      </c>
      <c r="Z572" t="s">
        <v>1413</v>
      </c>
      <c r="AA572" t="s">
        <v>31</v>
      </c>
      <c r="AB572" t="s">
        <v>63</v>
      </c>
      <c r="AC572" t="s">
        <v>23</v>
      </c>
      <c r="AD572">
        <v>1</v>
      </c>
      <c r="AE572">
        <v>0</v>
      </c>
      <c r="AF572">
        <v>1</v>
      </c>
      <c r="AG572">
        <v>0</v>
      </c>
      <c r="AH572">
        <v>1</v>
      </c>
      <c r="AI572">
        <v>0</v>
      </c>
      <c r="AJ572">
        <v>0</v>
      </c>
    </row>
    <row r="573" spans="1:36">
      <c r="A573" t="s">
        <v>712</v>
      </c>
      <c r="B573">
        <v>4.58</v>
      </c>
      <c r="C573" s="7">
        <v>46123.816666666666</v>
      </c>
      <c r="D573" s="7">
        <v>46124.007638888892</v>
      </c>
      <c r="E573" t="s">
        <v>23</v>
      </c>
      <c r="F573" t="s">
        <v>24</v>
      </c>
      <c r="G573" t="s">
        <v>51</v>
      </c>
      <c r="H573" t="s">
        <v>66</v>
      </c>
      <c r="I573" t="s">
        <v>35</v>
      </c>
      <c r="J573" t="s">
        <v>43</v>
      </c>
      <c r="K573" t="s">
        <v>76</v>
      </c>
      <c r="L573" t="s">
        <v>62</v>
      </c>
      <c r="M573">
        <v>12</v>
      </c>
      <c r="N573">
        <v>5</v>
      </c>
      <c r="O573">
        <v>0</v>
      </c>
      <c r="P573">
        <v>2</v>
      </c>
      <c r="Q573" t="s">
        <v>31</v>
      </c>
      <c r="R573">
        <v>15</v>
      </c>
      <c r="S573">
        <v>4</v>
      </c>
      <c r="T573" t="s">
        <v>63</v>
      </c>
      <c r="U573" t="s">
        <v>31</v>
      </c>
      <c r="V573">
        <v>2026</v>
      </c>
      <c r="W573">
        <v>4</v>
      </c>
      <c r="X573" t="s">
        <v>1412</v>
      </c>
      <c r="Y573" s="6">
        <v>46113</v>
      </c>
      <c r="Z573" t="s">
        <v>1413</v>
      </c>
      <c r="AA573" t="s">
        <v>31</v>
      </c>
      <c r="AB573" t="s">
        <v>63</v>
      </c>
      <c r="AC573" t="s">
        <v>23</v>
      </c>
      <c r="AD573">
        <v>1</v>
      </c>
      <c r="AE573">
        <v>0</v>
      </c>
      <c r="AF573">
        <v>1</v>
      </c>
      <c r="AG573">
        <v>0</v>
      </c>
      <c r="AH573">
        <v>0</v>
      </c>
      <c r="AI573">
        <v>1</v>
      </c>
      <c r="AJ573">
        <v>0</v>
      </c>
    </row>
    <row r="574" spans="1:36">
      <c r="A574" t="s">
        <v>714</v>
      </c>
      <c r="B574">
        <v>44.06</v>
      </c>
      <c r="C574" s="7">
        <v>46154.925694444442</v>
      </c>
      <c r="D574" s="7">
        <v>46156.761451342594</v>
      </c>
      <c r="E574" t="s">
        <v>23</v>
      </c>
      <c r="F574" t="s">
        <v>33</v>
      </c>
      <c r="G574" t="s">
        <v>51</v>
      </c>
      <c r="H574" t="s">
        <v>54</v>
      </c>
      <c r="I574" t="s">
        <v>42</v>
      </c>
      <c r="J574" t="s">
        <v>36</v>
      </c>
      <c r="K574" t="s">
        <v>58</v>
      </c>
      <c r="L574" t="s">
        <v>62</v>
      </c>
      <c r="M574">
        <v>534</v>
      </c>
      <c r="N574">
        <v>3</v>
      </c>
      <c r="O574">
        <v>0</v>
      </c>
      <c r="P574">
        <v>4</v>
      </c>
      <c r="Q574" t="s">
        <v>31</v>
      </c>
      <c r="R574">
        <v>240</v>
      </c>
      <c r="S574">
        <v>48</v>
      </c>
      <c r="T574" t="s">
        <v>31</v>
      </c>
      <c r="U574" t="s">
        <v>63</v>
      </c>
      <c r="V574">
        <v>2026</v>
      </c>
      <c r="W574">
        <v>5</v>
      </c>
      <c r="X574" t="s">
        <v>1416</v>
      </c>
      <c r="Y574" s="6">
        <v>46143</v>
      </c>
      <c r="Z574" t="s">
        <v>1418</v>
      </c>
      <c r="AA574" t="s">
        <v>31</v>
      </c>
      <c r="AB574" t="s">
        <v>63</v>
      </c>
      <c r="AC574" t="s">
        <v>23</v>
      </c>
      <c r="AD574">
        <v>1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1</v>
      </c>
    </row>
    <row r="575" spans="1:36">
      <c r="A575" t="s">
        <v>715</v>
      </c>
      <c r="B575">
        <v>15.39</v>
      </c>
      <c r="C575" s="7">
        <v>46141.706250000003</v>
      </c>
      <c r="D575" s="7">
        <v>46142.347678344908</v>
      </c>
      <c r="E575" t="s">
        <v>23</v>
      </c>
      <c r="F575" t="s">
        <v>24</v>
      </c>
      <c r="G575" t="s">
        <v>65</v>
      </c>
      <c r="H575" t="s">
        <v>75</v>
      </c>
      <c r="I575" t="s">
        <v>35</v>
      </c>
      <c r="J575" t="s">
        <v>48</v>
      </c>
      <c r="K575" t="s">
        <v>76</v>
      </c>
      <c r="L575" t="s">
        <v>55</v>
      </c>
      <c r="M575">
        <v>7</v>
      </c>
      <c r="N575">
        <v>5</v>
      </c>
      <c r="O575">
        <v>0</v>
      </c>
      <c r="P575">
        <v>5</v>
      </c>
      <c r="Q575" t="s">
        <v>31</v>
      </c>
      <c r="R575">
        <v>15</v>
      </c>
      <c r="S575">
        <v>4</v>
      </c>
      <c r="T575" t="s">
        <v>63</v>
      </c>
      <c r="U575" t="s">
        <v>31</v>
      </c>
      <c r="V575">
        <v>2026</v>
      </c>
      <c r="W575">
        <v>4</v>
      </c>
      <c r="X575" t="s">
        <v>1412</v>
      </c>
      <c r="Y575" s="6">
        <v>46113</v>
      </c>
      <c r="Z575" t="s">
        <v>1413</v>
      </c>
      <c r="AA575" t="s">
        <v>31</v>
      </c>
      <c r="AB575" t="s">
        <v>63</v>
      </c>
      <c r="AC575" t="s">
        <v>23</v>
      </c>
      <c r="AD575">
        <v>1</v>
      </c>
      <c r="AE575">
        <v>0</v>
      </c>
      <c r="AF575">
        <v>1</v>
      </c>
      <c r="AG575">
        <v>0</v>
      </c>
      <c r="AH575">
        <v>0</v>
      </c>
      <c r="AI575">
        <v>1</v>
      </c>
      <c r="AJ575">
        <v>0</v>
      </c>
    </row>
    <row r="576" spans="1:36">
      <c r="A576" t="s">
        <v>716</v>
      </c>
      <c r="B576">
        <v>4.13</v>
      </c>
      <c r="C576" s="7">
        <v>46221.132638888892</v>
      </c>
      <c r="D576" s="7">
        <v>46221.304881550925</v>
      </c>
      <c r="E576" t="s">
        <v>23</v>
      </c>
      <c r="F576" t="s">
        <v>40</v>
      </c>
      <c r="G576" t="s">
        <v>41</v>
      </c>
      <c r="H576" t="s">
        <v>34</v>
      </c>
      <c r="I576" t="s">
        <v>27</v>
      </c>
      <c r="J576" t="s">
        <v>43</v>
      </c>
      <c r="K576" t="s">
        <v>52</v>
      </c>
      <c r="L576" t="s">
        <v>44</v>
      </c>
      <c r="M576">
        <v>58</v>
      </c>
      <c r="N576">
        <v>5</v>
      </c>
      <c r="O576">
        <v>0</v>
      </c>
      <c r="P576">
        <v>3</v>
      </c>
      <c r="Q576" t="s">
        <v>31</v>
      </c>
      <c r="R576">
        <v>30</v>
      </c>
      <c r="S576">
        <v>8</v>
      </c>
      <c r="T576" t="s">
        <v>31</v>
      </c>
      <c r="U576" t="s">
        <v>63</v>
      </c>
      <c r="V576">
        <v>2026</v>
      </c>
      <c r="W576">
        <v>7</v>
      </c>
      <c r="X576" t="s">
        <v>1422</v>
      </c>
      <c r="Y576" s="6">
        <v>46204</v>
      </c>
      <c r="Z576" t="s">
        <v>1413</v>
      </c>
      <c r="AA576" t="s">
        <v>31</v>
      </c>
      <c r="AB576" t="s">
        <v>63</v>
      </c>
      <c r="AC576" t="s">
        <v>23</v>
      </c>
      <c r="AD576">
        <v>1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1</v>
      </c>
    </row>
    <row r="577" spans="1:36">
      <c r="A577" t="s">
        <v>717</v>
      </c>
      <c r="B577">
        <v>41.29</v>
      </c>
      <c r="C577" s="7">
        <v>46250.540972222225</v>
      </c>
      <c r="D577" s="7">
        <v>46252.261205983799</v>
      </c>
      <c r="E577" t="s">
        <v>23</v>
      </c>
      <c r="F577" t="s">
        <v>50</v>
      </c>
      <c r="G577" t="s">
        <v>41</v>
      </c>
      <c r="H577" t="s">
        <v>26</v>
      </c>
      <c r="I577" t="s">
        <v>35</v>
      </c>
      <c r="J577" t="s">
        <v>28</v>
      </c>
      <c r="K577" t="s">
        <v>37</v>
      </c>
      <c r="L577" t="s">
        <v>93</v>
      </c>
      <c r="M577">
        <v>48</v>
      </c>
      <c r="N577">
        <v>4</v>
      </c>
      <c r="O577">
        <v>0</v>
      </c>
      <c r="P577">
        <v>7</v>
      </c>
      <c r="Q577" t="s">
        <v>31</v>
      </c>
      <c r="R577">
        <v>120</v>
      </c>
      <c r="S577">
        <v>24</v>
      </c>
      <c r="T577" t="s">
        <v>63</v>
      </c>
      <c r="U577" t="s">
        <v>31</v>
      </c>
      <c r="V577">
        <v>2026</v>
      </c>
      <c r="W577">
        <v>8</v>
      </c>
      <c r="X577" t="s">
        <v>1417</v>
      </c>
      <c r="Y577" s="6">
        <v>46235</v>
      </c>
      <c r="Z577" t="s">
        <v>1413</v>
      </c>
      <c r="AA577" t="s">
        <v>31</v>
      </c>
      <c r="AB577" t="s">
        <v>63</v>
      </c>
      <c r="AC577" t="s">
        <v>23</v>
      </c>
      <c r="AD577">
        <v>1</v>
      </c>
      <c r="AE577">
        <v>0</v>
      </c>
      <c r="AF577">
        <v>1</v>
      </c>
      <c r="AG577">
        <v>0</v>
      </c>
      <c r="AH577">
        <v>0</v>
      </c>
      <c r="AI577">
        <v>1</v>
      </c>
      <c r="AJ577">
        <v>0</v>
      </c>
    </row>
    <row r="578" spans="1:36">
      <c r="A578" t="s">
        <v>718</v>
      </c>
      <c r="B578">
        <v>19.440000000000001</v>
      </c>
      <c r="C578" s="7">
        <v>46242.450694444444</v>
      </c>
      <c r="D578" s="7">
        <v>46243.260639143518</v>
      </c>
      <c r="E578" t="s">
        <v>23</v>
      </c>
      <c r="F578" t="s">
        <v>40</v>
      </c>
      <c r="G578" t="s">
        <v>41</v>
      </c>
      <c r="H578" t="s">
        <v>54</v>
      </c>
      <c r="I578" t="s">
        <v>27</v>
      </c>
      <c r="J578" t="s">
        <v>48</v>
      </c>
      <c r="K578" t="s">
        <v>58</v>
      </c>
      <c r="L578" t="s">
        <v>68</v>
      </c>
      <c r="M578">
        <v>59</v>
      </c>
      <c r="N578">
        <v>3</v>
      </c>
      <c r="O578">
        <v>2</v>
      </c>
      <c r="P578">
        <v>11</v>
      </c>
      <c r="Q578" t="s">
        <v>31</v>
      </c>
      <c r="R578">
        <v>30</v>
      </c>
      <c r="S578">
        <v>8</v>
      </c>
      <c r="T578" t="s">
        <v>31</v>
      </c>
      <c r="U578" t="s">
        <v>31</v>
      </c>
      <c r="V578">
        <v>2026</v>
      </c>
      <c r="W578">
        <v>8</v>
      </c>
      <c r="X578" t="s">
        <v>1417</v>
      </c>
      <c r="Y578" s="6">
        <v>46235</v>
      </c>
      <c r="Z578" t="s">
        <v>1418</v>
      </c>
      <c r="AA578" t="s">
        <v>63</v>
      </c>
      <c r="AB578" t="s">
        <v>63</v>
      </c>
      <c r="AC578" t="s">
        <v>23</v>
      </c>
      <c r="AD578">
        <v>1</v>
      </c>
      <c r="AE578">
        <v>0</v>
      </c>
      <c r="AF578">
        <v>1</v>
      </c>
      <c r="AG578">
        <v>1</v>
      </c>
      <c r="AH578">
        <v>0</v>
      </c>
      <c r="AI578">
        <v>0</v>
      </c>
      <c r="AJ578">
        <v>0</v>
      </c>
    </row>
    <row r="579" spans="1:36">
      <c r="A579" t="s">
        <v>719</v>
      </c>
      <c r="B579">
        <v>34.229999999999997</v>
      </c>
      <c r="C579" s="7">
        <v>46162.9</v>
      </c>
      <c r="D579" s="7">
        <v>46164.326090902781</v>
      </c>
      <c r="E579" t="s">
        <v>23</v>
      </c>
      <c r="F579" t="s">
        <v>50</v>
      </c>
      <c r="G579" t="s">
        <v>51</v>
      </c>
      <c r="H579" t="s">
        <v>54</v>
      </c>
      <c r="I579" t="s">
        <v>42</v>
      </c>
      <c r="J579" t="s">
        <v>28</v>
      </c>
      <c r="K579" t="s">
        <v>76</v>
      </c>
      <c r="L579" t="s">
        <v>101</v>
      </c>
      <c r="M579">
        <v>172</v>
      </c>
      <c r="N579">
        <v>3</v>
      </c>
      <c r="O579">
        <v>0</v>
      </c>
      <c r="P579">
        <v>3</v>
      </c>
      <c r="Q579" t="s">
        <v>31</v>
      </c>
      <c r="R579">
        <v>120</v>
      </c>
      <c r="S579">
        <v>24</v>
      </c>
      <c r="T579" t="s">
        <v>31</v>
      </c>
      <c r="U579" t="s">
        <v>31</v>
      </c>
      <c r="V579">
        <v>2026</v>
      </c>
      <c r="W579">
        <v>5</v>
      </c>
      <c r="X579" t="s">
        <v>1416</v>
      </c>
      <c r="Y579" s="6">
        <v>46143</v>
      </c>
      <c r="Z579" t="s">
        <v>1418</v>
      </c>
      <c r="AA579" t="s">
        <v>31</v>
      </c>
      <c r="AB579" t="s">
        <v>63</v>
      </c>
      <c r="AC579" t="s">
        <v>23</v>
      </c>
      <c r="AD579">
        <v>1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</row>
    <row r="580" spans="1:36">
      <c r="A580" t="s">
        <v>720</v>
      </c>
      <c r="B580">
        <v>21.38</v>
      </c>
      <c r="C580" s="7">
        <v>46104.37777777778</v>
      </c>
      <c r="D580" s="7">
        <v>46105.268754050929</v>
      </c>
      <c r="E580" t="s">
        <v>23</v>
      </c>
      <c r="F580" t="s">
        <v>50</v>
      </c>
      <c r="G580" t="s">
        <v>51</v>
      </c>
      <c r="H580" t="s">
        <v>26</v>
      </c>
      <c r="I580" t="s">
        <v>42</v>
      </c>
      <c r="J580" t="s">
        <v>28</v>
      </c>
      <c r="K580" t="s">
        <v>52</v>
      </c>
      <c r="L580" t="s">
        <v>101</v>
      </c>
      <c r="M580">
        <v>651</v>
      </c>
      <c r="N580">
        <v>4</v>
      </c>
      <c r="O580">
        <v>0</v>
      </c>
      <c r="P580">
        <v>6</v>
      </c>
      <c r="Q580" t="s">
        <v>31</v>
      </c>
      <c r="R580">
        <v>120</v>
      </c>
      <c r="S580">
        <v>24</v>
      </c>
      <c r="T580" t="s">
        <v>31</v>
      </c>
      <c r="U580" t="s">
        <v>63</v>
      </c>
      <c r="V580">
        <v>2026</v>
      </c>
      <c r="W580">
        <v>3</v>
      </c>
      <c r="X580" t="s">
        <v>1423</v>
      </c>
      <c r="Y580" s="6">
        <v>46082</v>
      </c>
      <c r="Z580" t="s">
        <v>1413</v>
      </c>
      <c r="AA580" t="s">
        <v>31</v>
      </c>
      <c r="AB580" t="s">
        <v>63</v>
      </c>
      <c r="AC580" t="s">
        <v>23</v>
      </c>
      <c r="AD580">
        <v>1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1</v>
      </c>
    </row>
    <row r="581" spans="1:36">
      <c r="A581" t="s">
        <v>721</v>
      </c>
      <c r="B581">
        <v>5.45</v>
      </c>
      <c r="C581" s="7">
        <v>46113.054861111108</v>
      </c>
      <c r="D581" s="7">
        <v>46113.282082060185</v>
      </c>
      <c r="E581" t="s">
        <v>23</v>
      </c>
      <c r="F581" t="s">
        <v>40</v>
      </c>
      <c r="G581" t="s">
        <v>51</v>
      </c>
      <c r="H581" t="s">
        <v>54</v>
      </c>
      <c r="I581" t="s">
        <v>35</v>
      </c>
      <c r="J581" t="s">
        <v>48</v>
      </c>
      <c r="K581" t="s">
        <v>37</v>
      </c>
      <c r="L581" t="s">
        <v>38</v>
      </c>
      <c r="M581">
        <v>23</v>
      </c>
      <c r="N581">
        <v>4</v>
      </c>
      <c r="O581">
        <v>2</v>
      </c>
      <c r="P581">
        <v>14</v>
      </c>
      <c r="Q581" t="s">
        <v>31</v>
      </c>
      <c r="R581">
        <v>30</v>
      </c>
      <c r="S581">
        <v>8</v>
      </c>
      <c r="T581" t="s">
        <v>63</v>
      </c>
      <c r="U581" t="s">
        <v>63</v>
      </c>
      <c r="V581">
        <v>2026</v>
      </c>
      <c r="W581">
        <v>4</v>
      </c>
      <c r="X581" t="s">
        <v>1412</v>
      </c>
      <c r="Y581" s="6">
        <v>46113</v>
      </c>
      <c r="Z581" t="s">
        <v>1413</v>
      </c>
      <c r="AA581" t="s">
        <v>63</v>
      </c>
      <c r="AB581" t="s">
        <v>63</v>
      </c>
      <c r="AC581" t="s">
        <v>23</v>
      </c>
      <c r="AD581">
        <v>1</v>
      </c>
      <c r="AE581">
        <v>0</v>
      </c>
      <c r="AF581">
        <v>1</v>
      </c>
      <c r="AG581">
        <v>1</v>
      </c>
      <c r="AH581">
        <v>0</v>
      </c>
      <c r="AI581">
        <v>1</v>
      </c>
      <c r="AJ581">
        <v>1</v>
      </c>
    </row>
    <row r="582" spans="1:36">
      <c r="A582" t="s">
        <v>722</v>
      </c>
      <c r="B582">
        <v>19.79</v>
      </c>
      <c r="C582" s="7">
        <v>46240.588888888888</v>
      </c>
      <c r="D582" s="7">
        <v>46241.413326412039</v>
      </c>
      <c r="E582" t="s">
        <v>23</v>
      </c>
      <c r="F582" t="s">
        <v>50</v>
      </c>
      <c r="G582" t="s">
        <v>41</v>
      </c>
      <c r="H582" t="s">
        <v>54</v>
      </c>
      <c r="I582" t="s">
        <v>42</v>
      </c>
      <c r="J582" t="s">
        <v>48</v>
      </c>
      <c r="K582" t="s">
        <v>52</v>
      </c>
      <c r="L582" t="s">
        <v>101</v>
      </c>
      <c r="M582">
        <v>79</v>
      </c>
      <c r="N582">
        <v>4</v>
      </c>
      <c r="O582">
        <v>0</v>
      </c>
      <c r="P582">
        <v>2</v>
      </c>
      <c r="Q582" t="s">
        <v>31</v>
      </c>
      <c r="R582">
        <v>120</v>
      </c>
      <c r="S582">
        <v>24</v>
      </c>
      <c r="T582" t="s">
        <v>63</v>
      </c>
      <c r="U582" t="s">
        <v>63</v>
      </c>
      <c r="V582">
        <v>2026</v>
      </c>
      <c r="W582">
        <v>8</v>
      </c>
      <c r="X582" t="s">
        <v>1417</v>
      </c>
      <c r="Y582" s="6">
        <v>46235</v>
      </c>
      <c r="Z582" t="s">
        <v>1413</v>
      </c>
      <c r="AA582" t="s">
        <v>31</v>
      </c>
      <c r="AB582" t="s">
        <v>63</v>
      </c>
      <c r="AC582" t="s">
        <v>23</v>
      </c>
      <c r="AD582">
        <v>1</v>
      </c>
      <c r="AE582">
        <v>0</v>
      </c>
      <c r="AF582">
        <v>1</v>
      </c>
      <c r="AG582">
        <v>0</v>
      </c>
      <c r="AH582">
        <v>0</v>
      </c>
      <c r="AI582">
        <v>1</v>
      </c>
      <c r="AJ582">
        <v>1</v>
      </c>
    </row>
    <row r="583" spans="1:36">
      <c r="A583" t="s">
        <v>723</v>
      </c>
      <c r="B583">
        <v>14.77</v>
      </c>
      <c r="C583" s="7">
        <v>46215.825694444444</v>
      </c>
      <c r="D583" s="7">
        <v>46216.441234467595</v>
      </c>
      <c r="E583" t="s">
        <v>23</v>
      </c>
      <c r="F583" t="s">
        <v>50</v>
      </c>
      <c r="G583" t="s">
        <v>51</v>
      </c>
      <c r="H583" t="s">
        <v>75</v>
      </c>
      <c r="I583" t="s">
        <v>35</v>
      </c>
      <c r="J583" t="s">
        <v>43</v>
      </c>
      <c r="K583" t="s">
        <v>58</v>
      </c>
      <c r="L583" t="s">
        <v>71</v>
      </c>
      <c r="M583">
        <v>91</v>
      </c>
      <c r="N583">
        <v>4</v>
      </c>
      <c r="O583">
        <v>0</v>
      </c>
      <c r="P583">
        <v>6</v>
      </c>
      <c r="Q583" t="s">
        <v>31</v>
      </c>
      <c r="R583">
        <v>120</v>
      </c>
      <c r="S583">
        <v>24</v>
      </c>
      <c r="T583" t="s">
        <v>63</v>
      </c>
      <c r="U583" t="s">
        <v>63</v>
      </c>
      <c r="V583">
        <v>2026</v>
      </c>
      <c r="W583">
        <v>7</v>
      </c>
      <c r="X583" t="s">
        <v>1422</v>
      </c>
      <c r="Y583" s="6">
        <v>46204</v>
      </c>
      <c r="Z583" t="s">
        <v>1413</v>
      </c>
      <c r="AA583" t="s">
        <v>31</v>
      </c>
      <c r="AB583" t="s">
        <v>63</v>
      </c>
      <c r="AC583" t="s">
        <v>23</v>
      </c>
      <c r="AD583">
        <v>1</v>
      </c>
      <c r="AE583">
        <v>0</v>
      </c>
      <c r="AF583">
        <v>1</v>
      </c>
      <c r="AG583">
        <v>0</v>
      </c>
      <c r="AH583">
        <v>0</v>
      </c>
      <c r="AI583">
        <v>1</v>
      </c>
      <c r="AJ583">
        <v>1</v>
      </c>
    </row>
    <row r="584" spans="1:36">
      <c r="A584" t="s">
        <v>724</v>
      </c>
      <c r="B584">
        <v>6.78</v>
      </c>
      <c r="C584" s="7">
        <v>46245.182638888888</v>
      </c>
      <c r="D584" s="7">
        <v>46245.465210254632</v>
      </c>
      <c r="E584" t="s">
        <v>23</v>
      </c>
      <c r="F584" t="s">
        <v>40</v>
      </c>
      <c r="G584" t="s">
        <v>51</v>
      </c>
      <c r="H584" t="s">
        <v>54</v>
      </c>
      <c r="I584" t="s">
        <v>42</v>
      </c>
      <c r="J584" t="s">
        <v>28</v>
      </c>
      <c r="K584" t="s">
        <v>37</v>
      </c>
      <c r="L584" t="s">
        <v>85</v>
      </c>
      <c r="M584">
        <v>60</v>
      </c>
      <c r="N584">
        <v>5</v>
      </c>
      <c r="O584">
        <v>0</v>
      </c>
      <c r="P584">
        <v>4</v>
      </c>
      <c r="Q584" t="s">
        <v>31</v>
      </c>
      <c r="R584">
        <v>30</v>
      </c>
      <c r="S584">
        <v>8</v>
      </c>
      <c r="T584" t="s">
        <v>31</v>
      </c>
      <c r="U584" t="s">
        <v>63</v>
      </c>
      <c r="V584">
        <v>2026</v>
      </c>
      <c r="W584">
        <v>8</v>
      </c>
      <c r="X584" t="s">
        <v>1417</v>
      </c>
      <c r="Y584" s="6">
        <v>46235</v>
      </c>
      <c r="Z584" t="s">
        <v>1413</v>
      </c>
      <c r="AA584" t="s">
        <v>31</v>
      </c>
      <c r="AB584" t="s">
        <v>63</v>
      </c>
      <c r="AC584" t="s">
        <v>23</v>
      </c>
      <c r="AD584">
        <v>1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1</v>
      </c>
    </row>
    <row r="585" spans="1:36">
      <c r="A585" t="s">
        <v>725</v>
      </c>
      <c r="B585">
        <v>3.2</v>
      </c>
      <c r="C585" s="7">
        <v>46124.195138888892</v>
      </c>
      <c r="D585" s="7">
        <v>46124.328472222223</v>
      </c>
      <c r="E585" t="s">
        <v>23</v>
      </c>
      <c r="F585" t="s">
        <v>24</v>
      </c>
      <c r="G585" t="s">
        <v>41</v>
      </c>
      <c r="H585" t="s">
        <v>54</v>
      </c>
      <c r="I585" t="s">
        <v>35</v>
      </c>
      <c r="J585" t="s">
        <v>43</v>
      </c>
      <c r="K585" t="s">
        <v>52</v>
      </c>
      <c r="L585" t="s">
        <v>101</v>
      </c>
      <c r="M585">
        <v>31</v>
      </c>
      <c r="N585">
        <v>4</v>
      </c>
      <c r="O585">
        <v>0</v>
      </c>
      <c r="P585">
        <v>3</v>
      </c>
      <c r="Q585" t="s">
        <v>31</v>
      </c>
      <c r="R585">
        <v>15</v>
      </c>
      <c r="S585">
        <v>4</v>
      </c>
      <c r="T585" t="s">
        <v>31</v>
      </c>
      <c r="U585" t="s">
        <v>63</v>
      </c>
      <c r="V585">
        <v>2026</v>
      </c>
      <c r="W585">
        <v>4</v>
      </c>
      <c r="X585" t="s">
        <v>1412</v>
      </c>
      <c r="Y585" s="6">
        <v>46113</v>
      </c>
      <c r="Z585" t="s">
        <v>1413</v>
      </c>
      <c r="AA585" t="s">
        <v>31</v>
      </c>
      <c r="AB585" t="s">
        <v>63</v>
      </c>
      <c r="AC585" t="s">
        <v>23</v>
      </c>
      <c r="AD585">
        <v>1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1</v>
      </c>
    </row>
    <row r="586" spans="1:36">
      <c r="A586" t="s">
        <v>727</v>
      </c>
      <c r="B586">
        <v>32.19</v>
      </c>
      <c r="C586" s="7">
        <v>46192.405555555553</v>
      </c>
      <c r="D586" s="7">
        <v>46193.746903136576</v>
      </c>
      <c r="E586" t="s">
        <v>23</v>
      </c>
      <c r="F586" t="s">
        <v>33</v>
      </c>
      <c r="G586" t="s">
        <v>51</v>
      </c>
      <c r="H586" t="s">
        <v>26</v>
      </c>
      <c r="I586" t="s">
        <v>27</v>
      </c>
      <c r="J586" t="s">
        <v>28</v>
      </c>
      <c r="K586" t="s">
        <v>76</v>
      </c>
      <c r="L586" t="s">
        <v>38</v>
      </c>
      <c r="M586">
        <v>228</v>
      </c>
      <c r="N586">
        <v>3</v>
      </c>
      <c r="O586">
        <v>0</v>
      </c>
      <c r="P586">
        <v>7</v>
      </c>
      <c r="Q586" t="s">
        <v>31</v>
      </c>
      <c r="R586">
        <v>240</v>
      </c>
      <c r="S586">
        <v>48</v>
      </c>
      <c r="T586" t="s">
        <v>63</v>
      </c>
      <c r="U586" t="s">
        <v>63</v>
      </c>
      <c r="V586">
        <v>2026</v>
      </c>
      <c r="W586">
        <v>6</v>
      </c>
      <c r="X586" t="s">
        <v>1421</v>
      </c>
      <c r="Y586" s="6">
        <v>46174</v>
      </c>
      <c r="Z586" t="s">
        <v>1418</v>
      </c>
      <c r="AA586" t="s">
        <v>31</v>
      </c>
      <c r="AB586" t="s">
        <v>63</v>
      </c>
      <c r="AC586" t="s">
        <v>23</v>
      </c>
      <c r="AD586">
        <v>1</v>
      </c>
      <c r="AE586">
        <v>0</v>
      </c>
      <c r="AF586">
        <v>1</v>
      </c>
      <c r="AG586">
        <v>0</v>
      </c>
      <c r="AH586">
        <v>0</v>
      </c>
      <c r="AI586">
        <v>1</v>
      </c>
      <c r="AJ586">
        <v>1</v>
      </c>
    </row>
    <row r="587" spans="1:36">
      <c r="A587" t="s">
        <v>728</v>
      </c>
      <c r="B587">
        <v>9.9700000000000006</v>
      </c>
      <c r="C587" s="7">
        <v>46142.184027777781</v>
      </c>
      <c r="D587" s="7">
        <v>46142.599304456016</v>
      </c>
      <c r="E587" t="s">
        <v>23</v>
      </c>
      <c r="F587" t="s">
        <v>50</v>
      </c>
      <c r="G587" t="s">
        <v>51</v>
      </c>
      <c r="H587" t="s">
        <v>34</v>
      </c>
      <c r="I587" t="s">
        <v>42</v>
      </c>
      <c r="J587" t="s">
        <v>43</v>
      </c>
      <c r="K587" t="s">
        <v>52</v>
      </c>
      <c r="L587" t="s">
        <v>85</v>
      </c>
      <c r="M587">
        <v>156</v>
      </c>
      <c r="N587">
        <v>4</v>
      </c>
      <c r="O587">
        <v>0</v>
      </c>
      <c r="P587">
        <v>4</v>
      </c>
      <c r="Q587" t="s">
        <v>31</v>
      </c>
      <c r="R587">
        <v>120</v>
      </c>
      <c r="S587">
        <v>24</v>
      </c>
      <c r="T587" t="s">
        <v>31</v>
      </c>
      <c r="U587" t="s">
        <v>63</v>
      </c>
      <c r="V587">
        <v>2026</v>
      </c>
      <c r="W587">
        <v>4</v>
      </c>
      <c r="X587" t="s">
        <v>1412</v>
      </c>
      <c r="Y587" s="6">
        <v>46113</v>
      </c>
      <c r="Z587" t="s">
        <v>1413</v>
      </c>
      <c r="AA587" t="s">
        <v>31</v>
      </c>
      <c r="AB587" t="s">
        <v>63</v>
      </c>
      <c r="AC587" t="s">
        <v>23</v>
      </c>
      <c r="AD587">
        <v>1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1</v>
      </c>
    </row>
    <row r="588" spans="1:36">
      <c r="A588" t="s">
        <v>729</v>
      </c>
      <c r="B588">
        <v>32.619999999999997</v>
      </c>
      <c r="C588" s="7">
        <v>46051.425694444442</v>
      </c>
      <c r="D588" s="7">
        <v>46052.784770636572</v>
      </c>
      <c r="E588" t="s">
        <v>23</v>
      </c>
      <c r="F588" t="s">
        <v>50</v>
      </c>
      <c r="G588" t="s">
        <v>51</v>
      </c>
      <c r="H588" t="s">
        <v>34</v>
      </c>
      <c r="I588" t="s">
        <v>27</v>
      </c>
      <c r="J588" t="s">
        <v>36</v>
      </c>
      <c r="K588" t="s">
        <v>37</v>
      </c>
      <c r="L588" t="s">
        <v>55</v>
      </c>
      <c r="M588">
        <v>39</v>
      </c>
      <c r="N588">
        <v>4</v>
      </c>
      <c r="O588">
        <v>0</v>
      </c>
      <c r="P588">
        <v>3</v>
      </c>
      <c r="Q588" t="s">
        <v>31</v>
      </c>
      <c r="R588">
        <v>120</v>
      </c>
      <c r="S588">
        <v>24</v>
      </c>
      <c r="T588" t="s">
        <v>63</v>
      </c>
      <c r="U588" t="s">
        <v>31</v>
      </c>
      <c r="V588">
        <v>2026</v>
      </c>
      <c r="W588">
        <v>1</v>
      </c>
      <c r="X588" t="s">
        <v>1414</v>
      </c>
      <c r="Y588" s="6">
        <v>46023</v>
      </c>
      <c r="Z588" t="s">
        <v>1413</v>
      </c>
      <c r="AA588" t="s">
        <v>31</v>
      </c>
      <c r="AB588" t="s">
        <v>63</v>
      </c>
      <c r="AC588" t="s">
        <v>23</v>
      </c>
      <c r="AD588">
        <v>1</v>
      </c>
      <c r="AE588">
        <v>0</v>
      </c>
      <c r="AF588">
        <v>1</v>
      </c>
      <c r="AG588">
        <v>0</v>
      </c>
      <c r="AH588">
        <v>0</v>
      </c>
      <c r="AI588">
        <v>1</v>
      </c>
      <c r="AJ588">
        <v>0</v>
      </c>
    </row>
    <row r="589" spans="1:36">
      <c r="A589" t="s">
        <v>730</v>
      </c>
      <c r="B589">
        <v>22.9</v>
      </c>
      <c r="C589" s="7">
        <v>46053.040277777778</v>
      </c>
      <c r="D589" s="7">
        <v>46053.99436527778</v>
      </c>
      <c r="E589" t="s">
        <v>23</v>
      </c>
      <c r="F589" t="s">
        <v>33</v>
      </c>
      <c r="G589" t="s">
        <v>41</v>
      </c>
      <c r="H589" t="s">
        <v>66</v>
      </c>
      <c r="I589" t="s">
        <v>27</v>
      </c>
      <c r="J589" t="s">
        <v>43</v>
      </c>
      <c r="K589" t="s">
        <v>52</v>
      </c>
      <c r="L589" t="s">
        <v>101</v>
      </c>
      <c r="M589">
        <v>206</v>
      </c>
      <c r="N589">
        <v>4</v>
      </c>
      <c r="O589">
        <v>0</v>
      </c>
      <c r="P589">
        <v>4</v>
      </c>
      <c r="Q589" t="s">
        <v>31</v>
      </c>
      <c r="R589">
        <v>240</v>
      </c>
      <c r="S589">
        <v>48</v>
      </c>
      <c r="T589" t="s">
        <v>63</v>
      </c>
      <c r="U589" t="s">
        <v>63</v>
      </c>
      <c r="V589">
        <v>2026</v>
      </c>
      <c r="W589">
        <v>1</v>
      </c>
      <c r="X589" t="s">
        <v>1414</v>
      </c>
      <c r="Y589" s="6">
        <v>46023</v>
      </c>
      <c r="Z589" t="s">
        <v>1413</v>
      </c>
      <c r="AA589" t="s">
        <v>31</v>
      </c>
      <c r="AB589" t="s">
        <v>63</v>
      </c>
      <c r="AC589" t="s">
        <v>23</v>
      </c>
      <c r="AD589">
        <v>1</v>
      </c>
      <c r="AE589">
        <v>0</v>
      </c>
      <c r="AF589">
        <v>1</v>
      </c>
      <c r="AG589">
        <v>0</v>
      </c>
      <c r="AH589">
        <v>0</v>
      </c>
      <c r="AI589">
        <v>1</v>
      </c>
      <c r="AJ589">
        <v>1</v>
      </c>
    </row>
    <row r="590" spans="1:36">
      <c r="A590" t="s">
        <v>731</v>
      </c>
      <c r="B590">
        <v>19.600000000000001</v>
      </c>
      <c r="C590" s="7">
        <v>46143.84652777778</v>
      </c>
      <c r="D590" s="7">
        <v>46144.663094756943</v>
      </c>
      <c r="E590" t="s">
        <v>23</v>
      </c>
      <c r="F590" t="s">
        <v>50</v>
      </c>
      <c r="G590" t="s">
        <v>41</v>
      </c>
      <c r="H590" t="s">
        <v>26</v>
      </c>
      <c r="I590" t="s">
        <v>42</v>
      </c>
      <c r="J590" t="s">
        <v>43</v>
      </c>
      <c r="K590" t="s">
        <v>52</v>
      </c>
      <c r="L590" t="s">
        <v>62</v>
      </c>
      <c r="M590">
        <v>102</v>
      </c>
      <c r="N590">
        <v>4</v>
      </c>
      <c r="O590">
        <v>0</v>
      </c>
      <c r="P590">
        <v>7</v>
      </c>
      <c r="Q590" t="s">
        <v>31</v>
      </c>
      <c r="R590">
        <v>120</v>
      </c>
      <c r="S590">
        <v>24</v>
      </c>
      <c r="T590" t="s">
        <v>63</v>
      </c>
      <c r="U590" t="s">
        <v>63</v>
      </c>
      <c r="V590">
        <v>2026</v>
      </c>
      <c r="W590">
        <v>5</v>
      </c>
      <c r="X590" t="s">
        <v>1416</v>
      </c>
      <c r="Y590" s="6">
        <v>46143</v>
      </c>
      <c r="Z590" t="s">
        <v>1413</v>
      </c>
      <c r="AA590" t="s">
        <v>31</v>
      </c>
      <c r="AB590" t="s">
        <v>63</v>
      </c>
      <c r="AC590" t="s">
        <v>23</v>
      </c>
      <c r="AD590">
        <v>1</v>
      </c>
      <c r="AE590">
        <v>0</v>
      </c>
      <c r="AF590">
        <v>1</v>
      </c>
      <c r="AG590">
        <v>0</v>
      </c>
      <c r="AH590">
        <v>0</v>
      </c>
      <c r="AI590">
        <v>1</v>
      </c>
      <c r="AJ590">
        <v>1</v>
      </c>
    </row>
    <row r="591" spans="1:36">
      <c r="A591" t="s">
        <v>732</v>
      </c>
      <c r="B591">
        <v>17.989999999999998</v>
      </c>
      <c r="C591" s="7">
        <v>46204.306944444441</v>
      </c>
      <c r="D591" s="7">
        <v>46205.056598298608</v>
      </c>
      <c r="E591" t="s">
        <v>23</v>
      </c>
      <c r="F591" t="s">
        <v>33</v>
      </c>
      <c r="G591" t="s">
        <v>65</v>
      </c>
      <c r="H591" t="s">
        <v>54</v>
      </c>
      <c r="I591" t="s">
        <v>35</v>
      </c>
      <c r="J591" t="s">
        <v>43</v>
      </c>
      <c r="K591" t="s">
        <v>52</v>
      </c>
      <c r="L591" t="s">
        <v>93</v>
      </c>
      <c r="M591">
        <v>240</v>
      </c>
      <c r="N591">
        <v>4</v>
      </c>
      <c r="O591">
        <v>0</v>
      </c>
      <c r="P591">
        <v>6</v>
      </c>
      <c r="Q591" t="s">
        <v>31</v>
      </c>
      <c r="R591">
        <v>240</v>
      </c>
      <c r="S591">
        <v>48</v>
      </c>
      <c r="T591" t="s">
        <v>63</v>
      </c>
      <c r="U591" t="s">
        <v>63</v>
      </c>
      <c r="V591">
        <v>2026</v>
      </c>
      <c r="W591">
        <v>7</v>
      </c>
      <c r="X591" t="s">
        <v>1422</v>
      </c>
      <c r="Y591" s="6">
        <v>46204</v>
      </c>
      <c r="Z591" t="s">
        <v>1413</v>
      </c>
      <c r="AA591" t="s">
        <v>31</v>
      </c>
      <c r="AB591" t="s">
        <v>63</v>
      </c>
      <c r="AC591" t="s">
        <v>23</v>
      </c>
      <c r="AD591">
        <v>1</v>
      </c>
      <c r="AE591">
        <v>0</v>
      </c>
      <c r="AF591">
        <v>1</v>
      </c>
      <c r="AG591">
        <v>0</v>
      </c>
      <c r="AH591">
        <v>0</v>
      </c>
      <c r="AI591">
        <v>1</v>
      </c>
      <c r="AJ591">
        <v>1</v>
      </c>
    </row>
    <row r="592" spans="1:36">
      <c r="A592" t="s">
        <v>733</v>
      </c>
      <c r="B592">
        <v>20.47</v>
      </c>
      <c r="C592" s="7">
        <v>46142.551388888889</v>
      </c>
      <c r="D592" s="7">
        <v>46143.404141898151</v>
      </c>
      <c r="E592" t="s">
        <v>23</v>
      </c>
      <c r="F592" t="s">
        <v>50</v>
      </c>
      <c r="G592" t="s">
        <v>51</v>
      </c>
      <c r="H592" t="s">
        <v>26</v>
      </c>
      <c r="I592" t="s">
        <v>42</v>
      </c>
      <c r="J592" t="s">
        <v>36</v>
      </c>
      <c r="K592" t="s">
        <v>52</v>
      </c>
      <c r="L592" t="s">
        <v>85</v>
      </c>
      <c r="M592">
        <v>45</v>
      </c>
      <c r="N592">
        <v>4</v>
      </c>
      <c r="O592">
        <v>0</v>
      </c>
      <c r="P592">
        <v>4</v>
      </c>
      <c r="Q592" t="s">
        <v>31</v>
      </c>
      <c r="R592">
        <v>120</v>
      </c>
      <c r="S592">
        <v>24</v>
      </c>
      <c r="T592" t="s">
        <v>63</v>
      </c>
      <c r="U592" t="s">
        <v>63</v>
      </c>
      <c r="V592">
        <v>2026</v>
      </c>
      <c r="W592">
        <v>4</v>
      </c>
      <c r="X592" t="s">
        <v>1412</v>
      </c>
      <c r="Y592" s="6">
        <v>46113</v>
      </c>
      <c r="Z592" t="s">
        <v>1413</v>
      </c>
      <c r="AA592" t="s">
        <v>31</v>
      </c>
      <c r="AB592" t="s">
        <v>63</v>
      </c>
      <c r="AC592" t="s">
        <v>23</v>
      </c>
      <c r="AD592">
        <v>1</v>
      </c>
      <c r="AE592">
        <v>0</v>
      </c>
      <c r="AF592">
        <v>1</v>
      </c>
      <c r="AG592">
        <v>0</v>
      </c>
      <c r="AH592">
        <v>0</v>
      </c>
      <c r="AI592">
        <v>1</v>
      </c>
      <c r="AJ592">
        <v>1</v>
      </c>
    </row>
    <row r="593" spans="1:36">
      <c r="A593" t="s">
        <v>734</v>
      </c>
      <c r="B593">
        <v>34.450000000000003</v>
      </c>
      <c r="C593" s="7">
        <v>46121.949305555558</v>
      </c>
      <c r="D593" s="7">
        <v>46123.384846226851</v>
      </c>
      <c r="E593" t="s">
        <v>23</v>
      </c>
      <c r="F593" t="s">
        <v>33</v>
      </c>
      <c r="G593" t="s">
        <v>25</v>
      </c>
      <c r="H593" t="s">
        <v>26</v>
      </c>
      <c r="I593" t="s">
        <v>35</v>
      </c>
      <c r="J593" t="s">
        <v>48</v>
      </c>
      <c r="K593" t="s">
        <v>52</v>
      </c>
      <c r="L593" t="s">
        <v>93</v>
      </c>
      <c r="M593">
        <v>150</v>
      </c>
      <c r="N593">
        <v>4</v>
      </c>
      <c r="O593">
        <v>0</v>
      </c>
      <c r="P593">
        <v>5</v>
      </c>
      <c r="Q593" t="s">
        <v>31</v>
      </c>
      <c r="R593">
        <v>240</v>
      </c>
      <c r="S593">
        <v>48</v>
      </c>
      <c r="T593" t="s">
        <v>63</v>
      </c>
      <c r="U593" t="s">
        <v>63</v>
      </c>
      <c r="V593">
        <v>2026</v>
      </c>
      <c r="W593">
        <v>4</v>
      </c>
      <c r="X593" t="s">
        <v>1412</v>
      </c>
      <c r="Y593" s="6">
        <v>46113</v>
      </c>
      <c r="Z593" t="s">
        <v>1413</v>
      </c>
      <c r="AA593" t="s">
        <v>31</v>
      </c>
      <c r="AB593" t="s">
        <v>63</v>
      </c>
      <c r="AC593" t="s">
        <v>23</v>
      </c>
      <c r="AD593">
        <v>1</v>
      </c>
      <c r="AE593">
        <v>0</v>
      </c>
      <c r="AF593">
        <v>1</v>
      </c>
      <c r="AG593">
        <v>0</v>
      </c>
      <c r="AH593">
        <v>0</v>
      </c>
      <c r="AI593">
        <v>1</v>
      </c>
      <c r="AJ593">
        <v>1</v>
      </c>
    </row>
    <row r="594" spans="1:36">
      <c r="A594" t="s">
        <v>735</v>
      </c>
      <c r="B594">
        <v>13.24</v>
      </c>
      <c r="C594" s="7">
        <v>46206.070833333331</v>
      </c>
      <c r="D594" s="7">
        <v>46206.622489398149</v>
      </c>
      <c r="E594" t="s">
        <v>23</v>
      </c>
      <c r="F594" t="s">
        <v>50</v>
      </c>
      <c r="G594" t="s">
        <v>41</v>
      </c>
      <c r="H594" t="s">
        <v>75</v>
      </c>
      <c r="I594" t="s">
        <v>42</v>
      </c>
      <c r="J594" t="s">
        <v>28</v>
      </c>
      <c r="K594" t="s">
        <v>52</v>
      </c>
      <c r="L594" t="s">
        <v>44</v>
      </c>
      <c r="M594">
        <v>242</v>
      </c>
      <c r="N594">
        <v>4</v>
      </c>
      <c r="O594">
        <v>1</v>
      </c>
      <c r="P594">
        <v>4</v>
      </c>
      <c r="Q594" t="s">
        <v>31</v>
      </c>
      <c r="R594">
        <v>120</v>
      </c>
      <c r="S594">
        <v>24</v>
      </c>
      <c r="T594" t="s">
        <v>31</v>
      </c>
      <c r="U594" t="s">
        <v>63</v>
      </c>
      <c r="V594">
        <v>2026</v>
      </c>
      <c r="W594">
        <v>7</v>
      </c>
      <c r="X594" t="s">
        <v>1422</v>
      </c>
      <c r="Y594" s="6">
        <v>46204</v>
      </c>
      <c r="Z594" t="s">
        <v>1413</v>
      </c>
      <c r="AA594" t="s">
        <v>63</v>
      </c>
      <c r="AB594" t="s">
        <v>63</v>
      </c>
      <c r="AC594" t="s">
        <v>23</v>
      </c>
      <c r="AD594">
        <v>1</v>
      </c>
      <c r="AE594">
        <v>0</v>
      </c>
      <c r="AF594">
        <v>1</v>
      </c>
      <c r="AG594">
        <v>1</v>
      </c>
      <c r="AH594">
        <v>0</v>
      </c>
      <c r="AI594">
        <v>0</v>
      </c>
      <c r="AJ594">
        <v>1</v>
      </c>
    </row>
    <row r="595" spans="1:36">
      <c r="A595" t="s">
        <v>736</v>
      </c>
      <c r="B595">
        <v>14.7</v>
      </c>
      <c r="C595" s="7">
        <v>46045.243750000001</v>
      </c>
      <c r="D595" s="7">
        <v>46045.856100254627</v>
      </c>
      <c r="E595" t="s">
        <v>23</v>
      </c>
      <c r="F595" t="s">
        <v>50</v>
      </c>
      <c r="G595" t="s">
        <v>51</v>
      </c>
      <c r="H595" t="s">
        <v>26</v>
      </c>
      <c r="I595" t="s">
        <v>42</v>
      </c>
      <c r="J595" t="s">
        <v>36</v>
      </c>
      <c r="K595" t="s">
        <v>52</v>
      </c>
      <c r="L595" t="s">
        <v>68</v>
      </c>
      <c r="M595">
        <v>155</v>
      </c>
      <c r="N595">
        <v>4</v>
      </c>
      <c r="O595">
        <v>0</v>
      </c>
      <c r="P595">
        <v>3</v>
      </c>
      <c r="Q595" t="s">
        <v>31</v>
      </c>
      <c r="R595">
        <v>120</v>
      </c>
      <c r="S595">
        <v>24</v>
      </c>
      <c r="T595" t="s">
        <v>31</v>
      </c>
      <c r="U595" t="s">
        <v>63</v>
      </c>
      <c r="V595">
        <v>2026</v>
      </c>
      <c r="W595">
        <v>1</v>
      </c>
      <c r="X595" t="s">
        <v>1414</v>
      </c>
      <c r="Y595" s="6">
        <v>46023</v>
      </c>
      <c r="Z595" t="s">
        <v>1413</v>
      </c>
      <c r="AA595" t="s">
        <v>31</v>
      </c>
      <c r="AB595" t="s">
        <v>63</v>
      </c>
      <c r="AC595" t="s">
        <v>23</v>
      </c>
      <c r="AD595">
        <v>1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1</v>
      </c>
    </row>
    <row r="596" spans="1:36">
      <c r="A596" t="s">
        <v>737</v>
      </c>
      <c r="B596">
        <v>9.52</v>
      </c>
      <c r="C596" s="7">
        <v>46170.740972222222</v>
      </c>
      <c r="D596" s="7">
        <v>46171.137714351855</v>
      </c>
      <c r="E596" t="s">
        <v>23</v>
      </c>
      <c r="F596" t="s">
        <v>40</v>
      </c>
      <c r="G596" t="s">
        <v>51</v>
      </c>
      <c r="H596" t="s">
        <v>75</v>
      </c>
      <c r="I596" t="s">
        <v>42</v>
      </c>
      <c r="J596" t="s">
        <v>43</v>
      </c>
      <c r="K596" t="s">
        <v>37</v>
      </c>
      <c r="L596" t="s">
        <v>30</v>
      </c>
      <c r="M596">
        <v>32</v>
      </c>
      <c r="N596">
        <v>4</v>
      </c>
      <c r="O596">
        <v>0</v>
      </c>
      <c r="P596">
        <v>5</v>
      </c>
      <c r="Q596" t="s">
        <v>31</v>
      </c>
      <c r="R596">
        <v>30</v>
      </c>
      <c r="S596">
        <v>8</v>
      </c>
      <c r="T596" t="s">
        <v>31</v>
      </c>
      <c r="U596" t="s">
        <v>31</v>
      </c>
      <c r="V596">
        <v>2026</v>
      </c>
      <c r="W596">
        <v>5</v>
      </c>
      <c r="X596" t="s">
        <v>1416</v>
      </c>
      <c r="Y596" s="6">
        <v>46143</v>
      </c>
      <c r="Z596" t="s">
        <v>1413</v>
      </c>
      <c r="AA596" t="s">
        <v>31</v>
      </c>
      <c r="AB596" t="s">
        <v>63</v>
      </c>
      <c r="AC596" t="s">
        <v>23</v>
      </c>
      <c r="AD596">
        <v>1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</row>
    <row r="597" spans="1:36">
      <c r="A597" t="s">
        <v>738</v>
      </c>
      <c r="B597">
        <v>38.880000000000003</v>
      </c>
      <c r="C597" s="7">
        <v>46190.666666666664</v>
      </c>
      <c r="D597" s="7">
        <v>46192.28661023148</v>
      </c>
      <c r="E597" t="s">
        <v>23</v>
      </c>
      <c r="F597" t="s">
        <v>33</v>
      </c>
      <c r="G597" t="s">
        <v>25</v>
      </c>
      <c r="H597" t="s">
        <v>66</v>
      </c>
      <c r="I597" t="s">
        <v>35</v>
      </c>
      <c r="J597" t="s">
        <v>28</v>
      </c>
      <c r="K597" t="s">
        <v>37</v>
      </c>
      <c r="L597" t="s">
        <v>85</v>
      </c>
      <c r="M597">
        <v>277</v>
      </c>
      <c r="N597">
        <v>3</v>
      </c>
      <c r="O597">
        <v>0</v>
      </c>
      <c r="P597">
        <v>4</v>
      </c>
      <c r="Q597" t="s">
        <v>31</v>
      </c>
      <c r="R597">
        <v>240</v>
      </c>
      <c r="S597">
        <v>48</v>
      </c>
      <c r="T597" t="s">
        <v>31</v>
      </c>
      <c r="U597" t="s">
        <v>63</v>
      </c>
      <c r="V597">
        <v>2026</v>
      </c>
      <c r="W597">
        <v>6</v>
      </c>
      <c r="X597" t="s">
        <v>1421</v>
      </c>
      <c r="Y597" s="6">
        <v>46174</v>
      </c>
      <c r="Z597" t="s">
        <v>1418</v>
      </c>
      <c r="AA597" t="s">
        <v>31</v>
      </c>
      <c r="AB597" t="s">
        <v>63</v>
      </c>
      <c r="AC597" t="s">
        <v>23</v>
      </c>
      <c r="AD597">
        <v>1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1</v>
      </c>
    </row>
    <row r="598" spans="1:36">
      <c r="A598" t="s">
        <v>739</v>
      </c>
      <c r="B598">
        <v>37.159999999999997</v>
      </c>
      <c r="C598" s="7">
        <v>46199.734722222223</v>
      </c>
      <c r="D598" s="7">
        <v>46201.283189097223</v>
      </c>
      <c r="E598" t="s">
        <v>23</v>
      </c>
      <c r="F598" t="s">
        <v>33</v>
      </c>
      <c r="G598" t="s">
        <v>51</v>
      </c>
      <c r="H598" t="s">
        <v>54</v>
      </c>
      <c r="I598" t="s">
        <v>27</v>
      </c>
      <c r="J598" t="s">
        <v>36</v>
      </c>
      <c r="K598" t="s">
        <v>37</v>
      </c>
      <c r="L598" t="s">
        <v>55</v>
      </c>
      <c r="M598">
        <v>352</v>
      </c>
      <c r="N598">
        <v>3</v>
      </c>
      <c r="O598">
        <v>0</v>
      </c>
      <c r="P598">
        <v>3</v>
      </c>
      <c r="Q598" t="s">
        <v>31</v>
      </c>
      <c r="R598">
        <v>240</v>
      </c>
      <c r="S598">
        <v>48</v>
      </c>
      <c r="T598" t="s">
        <v>31</v>
      </c>
      <c r="U598" t="s">
        <v>63</v>
      </c>
      <c r="V598">
        <v>2026</v>
      </c>
      <c r="W598">
        <v>6</v>
      </c>
      <c r="X598" t="s">
        <v>1421</v>
      </c>
      <c r="Y598" s="6">
        <v>46174</v>
      </c>
      <c r="Z598" t="s">
        <v>1418</v>
      </c>
      <c r="AA598" t="s">
        <v>31</v>
      </c>
      <c r="AB598" t="s">
        <v>63</v>
      </c>
      <c r="AC598" t="s">
        <v>23</v>
      </c>
      <c r="AD598">
        <v>1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1</v>
      </c>
    </row>
    <row r="599" spans="1:36">
      <c r="A599" t="s">
        <v>740</v>
      </c>
      <c r="B599">
        <v>40.020000000000003</v>
      </c>
      <c r="C599" s="7">
        <v>46167.523611111108</v>
      </c>
      <c r="D599" s="7">
        <v>46169.191146053243</v>
      </c>
      <c r="E599" t="s">
        <v>23</v>
      </c>
      <c r="F599" t="s">
        <v>50</v>
      </c>
      <c r="G599" t="s">
        <v>51</v>
      </c>
      <c r="H599" t="s">
        <v>54</v>
      </c>
      <c r="I599" t="s">
        <v>42</v>
      </c>
      <c r="J599" t="s">
        <v>36</v>
      </c>
      <c r="K599" t="s">
        <v>37</v>
      </c>
      <c r="L599" t="s">
        <v>71</v>
      </c>
      <c r="M599">
        <v>62</v>
      </c>
      <c r="N599">
        <v>4</v>
      </c>
      <c r="O599">
        <v>0</v>
      </c>
      <c r="P599">
        <v>4</v>
      </c>
      <c r="Q599" t="s">
        <v>31</v>
      </c>
      <c r="R599">
        <v>120</v>
      </c>
      <c r="S599">
        <v>24</v>
      </c>
      <c r="T599" t="s">
        <v>63</v>
      </c>
      <c r="U599" t="s">
        <v>31</v>
      </c>
      <c r="V599">
        <v>2026</v>
      </c>
      <c r="W599">
        <v>5</v>
      </c>
      <c r="X599" t="s">
        <v>1416</v>
      </c>
      <c r="Y599" s="6">
        <v>46143</v>
      </c>
      <c r="Z599" t="s">
        <v>1413</v>
      </c>
      <c r="AA599" t="s">
        <v>31</v>
      </c>
      <c r="AB599" t="s">
        <v>63</v>
      </c>
      <c r="AC599" t="s">
        <v>23</v>
      </c>
      <c r="AD599">
        <v>1</v>
      </c>
      <c r="AE599">
        <v>0</v>
      </c>
      <c r="AF599">
        <v>1</v>
      </c>
      <c r="AG599">
        <v>0</v>
      </c>
      <c r="AH599">
        <v>0</v>
      </c>
      <c r="AI599">
        <v>1</v>
      </c>
      <c r="AJ599">
        <v>0</v>
      </c>
    </row>
    <row r="600" spans="1:36">
      <c r="A600" t="s">
        <v>741</v>
      </c>
      <c r="B600">
        <v>22.53</v>
      </c>
      <c r="C600" s="7">
        <v>46034.795138888891</v>
      </c>
      <c r="D600" s="7">
        <v>46035.733878483799</v>
      </c>
      <c r="E600" t="s">
        <v>23</v>
      </c>
      <c r="F600" t="s">
        <v>50</v>
      </c>
      <c r="G600" t="s">
        <v>41</v>
      </c>
      <c r="H600" t="s">
        <v>54</v>
      </c>
      <c r="I600" t="s">
        <v>35</v>
      </c>
      <c r="J600" t="s">
        <v>28</v>
      </c>
      <c r="K600" t="s">
        <v>37</v>
      </c>
      <c r="L600" t="s">
        <v>101</v>
      </c>
      <c r="M600">
        <v>108</v>
      </c>
      <c r="N600">
        <v>4</v>
      </c>
      <c r="O600">
        <v>0</v>
      </c>
      <c r="P600">
        <v>3</v>
      </c>
      <c r="Q600" t="s">
        <v>31</v>
      </c>
      <c r="R600">
        <v>120</v>
      </c>
      <c r="S600">
        <v>24</v>
      </c>
      <c r="T600" t="s">
        <v>63</v>
      </c>
      <c r="U600" t="s">
        <v>63</v>
      </c>
      <c r="V600">
        <v>2026</v>
      </c>
      <c r="W600">
        <v>1</v>
      </c>
      <c r="X600" t="s">
        <v>1414</v>
      </c>
      <c r="Y600" s="6">
        <v>46023</v>
      </c>
      <c r="Z600" t="s">
        <v>1413</v>
      </c>
      <c r="AA600" t="s">
        <v>31</v>
      </c>
      <c r="AB600" t="s">
        <v>63</v>
      </c>
      <c r="AC600" t="s">
        <v>23</v>
      </c>
      <c r="AD600">
        <v>1</v>
      </c>
      <c r="AE600">
        <v>0</v>
      </c>
      <c r="AF600">
        <v>1</v>
      </c>
      <c r="AG600">
        <v>0</v>
      </c>
      <c r="AH600">
        <v>0</v>
      </c>
      <c r="AI600">
        <v>1</v>
      </c>
      <c r="AJ600">
        <v>1</v>
      </c>
    </row>
    <row r="601" spans="1:36">
      <c r="A601" t="s">
        <v>742</v>
      </c>
      <c r="B601">
        <v>7.63</v>
      </c>
      <c r="C601" s="7">
        <v>46086.579861111109</v>
      </c>
      <c r="D601" s="7">
        <v>46086.897857673612</v>
      </c>
      <c r="E601" t="s">
        <v>23</v>
      </c>
      <c r="F601" t="s">
        <v>40</v>
      </c>
      <c r="G601" t="s">
        <v>25</v>
      </c>
      <c r="H601" t="s">
        <v>34</v>
      </c>
      <c r="I601" t="s">
        <v>27</v>
      </c>
      <c r="J601" t="s">
        <v>28</v>
      </c>
      <c r="K601" t="s">
        <v>67</v>
      </c>
      <c r="L601" t="s">
        <v>71</v>
      </c>
      <c r="M601">
        <v>27</v>
      </c>
      <c r="N601">
        <v>4</v>
      </c>
      <c r="O601">
        <v>0</v>
      </c>
      <c r="P601">
        <v>6</v>
      </c>
      <c r="Q601" t="s">
        <v>31</v>
      </c>
      <c r="R601">
        <v>30</v>
      </c>
      <c r="S601">
        <v>8</v>
      </c>
      <c r="T601" t="s">
        <v>63</v>
      </c>
      <c r="U601" t="s">
        <v>63</v>
      </c>
      <c r="V601">
        <v>2026</v>
      </c>
      <c r="W601">
        <v>3</v>
      </c>
      <c r="X601" t="s">
        <v>1423</v>
      </c>
      <c r="Y601" s="6">
        <v>46082</v>
      </c>
      <c r="Z601" t="s">
        <v>1413</v>
      </c>
      <c r="AA601" t="s">
        <v>31</v>
      </c>
      <c r="AB601" t="s">
        <v>63</v>
      </c>
      <c r="AC601" t="s">
        <v>23</v>
      </c>
      <c r="AD601">
        <v>1</v>
      </c>
      <c r="AE601">
        <v>0</v>
      </c>
      <c r="AF601">
        <v>1</v>
      </c>
      <c r="AG601">
        <v>0</v>
      </c>
      <c r="AH601">
        <v>0</v>
      </c>
      <c r="AI601">
        <v>1</v>
      </c>
      <c r="AJ601">
        <v>1</v>
      </c>
    </row>
    <row r="602" spans="1:36">
      <c r="A602" t="s">
        <v>743</v>
      </c>
      <c r="B602">
        <v>78.77</v>
      </c>
      <c r="C602" s="7">
        <v>46065.936805555553</v>
      </c>
      <c r="D602" s="7">
        <v>46069.218773749999</v>
      </c>
      <c r="E602" t="s">
        <v>23</v>
      </c>
      <c r="F602" t="s">
        <v>33</v>
      </c>
      <c r="G602" t="s">
        <v>25</v>
      </c>
      <c r="H602" t="s">
        <v>66</v>
      </c>
      <c r="I602" t="s">
        <v>35</v>
      </c>
      <c r="J602" t="s">
        <v>43</v>
      </c>
      <c r="K602" t="s">
        <v>37</v>
      </c>
      <c r="L602" t="s">
        <v>101</v>
      </c>
      <c r="M602">
        <v>314</v>
      </c>
      <c r="N602">
        <v>3</v>
      </c>
      <c r="O602">
        <v>0</v>
      </c>
      <c r="P602">
        <v>5</v>
      </c>
      <c r="Q602" t="s">
        <v>31</v>
      </c>
      <c r="R602">
        <v>240</v>
      </c>
      <c r="S602">
        <v>48</v>
      </c>
      <c r="T602" t="s">
        <v>31</v>
      </c>
      <c r="U602" t="s">
        <v>31</v>
      </c>
      <c r="V602">
        <v>2026</v>
      </c>
      <c r="W602">
        <v>2</v>
      </c>
      <c r="X602" t="s">
        <v>1419</v>
      </c>
      <c r="Y602" s="6">
        <v>46054</v>
      </c>
      <c r="Z602" t="s">
        <v>1418</v>
      </c>
      <c r="AA602" t="s">
        <v>31</v>
      </c>
      <c r="AB602" t="s">
        <v>63</v>
      </c>
      <c r="AC602" t="s">
        <v>23</v>
      </c>
      <c r="AD602">
        <v>1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</row>
    <row r="603" spans="1:36">
      <c r="A603" t="s">
        <v>744</v>
      </c>
      <c r="B603">
        <v>2.71</v>
      </c>
      <c r="C603" s="7">
        <v>46060.876388888886</v>
      </c>
      <c r="D603" s="7">
        <v>46060.989148356479</v>
      </c>
      <c r="E603" t="s">
        <v>23</v>
      </c>
      <c r="F603" t="s">
        <v>24</v>
      </c>
      <c r="G603" t="s">
        <v>51</v>
      </c>
      <c r="H603" t="s">
        <v>54</v>
      </c>
      <c r="I603" t="s">
        <v>35</v>
      </c>
      <c r="J603" t="s">
        <v>36</v>
      </c>
      <c r="K603" t="s">
        <v>52</v>
      </c>
      <c r="L603" t="s">
        <v>55</v>
      </c>
      <c r="M603">
        <v>11</v>
      </c>
      <c r="N603">
        <v>4</v>
      </c>
      <c r="O603">
        <v>0</v>
      </c>
      <c r="P603">
        <v>6</v>
      </c>
      <c r="Q603" t="s">
        <v>31</v>
      </c>
      <c r="R603">
        <v>15</v>
      </c>
      <c r="S603">
        <v>4</v>
      </c>
      <c r="T603" t="s">
        <v>63</v>
      </c>
      <c r="U603" t="s">
        <v>63</v>
      </c>
      <c r="V603">
        <v>2026</v>
      </c>
      <c r="W603">
        <v>2</v>
      </c>
      <c r="X603" t="s">
        <v>1419</v>
      </c>
      <c r="Y603" s="6">
        <v>46054</v>
      </c>
      <c r="Z603" t="s">
        <v>1413</v>
      </c>
      <c r="AA603" t="s">
        <v>31</v>
      </c>
      <c r="AB603" t="s">
        <v>63</v>
      </c>
      <c r="AC603" t="s">
        <v>23</v>
      </c>
      <c r="AD603">
        <v>1</v>
      </c>
      <c r="AE603">
        <v>0</v>
      </c>
      <c r="AF603">
        <v>1</v>
      </c>
      <c r="AG603">
        <v>0</v>
      </c>
      <c r="AH603">
        <v>0</v>
      </c>
      <c r="AI603">
        <v>1</v>
      </c>
      <c r="AJ603">
        <v>1</v>
      </c>
    </row>
    <row r="604" spans="1:36">
      <c r="A604" t="s">
        <v>745</v>
      </c>
      <c r="B604">
        <v>17.73</v>
      </c>
      <c r="C604" s="7">
        <v>46186.359027777777</v>
      </c>
      <c r="D604" s="7">
        <v>46187.09769696759</v>
      </c>
      <c r="E604" t="s">
        <v>23</v>
      </c>
      <c r="F604" t="s">
        <v>50</v>
      </c>
      <c r="G604" t="s">
        <v>51</v>
      </c>
      <c r="H604" t="s">
        <v>26</v>
      </c>
      <c r="I604" t="s">
        <v>35</v>
      </c>
      <c r="J604" t="s">
        <v>36</v>
      </c>
      <c r="K604" t="s">
        <v>58</v>
      </c>
      <c r="L604" t="s">
        <v>38</v>
      </c>
      <c r="M604">
        <v>121</v>
      </c>
      <c r="N604">
        <v>4</v>
      </c>
      <c r="O604">
        <v>0</v>
      </c>
      <c r="P604">
        <v>4</v>
      </c>
      <c r="Q604" t="s">
        <v>31</v>
      </c>
      <c r="R604">
        <v>120</v>
      </c>
      <c r="S604">
        <v>24</v>
      </c>
      <c r="T604" t="s">
        <v>31</v>
      </c>
      <c r="U604" t="s">
        <v>63</v>
      </c>
      <c r="V604">
        <v>2026</v>
      </c>
      <c r="W604">
        <v>6</v>
      </c>
      <c r="X604" t="s">
        <v>1421</v>
      </c>
      <c r="Y604" s="6">
        <v>46174</v>
      </c>
      <c r="Z604" t="s">
        <v>1413</v>
      </c>
      <c r="AA604" t="s">
        <v>31</v>
      </c>
      <c r="AB604" t="s">
        <v>63</v>
      </c>
      <c r="AC604" t="s">
        <v>23</v>
      </c>
      <c r="AD604">
        <v>1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1</v>
      </c>
    </row>
    <row r="605" spans="1:36">
      <c r="A605" t="s">
        <v>746</v>
      </c>
      <c r="B605">
        <v>96.2</v>
      </c>
      <c r="C605" s="7">
        <v>46140.444444444445</v>
      </c>
      <c r="D605" s="7">
        <v>46144.452571087961</v>
      </c>
      <c r="E605" t="s">
        <v>23</v>
      </c>
      <c r="F605" t="s">
        <v>50</v>
      </c>
      <c r="G605" t="s">
        <v>25</v>
      </c>
      <c r="H605" t="s">
        <v>54</v>
      </c>
      <c r="I605" t="s">
        <v>27</v>
      </c>
      <c r="J605" t="s">
        <v>36</v>
      </c>
      <c r="K605" t="s">
        <v>37</v>
      </c>
      <c r="L605" t="s">
        <v>68</v>
      </c>
      <c r="M605">
        <v>53</v>
      </c>
      <c r="N605">
        <v>4</v>
      </c>
      <c r="O605">
        <v>0</v>
      </c>
      <c r="P605">
        <v>2</v>
      </c>
      <c r="Q605" t="s">
        <v>31</v>
      </c>
      <c r="R605">
        <v>120</v>
      </c>
      <c r="S605">
        <v>24</v>
      </c>
      <c r="T605" t="s">
        <v>63</v>
      </c>
      <c r="U605" t="s">
        <v>31</v>
      </c>
      <c r="V605">
        <v>2026</v>
      </c>
      <c r="W605">
        <v>4</v>
      </c>
      <c r="X605" t="s">
        <v>1412</v>
      </c>
      <c r="Y605" s="6">
        <v>46113</v>
      </c>
      <c r="Z605" t="s">
        <v>1413</v>
      </c>
      <c r="AA605" t="s">
        <v>31</v>
      </c>
      <c r="AB605" t="s">
        <v>63</v>
      </c>
      <c r="AC605" t="s">
        <v>23</v>
      </c>
      <c r="AD605">
        <v>1</v>
      </c>
      <c r="AE605">
        <v>0</v>
      </c>
      <c r="AF605">
        <v>1</v>
      </c>
      <c r="AG605">
        <v>0</v>
      </c>
      <c r="AH605">
        <v>0</v>
      </c>
      <c r="AI605">
        <v>1</v>
      </c>
      <c r="AJ605">
        <v>0</v>
      </c>
    </row>
    <row r="606" spans="1:36">
      <c r="A606" t="s">
        <v>747</v>
      </c>
      <c r="B606">
        <v>25.72</v>
      </c>
      <c r="C606" s="7">
        <v>46234.087500000001</v>
      </c>
      <c r="D606" s="7">
        <v>46235.159304849534</v>
      </c>
      <c r="E606" t="s">
        <v>23</v>
      </c>
      <c r="F606" t="s">
        <v>50</v>
      </c>
      <c r="G606" t="s">
        <v>25</v>
      </c>
      <c r="H606" t="s">
        <v>34</v>
      </c>
      <c r="I606" t="s">
        <v>42</v>
      </c>
      <c r="J606" t="s">
        <v>43</v>
      </c>
      <c r="K606" t="s">
        <v>76</v>
      </c>
      <c r="L606" t="s">
        <v>30</v>
      </c>
      <c r="M606">
        <v>40</v>
      </c>
      <c r="N606">
        <v>4</v>
      </c>
      <c r="O606">
        <v>0</v>
      </c>
      <c r="P606">
        <v>7</v>
      </c>
      <c r="Q606" t="s">
        <v>31</v>
      </c>
      <c r="R606">
        <v>120</v>
      </c>
      <c r="S606">
        <v>24</v>
      </c>
      <c r="T606" t="s">
        <v>63</v>
      </c>
      <c r="U606" t="s">
        <v>31</v>
      </c>
      <c r="V606">
        <v>2026</v>
      </c>
      <c r="W606">
        <v>7</v>
      </c>
      <c r="X606" t="s">
        <v>1422</v>
      </c>
      <c r="Y606" s="6">
        <v>46204</v>
      </c>
      <c r="Z606" t="s">
        <v>1413</v>
      </c>
      <c r="AA606" t="s">
        <v>31</v>
      </c>
      <c r="AB606" t="s">
        <v>63</v>
      </c>
      <c r="AC606" t="s">
        <v>23</v>
      </c>
      <c r="AD606">
        <v>1</v>
      </c>
      <c r="AE606">
        <v>0</v>
      </c>
      <c r="AF606">
        <v>1</v>
      </c>
      <c r="AG606">
        <v>0</v>
      </c>
      <c r="AH606">
        <v>0</v>
      </c>
      <c r="AI606">
        <v>1</v>
      </c>
      <c r="AJ606">
        <v>0</v>
      </c>
    </row>
    <row r="607" spans="1:36">
      <c r="A607" t="s">
        <v>748</v>
      </c>
      <c r="B607">
        <v>8</v>
      </c>
      <c r="C607" s="7">
        <v>46213.015277777777</v>
      </c>
      <c r="D607" s="7">
        <v>46213.348498263891</v>
      </c>
      <c r="E607" t="s">
        <v>23</v>
      </c>
      <c r="F607" t="s">
        <v>40</v>
      </c>
      <c r="G607" t="s">
        <v>41</v>
      </c>
      <c r="H607" t="s">
        <v>66</v>
      </c>
      <c r="I607" t="s">
        <v>35</v>
      </c>
      <c r="J607" t="s">
        <v>36</v>
      </c>
      <c r="K607" t="s">
        <v>76</v>
      </c>
      <c r="L607" t="s">
        <v>71</v>
      </c>
      <c r="M607">
        <v>46</v>
      </c>
      <c r="N607">
        <v>4</v>
      </c>
      <c r="O607">
        <v>1</v>
      </c>
      <c r="P607">
        <v>5</v>
      </c>
      <c r="Q607" t="s">
        <v>31</v>
      </c>
      <c r="R607">
        <v>30</v>
      </c>
      <c r="S607">
        <v>8</v>
      </c>
      <c r="T607" t="s">
        <v>31</v>
      </c>
      <c r="U607" t="s">
        <v>63</v>
      </c>
      <c r="V607">
        <v>2026</v>
      </c>
      <c r="W607">
        <v>7</v>
      </c>
      <c r="X607" t="s">
        <v>1422</v>
      </c>
      <c r="Y607" s="6">
        <v>46204</v>
      </c>
      <c r="Z607" t="s">
        <v>1413</v>
      </c>
      <c r="AA607" t="s">
        <v>63</v>
      </c>
      <c r="AB607" t="s">
        <v>63</v>
      </c>
      <c r="AC607" t="s">
        <v>23</v>
      </c>
      <c r="AD607">
        <v>1</v>
      </c>
      <c r="AE607">
        <v>0</v>
      </c>
      <c r="AF607">
        <v>1</v>
      </c>
      <c r="AG607">
        <v>1</v>
      </c>
      <c r="AH607">
        <v>0</v>
      </c>
      <c r="AI607">
        <v>0</v>
      </c>
      <c r="AJ607">
        <v>1</v>
      </c>
    </row>
    <row r="608" spans="1:36">
      <c r="A608" t="s">
        <v>749</v>
      </c>
      <c r="B608">
        <v>41.48</v>
      </c>
      <c r="C608" s="7">
        <v>46205.53125</v>
      </c>
      <c r="D608" s="7">
        <v>46207.259512812503</v>
      </c>
      <c r="E608" t="s">
        <v>23</v>
      </c>
      <c r="F608" t="s">
        <v>50</v>
      </c>
      <c r="G608" t="s">
        <v>25</v>
      </c>
      <c r="H608" t="s">
        <v>34</v>
      </c>
      <c r="I608" t="s">
        <v>35</v>
      </c>
      <c r="J608" t="s">
        <v>36</v>
      </c>
      <c r="K608" t="s">
        <v>76</v>
      </c>
      <c r="L608" t="s">
        <v>85</v>
      </c>
      <c r="M608">
        <v>91</v>
      </c>
      <c r="N608">
        <v>4</v>
      </c>
      <c r="O608">
        <v>0</v>
      </c>
      <c r="P608">
        <v>3</v>
      </c>
      <c r="Q608" t="s">
        <v>31</v>
      </c>
      <c r="R608">
        <v>120</v>
      </c>
      <c r="S608">
        <v>24</v>
      </c>
      <c r="T608" t="s">
        <v>63</v>
      </c>
      <c r="U608" t="s">
        <v>31</v>
      </c>
      <c r="V608">
        <v>2026</v>
      </c>
      <c r="W608">
        <v>7</v>
      </c>
      <c r="X608" t="s">
        <v>1422</v>
      </c>
      <c r="Y608" s="6">
        <v>46204</v>
      </c>
      <c r="Z608" t="s">
        <v>1413</v>
      </c>
      <c r="AA608" t="s">
        <v>31</v>
      </c>
      <c r="AB608" t="s">
        <v>63</v>
      </c>
      <c r="AC608" t="s">
        <v>23</v>
      </c>
      <c r="AD608">
        <v>1</v>
      </c>
      <c r="AE608">
        <v>0</v>
      </c>
      <c r="AF608">
        <v>1</v>
      </c>
      <c r="AG608">
        <v>0</v>
      </c>
      <c r="AH608">
        <v>0</v>
      </c>
      <c r="AI608">
        <v>1</v>
      </c>
      <c r="AJ608">
        <v>0</v>
      </c>
    </row>
    <row r="609" spans="1:36">
      <c r="A609" t="s">
        <v>750</v>
      </c>
      <c r="B609">
        <v>27.63</v>
      </c>
      <c r="C609" s="7">
        <v>46199.48333333333</v>
      </c>
      <c r="D609" s="7">
        <v>46200.634486319446</v>
      </c>
      <c r="E609" t="s">
        <v>23</v>
      </c>
      <c r="F609" t="s">
        <v>33</v>
      </c>
      <c r="G609" t="s">
        <v>51</v>
      </c>
      <c r="H609" t="s">
        <v>26</v>
      </c>
      <c r="I609" t="s">
        <v>42</v>
      </c>
      <c r="J609" t="s">
        <v>43</v>
      </c>
      <c r="K609" t="s">
        <v>52</v>
      </c>
      <c r="L609" t="s">
        <v>62</v>
      </c>
      <c r="M609">
        <v>143</v>
      </c>
      <c r="N609">
        <v>4</v>
      </c>
      <c r="O609">
        <v>0</v>
      </c>
      <c r="P609">
        <v>7</v>
      </c>
      <c r="Q609" t="s">
        <v>31</v>
      </c>
      <c r="R609">
        <v>240</v>
      </c>
      <c r="S609">
        <v>48</v>
      </c>
      <c r="T609" t="s">
        <v>63</v>
      </c>
      <c r="U609" t="s">
        <v>63</v>
      </c>
      <c r="V609">
        <v>2026</v>
      </c>
      <c r="W609">
        <v>6</v>
      </c>
      <c r="X609" t="s">
        <v>1421</v>
      </c>
      <c r="Y609" s="6">
        <v>46174</v>
      </c>
      <c r="Z609" t="s">
        <v>1413</v>
      </c>
      <c r="AA609" t="s">
        <v>31</v>
      </c>
      <c r="AB609" t="s">
        <v>63</v>
      </c>
      <c r="AC609" t="s">
        <v>23</v>
      </c>
      <c r="AD609">
        <v>1</v>
      </c>
      <c r="AE609">
        <v>0</v>
      </c>
      <c r="AF609">
        <v>1</v>
      </c>
      <c r="AG609">
        <v>0</v>
      </c>
      <c r="AH609">
        <v>0</v>
      </c>
      <c r="AI609">
        <v>1</v>
      </c>
      <c r="AJ609">
        <v>1</v>
      </c>
    </row>
    <row r="610" spans="1:36">
      <c r="A610" t="s">
        <v>751</v>
      </c>
      <c r="B610">
        <v>6.94</v>
      </c>
      <c r="C610" s="7">
        <v>46134.078472222223</v>
      </c>
      <c r="D610" s="7">
        <v>46134.367720520837</v>
      </c>
      <c r="E610" t="s">
        <v>23</v>
      </c>
      <c r="F610" t="s">
        <v>50</v>
      </c>
      <c r="G610" t="s">
        <v>51</v>
      </c>
      <c r="H610" t="s">
        <v>26</v>
      </c>
      <c r="I610" t="s">
        <v>42</v>
      </c>
      <c r="J610" t="s">
        <v>43</v>
      </c>
      <c r="K610" t="s">
        <v>52</v>
      </c>
      <c r="L610" t="s">
        <v>101</v>
      </c>
      <c r="M610">
        <v>58</v>
      </c>
      <c r="N610">
        <v>4</v>
      </c>
      <c r="O610">
        <v>0</v>
      </c>
      <c r="P610">
        <v>7</v>
      </c>
      <c r="Q610" t="s">
        <v>31</v>
      </c>
      <c r="R610">
        <v>120</v>
      </c>
      <c r="S610">
        <v>24</v>
      </c>
      <c r="T610" t="s">
        <v>63</v>
      </c>
      <c r="U610" t="s">
        <v>63</v>
      </c>
      <c r="V610">
        <v>2026</v>
      </c>
      <c r="W610">
        <v>4</v>
      </c>
      <c r="X610" t="s">
        <v>1412</v>
      </c>
      <c r="Y610" s="6">
        <v>46113</v>
      </c>
      <c r="Z610" t="s">
        <v>1413</v>
      </c>
      <c r="AA610" t="s">
        <v>31</v>
      </c>
      <c r="AB610" t="s">
        <v>63</v>
      </c>
      <c r="AC610" t="s">
        <v>23</v>
      </c>
      <c r="AD610">
        <v>1</v>
      </c>
      <c r="AE610">
        <v>0</v>
      </c>
      <c r="AF610">
        <v>1</v>
      </c>
      <c r="AG610">
        <v>0</v>
      </c>
      <c r="AH610">
        <v>0</v>
      </c>
      <c r="AI610">
        <v>1</v>
      </c>
      <c r="AJ610">
        <v>1</v>
      </c>
    </row>
    <row r="611" spans="1:36">
      <c r="A611" t="s">
        <v>752</v>
      </c>
      <c r="B611">
        <v>4.16</v>
      </c>
      <c r="C611" s="7">
        <v>46025.548611111109</v>
      </c>
      <c r="D611" s="7">
        <v>46025.721944212964</v>
      </c>
      <c r="E611" t="s">
        <v>23</v>
      </c>
      <c r="F611" t="s">
        <v>24</v>
      </c>
      <c r="G611" t="s">
        <v>41</v>
      </c>
      <c r="H611" t="s">
        <v>34</v>
      </c>
      <c r="I611" t="s">
        <v>42</v>
      </c>
      <c r="J611" t="s">
        <v>43</v>
      </c>
      <c r="K611" t="s">
        <v>37</v>
      </c>
      <c r="L611" t="s">
        <v>38</v>
      </c>
      <c r="M611">
        <v>23</v>
      </c>
      <c r="N611">
        <v>5</v>
      </c>
      <c r="O611">
        <v>0</v>
      </c>
      <c r="P611">
        <v>4</v>
      </c>
      <c r="Q611" t="s">
        <v>31</v>
      </c>
      <c r="R611">
        <v>15</v>
      </c>
      <c r="S611">
        <v>4</v>
      </c>
      <c r="T611" t="s">
        <v>31</v>
      </c>
      <c r="U611" t="s">
        <v>31</v>
      </c>
      <c r="V611">
        <v>2026</v>
      </c>
      <c r="W611">
        <v>1</v>
      </c>
      <c r="X611" t="s">
        <v>1414</v>
      </c>
      <c r="Y611" s="6">
        <v>46023</v>
      </c>
      <c r="Z611" t="s">
        <v>1413</v>
      </c>
      <c r="AA611" t="s">
        <v>31</v>
      </c>
      <c r="AB611" t="s">
        <v>63</v>
      </c>
      <c r="AC611" t="s">
        <v>23</v>
      </c>
      <c r="AD611">
        <v>1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</row>
    <row r="612" spans="1:36">
      <c r="A612" t="s">
        <v>753</v>
      </c>
      <c r="B612">
        <v>3.29</v>
      </c>
      <c r="C612" s="7">
        <v>46134.21875</v>
      </c>
      <c r="D612" s="7">
        <v>46134.355858171293</v>
      </c>
      <c r="E612" t="s">
        <v>23</v>
      </c>
      <c r="F612" t="s">
        <v>40</v>
      </c>
      <c r="G612" t="s">
        <v>51</v>
      </c>
      <c r="H612" t="s">
        <v>26</v>
      </c>
      <c r="I612" t="s">
        <v>42</v>
      </c>
      <c r="J612" t="s">
        <v>28</v>
      </c>
      <c r="K612" t="s">
        <v>52</v>
      </c>
      <c r="L612" t="s">
        <v>30</v>
      </c>
      <c r="M612">
        <v>24</v>
      </c>
      <c r="N612">
        <v>4</v>
      </c>
      <c r="O612">
        <v>0</v>
      </c>
      <c r="P612">
        <v>5</v>
      </c>
      <c r="Q612" t="s">
        <v>31</v>
      </c>
      <c r="R612">
        <v>30</v>
      </c>
      <c r="S612">
        <v>8</v>
      </c>
      <c r="T612" t="s">
        <v>63</v>
      </c>
      <c r="U612" t="s">
        <v>63</v>
      </c>
      <c r="V612">
        <v>2026</v>
      </c>
      <c r="W612">
        <v>4</v>
      </c>
      <c r="X612" t="s">
        <v>1412</v>
      </c>
      <c r="Y612" s="6">
        <v>46113</v>
      </c>
      <c r="Z612" t="s">
        <v>1413</v>
      </c>
      <c r="AA612" t="s">
        <v>31</v>
      </c>
      <c r="AB612" t="s">
        <v>63</v>
      </c>
      <c r="AC612" t="s">
        <v>23</v>
      </c>
      <c r="AD612">
        <v>1</v>
      </c>
      <c r="AE612">
        <v>0</v>
      </c>
      <c r="AF612">
        <v>1</v>
      </c>
      <c r="AG612">
        <v>0</v>
      </c>
      <c r="AH612">
        <v>0</v>
      </c>
      <c r="AI612">
        <v>1</v>
      </c>
      <c r="AJ612">
        <v>1</v>
      </c>
    </row>
    <row r="613" spans="1:36">
      <c r="A613" t="s">
        <v>754</v>
      </c>
      <c r="B613">
        <v>13.56</v>
      </c>
      <c r="C613" s="7">
        <v>46179.40347222222</v>
      </c>
      <c r="D613" s="7">
        <v>46179.968676435186</v>
      </c>
      <c r="E613" t="s">
        <v>23</v>
      </c>
      <c r="F613" t="s">
        <v>50</v>
      </c>
      <c r="G613" t="s">
        <v>25</v>
      </c>
      <c r="H613" t="s">
        <v>66</v>
      </c>
      <c r="I613" t="s">
        <v>35</v>
      </c>
      <c r="J613" t="s">
        <v>28</v>
      </c>
      <c r="K613" t="s">
        <v>52</v>
      </c>
      <c r="L613" t="s">
        <v>30</v>
      </c>
      <c r="M613">
        <v>198</v>
      </c>
      <c r="N613">
        <v>4</v>
      </c>
      <c r="O613">
        <v>0</v>
      </c>
      <c r="P613">
        <v>2</v>
      </c>
      <c r="Q613" t="s">
        <v>31</v>
      </c>
      <c r="R613">
        <v>120</v>
      </c>
      <c r="S613">
        <v>24</v>
      </c>
      <c r="T613" t="s">
        <v>31</v>
      </c>
      <c r="U613" t="s">
        <v>63</v>
      </c>
      <c r="V613">
        <v>2026</v>
      </c>
      <c r="W613">
        <v>6</v>
      </c>
      <c r="X613" t="s">
        <v>1421</v>
      </c>
      <c r="Y613" s="6">
        <v>46174</v>
      </c>
      <c r="Z613" t="s">
        <v>1413</v>
      </c>
      <c r="AA613" t="s">
        <v>31</v>
      </c>
      <c r="AB613" t="s">
        <v>63</v>
      </c>
      <c r="AC613" t="s">
        <v>23</v>
      </c>
      <c r="AD613">
        <v>1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1</v>
      </c>
    </row>
    <row r="614" spans="1:36">
      <c r="A614" t="s">
        <v>755</v>
      </c>
      <c r="B614">
        <v>14.34</v>
      </c>
      <c r="C614" s="7">
        <v>46082.931250000001</v>
      </c>
      <c r="D614" s="7">
        <v>46083.528634745373</v>
      </c>
      <c r="E614" t="s">
        <v>23</v>
      </c>
      <c r="F614" t="s">
        <v>50</v>
      </c>
      <c r="G614" t="s">
        <v>25</v>
      </c>
      <c r="H614" t="s">
        <v>26</v>
      </c>
      <c r="I614" t="s">
        <v>42</v>
      </c>
      <c r="J614" t="s">
        <v>48</v>
      </c>
      <c r="K614" t="s">
        <v>76</v>
      </c>
      <c r="L614" t="s">
        <v>30</v>
      </c>
      <c r="M614">
        <v>102</v>
      </c>
      <c r="N614">
        <v>4</v>
      </c>
      <c r="O614">
        <v>0</v>
      </c>
      <c r="P614">
        <v>2</v>
      </c>
      <c r="Q614" t="s">
        <v>31</v>
      </c>
      <c r="R614">
        <v>120</v>
      </c>
      <c r="S614">
        <v>24</v>
      </c>
      <c r="T614" t="s">
        <v>63</v>
      </c>
      <c r="U614" t="s">
        <v>63</v>
      </c>
      <c r="V614">
        <v>2026</v>
      </c>
      <c r="W614">
        <v>3</v>
      </c>
      <c r="X614" t="s">
        <v>1423</v>
      </c>
      <c r="Y614" s="6">
        <v>46082</v>
      </c>
      <c r="Z614" t="s">
        <v>1413</v>
      </c>
      <c r="AA614" t="s">
        <v>31</v>
      </c>
      <c r="AB614" t="s">
        <v>63</v>
      </c>
      <c r="AC614" t="s">
        <v>23</v>
      </c>
      <c r="AD614">
        <v>1</v>
      </c>
      <c r="AE614">
        <v>0</v>
      </c>
      <c r="AF614">
        <v>1</v>
      </c>
      <c r="AG614">
        <v>0</v>
      </c>
      <c r="AH614">
        <v>0</v>
      </c>
      <c r="AI614">
        <v>1</v>
      </c>
      <c r="AJ614">
        <v>1</v>
      </c>
    </row>
    <row r="615" spans="1:36">
      <c r="A615" t="s">
        <v>756</v>
      </c>
      <c r="B615">
        <v>49.83</v>
      </c>
      <c r="C615" s="7">
        <v>46025.738194444442</v>
      </c>
      <c r="D615" s="7">
        <v>46027.814496192128</v>
      </c>
      <c r="E615" t="s">
        <v>23</v>
      </c>
      <c r="F615" t="s">
        <v>50</v>
      </c>
      <c r="G615" t="s">
        <v>51</v>
      </c>
      <c r="H615" t="s">
        <v>75</v>
      </c>
      <c r="I615" t="s">
        <v>42</v>
      </c>
      <c r="J615" t="s">
        <v>43</v>
      </c>
      <c r="K615" t="s">
        <v>58</v>
      </c>
      <c r="L615" t="s">
        <v>101</v>
      </c>
      <c r="M615">
        <v>75</v>
      </c>
      <c r="N615">
        <v>4</v>
      </c>
      <c r="O615">
        <v>0</v>
      </c>
      <c r="P615">
        <v>7</v>
      </c>
      <c r="Q615" t="s">
        <v>31</v>
      </c>
      <c r="R615">
        <v>120</v>
      </c>
      <c r="S615">
        <v>24</v>
      </c>
      <c r="T615" t="s">
        <v>63</v>
      </c>
      <c r="U615" t="s">
        <v>31</v>
      </c>
      <c r="V615">
        <v>2026</v>
      </c>
      <c r="W615">
        <v>1</v>
      </c>
      <c r="X615" t="s">
        <v>1414</v>
      </c>
      <c r="Y615" s="6">
        <v>46023</v>
      </c>
      <c r="Z615" t="s">
        <v>1413</v>
      </c>
      <c r="AA615" t="s">
        <v>31</v>
      </c>
      <c r="AB615" t="s">
        <v>63</v>
      </c>
      <c r="AC615" t="s">
        <v>23</v>
      </c>
      <c r="AD615">
        <v>1</v>
      </c>
      <c r="AE615">
        <v>0</v>
      </c>
      <c r="AF615">
        <v>1</v>
      </c>
      <c r="AG615">
        <v>0</v>
      </c>
      <c r="AH615">
        <v>0</v>
      </c>
      <c r="AI615">
        <v>1</v>
      </c>
      <c r="AJ615">
        <v>0</v>
      </c>
    </row>
    <row r="616" spans="1:36">
      <c r="A616" t="s">
        <v>757</v>
      </c>
      <c r="B616">
        <v>75.37</v>
      </c>
      <c r="C616" s="7">
        <v>46259.464583333334</v>
      </c>
      <c r="D616" s="7">
        <v>46262.604849317133</v>
      </c>
      <c r="E616" t="s">
        <v>23</v>
      </c>
      <c r="F616" t="s">
        <v>33</v>
      </c>
      <c r="G616" t="s">
        <v>25</v>
      </c>
      <c r="H616" t="s">
        <v>54</v>
      </c>
      <c r="I616" t="s">
        <v>35</v>
      </c>
      <c r="J616" t="s">
        <v>36</v>
      </c>
      <c r="K616" t="s">
        <v>37</v>
      </c>
      <c r="L616" t="s">
        <v>62</v>
      </c>
      <c r="M616">
        <v>150</v>
      </c>
      <c r="N616">
        <v>4</v>
      </c>
      <c r="O616">
        <v>0</v>
      </c>
      <c r="P616">
        <v>3</v>
      </c>
      <c r="Q616" t="s">
        <v>31</v>
      </c>
      <c r="R616">
        <v>240</v>
      </c>
      <c r="S616">
        <v>48</v>
      </c>
      <c r="T616" t="s">
        <v>63</v>
      </c>
      <c r="U616" t="s">
        <v>31</v>
      </c>
      <c r="V616">
        <v>2026</v>
      </c>
      <c r="W616">
        <v>8</v>
      </c>
      <c r="X616" t="s">
        <v>1417</v>
      </c>
      <c r="Y616" s="6">
        <v>46235</v>
      </c>
      <c r="Z616" t="s">
        <v>1413</v>
      </c>
      <c r="AA616" t="s">
        <v>31</v>
      </c>
      <c r="AB616" t="s">
        <v>63</v>
      </c>
      <c r="AC616" t="s">
        <v>23</v>
      </c>
      <c r="AD616">
        <v>1</v>
      </c>
      <c r="AE616">
        <v>0</v>
      </c>
      <c r="AF616">
        <v>1</v>
      </c>
      <c r="AG616">
        <v>0</v>
      </c>
      <c r="AH616">
        <v>0</v>
      </c>
      <c r="AI616">
        <v>1</v>
      </c>
      <c r="AJ616">
        <v>0</v>
      </c>
    </row>
    <row r="617" spans="1:36">
      <c r="A617" t="s">
        <v>758</v>
      </c>
      <c r="B617">
        <v>23.55</v>
      </c>
      <c r="C617" s="7">
        <v>46229.15625</v>
      </c>
      <c r="D617" s="7">
        <v>46230.137584826392</v>
      </c>
      <c r="E617" t="s">
        <v>23</v>
      </c>
      <c r="F617" t="s">
        <v>40</v>
      </c>
      <c r="G617" t="s">
        <v>25</v>
      </c>
      <c r="H617" t="s">
        <v>66</v>
      </c>
      <c r="I617" t="s">
        <v>35</v>
      </c>
      <c r="J617" t="s">
        <v>43</v>
      </c>
      <c r="K617" t="s">
        <v>76</v>
      </c>
      <c r="L617" t="s">
        <v>68</v>
      </c>
      <c r="M617">
        <v>56</v>
      </c>
      <c r="N617">
        <v>4</v>
      </c>
      <c r="O617">
        <v>0</v>
      </c>
      <c r="P617">
        <v>4</v>
      </c>
      <c r="Q617" t="s">
        <v>31</v>
      </c>
      <c r="R617">
        <v>30</v>
      </c>
      <c r="S617">
        <v>8</v>
      </c>
      <c r="T617" t="s">
        <v>31</v>
      </c>
      <c r="U617" t="s">
        <v>31</v>
      </c>
      <c r="V617">
        <v>2026</v>
      </c>
      <c r="W617">
        <v>7</v>
      </c>
      <c r="X617" t="s">
        <v>1422</v>
      </c>
      <c r="Y617" s="6">
        <v>46204</v>
      </c>
      <c r="Z617" t="s">
        <v>1413</v>
      </c>
      <c r="AA617" t="s">
        <v>31</v>
      </c>
      <c r="AB617" t="s">
        <v>63</v>
      </c>
      <c r="AC617" t="s">
        <v>23</v>
      </c>
      <c r="AD617">
        <v>1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</row>
    <row r="618" spans="1:36">
      <c r="A618" t="s">
        <v>759</v>
      </c>
      <c r="B618">
        <v>73.56</v>
      </c>
      <c r="C618" s="7">
        <v>46076.672222222223</v>
      </c>
      <c r="D618" s="7">
        <v>46079.737041493056</v>
      </c>
      <c r="E618" t="s">
        <v>23</v>
      </c>
      <c r="F618" t="s">
        <v>33</v>
      </c>
      <c r="G618" t="s">
        <v>51</v>
      </c>
      <c r="H618" t="s">
        <v>34</v>
      </c>
      <c r="I618" t="s">
        <v>35</v>
      </c>
      <c r="J618" t="s">
        <v>43</v>
      </c>
      <c r="K618" t="s">
        <v>58</v>
      </c>
      <c r="L618" t="s">
        <v>38</v>
      </c>
      <c r="M618">
        <v>304</v>
      </c>
      <c r="N618">
        <v>3</v>
      </c>
      <c r="O618">
        <v>0</v>
      </c>
      <c r="P618">
        <v>3</v>
      </c>
      <c r="Q618" t="s">
        <v>31</v>
      </c>
      <c r="R618">
        <v>240</v>
      </c>
      <c r="S618">
        <v>48</v>
      </c>
      <c r="T618" t="s">
        <v>31</v>
      </c>
      <c r="U618" t="s">
        <v>31</v>
      </c>
      <c r="V618">
        <v>2026</v>
      </c>
      <c r="W618">
        <v>2</v>
      </c>
      <c r="X618" t="s">
        <v>1419</v>
      </c>
      <c r="Y618" s="6">
        <v>46054</v>
      </c>
      <c r="Z618" t="s">
        <v>1418</v>
      </c>
      <c r="AA618" t="s">
        <v>31</v>
      </c>
      <c r="AB618" t="s">
        <v>63</v>
      </c>
      <c r="AC618" t="s">
        <v>23</v>
      </c>
      <c r="AD618">
        <v>1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0</v>
      </c>
    </row>
    <row r="619" spans="1:36">
      <c r="A619" t="s">
        <v>761</v>
      </c>
      <c r="B619">
        <v>6.8</v>
      </c>
      <c r="C619" s="7">
        <v>46181.897916666669</v>
      </c>
      <c r="D619" s="7">
        <v>46182.18123667824</v>
      </c>
      <c r="E619" t="s">
        <v>23</v>
      </c>
      <c r="F619" t="s">
        <v>24</v>
      </c>
      <c r="G619" t="s">
        <v>41</v>
      </c>
      <c r="H619" t="s">
        <v>34</v>
      </c>
      <c r="I619" t="s">
        <v>42</v>
      </c>
      <c r="J619" t="s">
        <v>48</v>
      </c>
      <c r="K619" t="s">
        <v>67</v>
      </c>
      <c r="L619" t="s">
        <v>55</v>
      </c>
      <c r="M619">
        <v>32</v>
      </c>
      <c r="N619">
        <v>5</v>
      </c>
      <c r="O619">
        <v>0</v>
      </c>
      <c r="P619">
        <v>4</v>
      </c>
      <c r="Q619" t="s">
        <v>31</v>
      </c>
      <c r="R619">
        <v>15</v>
      </c>
      <c r="S619">
        <v>4</v>
      </c>
      <c r="T619" t="s">
        <v>31</v>
      </c>
      <c r="U619" t="s">
        <v>31</v>
      </c>
      <c r="V619">
        <v>2026</v>
      </c>
      <c r="W619">
        <v>6</v>
      </c>
      <c r="X619" t="s">
        <v>1421</v>
      </c>
      <c r="Y619" s="6">
        <v>46174</v>
      </c>
      <c r="Z619" t="s">
        <v>1413</v>
      </c>
      <c r="AA619" t="s">
        <v>31</v>
      </c>
      <c r="AB619" t="s">
        <v>63</v>
      </c>
      <c r="AC619" t="s">
        <v>23</v>
      </c>
      <c r="AD619">
        <v>1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</row>
    <row r="620" spans="1:36">
      <c r="A620" t="s">
        <v>762</v>
      </c>
      <c r="B620">
        <v>45.75</v>
      </c>
      <c r="C620" s="7">
        <v>46218.535416666666</v>
      </c>
      <c r="D620" s="7">
        <v>46220.441775624997</v>
      </c>
      <c r="E620" t="s">
        <v>23</v>
      </c>
      <c r="F620" t="s">
        <v>33</v>
      </c>
      <c r="G620" t="s">
        <v>25</v>
      </c>
      <c r="H620" t="s">
        <v>26</v>
      </c>
      <c r="I620" t="s">
        <v>42</v>
      </c>
      <c r="J620" t="s">
        <v>28</v>
      </c>
      <c r="K620" t="s">
        <v>58</v>
      </c>
      <c r="L620" t="s">
        <v>85</v>
      </c>
      <c r="M620">
        <v>497</v>
      </c>
      <c r="N620">
        <v>3</v>
      </c>
      <c r="O620">
        <v>0</v>
      </c>
      <c r="P620">
        <v>3</v>
      </c>
      <c r="Q620" t="s">
        <v>31</v>
      </c>
      <c r="R620">
        <v>240</v>
      </c>
      <c r="S620">
        <v>48</v>
      </c>
      <c r="T620" t="s">
        <v>31</v>
      </c>
      <c r="U620" t="s">
        <v>63</v>
      </c>
      <c r="V620">
        <v>2026</v>
      </c>
      <c r="W620">
        <v>7</v>
      </c>
      <c r="X620" t="s">
        <v>1422</v>
      </c>
      <c r="Y620" s="6">
        <v>46204</v>
      </c>
      <c r="Z620" t="s">
        <v>1418</v>
      </c>
      <c r="AA620" t="s">
        <v>31</v>
      </c>
      <c r="AB620" t="s">
        <v>63</v>
      </c>
      <c r="AC620" t="s">
        <v>23</v>
      </c>
      <c r="AD620">
        <v>1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1</v>
      </c>
    </row>
    <row r="621" spans="1:36">
      <c r="A621" t="s">
        <v>763</v>
      </c>
      <c r="B621">
        <v>23.37</v>
      </c>
      <c r="C621" s="7">
        <v>46023.76666666667</v>
      </c>
      <c r="D621" s="7">
        <v>46024.740289097223</v>
      </c>
      <c r="E621" t="s">
        <v>23</v>
      </c>
      <c r="F621" t="s">
        <v>40</v>
      </c>
      <c r="G621" t="s">
        <v>65</v>
      </c>
      <c r="H621" t="s">
        <v>26</v>
      </c>
      <c r="I621" t="s">
        <v>35</v>
      </c>
      <c r="J621" t="s">
        <v>43</v>
      </c>
      <c r="K621" t="s">
        <v>37</v>
      </c>
      <c r="L621" t="s">
        <v>68</v>
      </c>
      <c r="M621">
        <v>63</v>
      </c>
      <c r="N621">
        <v>4</v>
      </c>
      <c r="O621">
        <v>0</v>
      </c>
      <c r="P621">
        <v>5</v>
      </c>
      <c r="Q621" t="s">
        <v>31</v>
      </c>
      <c r="R621">
        <v>30</v>
      </c>
      <c r="S621">
        <v>8</v>
      </c>
      <c r="T621" t="s">
        <v>31</v>
      </c>
      <c r="U621" t="s">
        <v>31</v>
      </c>
      <c r="V621">
        <v>2026</v>
      </c>
      <c r="W621">
        <v>1</v>
      </c>
      <c r="X621" t="s">
        <v>1414</v>
      </c>
      <c r="Y621" s="6">
        <v>46023</v>
      </c>
      <c r="Z621" t="s">
        <v>1413</v>
      </c>
      <c r="AA621" t="s">
        <v>31</v>
      </c>
      <c r="AB621" t="s">
        <v>63</v>
      </c>
      <c r="AC621" t="s">
        <v>23</v>
      </c>
      <c r="AD621">
        <v>1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</row>
    <row r="622" spans="1:36">
      <c r="A622" t="s">
        <v>764</v>
      </c>
      <c r="B622">
        <v>41.57</v>
      </c>
      <c r="C622" s="7">
        <v>46175.217361111114</v>
      </c>
      <c r="D622" s="7">
        <v>46176.94953111111</v>
      </c>
      <c r="E622" t="s">
        <v>23</v>
      </c>
      <c r="F622" t="s">
        <v>50</v>
      </c>
      <c r="G622" t="s">
        <v>41</v>
      </c>
      <c r="H622" t="s">
        <v>26</v>
      </c>
      <c r="I622" t="s">
        <v>35</v>
      </c>
      <c r="J622" t="s">
        <v>48</v>
      </c>
      <c r="K622" t="s">
        <v>37</v>
      </c>
      <c r="L622" t="s">
        <v>85</v>
      </c>
      <c r="M622">
        <v>25</v>
      </c>
      <c r="N622">
        <v>4</v>
      </c>
      <c r="O622">
        <v>1</v>
      </c>
      <c r="P622">
        <v>9</v>
      </c>
      <c r="Q622" t="s">
        <v>31</v>
      </c>
      <c r="R622">
        <v>120</v>
      </c>
      <c r="S622">
        <v>24</v>
      </c>
      <c r="T622" t="s">
        <v>63</v>
      </c>
      <c r="U622" t="s">
        <v>31</v>
      </c>
      <c r="V622">
        <v>2026</v>
      </c>
      <c r="W622">
        <v>6</v>
      </c>
      <c r="X622" t="s">
        <v>1421</v>
      </c>
      <c r="Y622" s="6">
        <v>46174</v>
      </c>
      <c r="Z622" t="s">
        <v>1413</v>
      </c>
      <c r="AA622" t="s">
        <v>63</v>
      </c>
      <c r="AB622" t="s">
        <v>63</v>
      </c>
      <c r="AC622" t="s">
        <v>23</v>
      </c>
      <c r="AD622">
        <v>1</v>
      </c>
      <c r="AE622">
        <v>0</v>
      </c>
      <c r="AF622">
        <v>1</v>
      </c>
      <c r="AG622">
        <v>1</v>
      </c>
      <c r="AH622">
        <v>0</v>
      </c>
      <c r="AI622">
        <v>1</v>
      </c>
      <c r="AJ622">
        <v>0</v>
      </c>
    </row>
    <row r="623" spans="1:36">
      <c r="A623" t="s">
        <v>765</v>
      </c>
      <c r="B623">
        <v>17.989999999999998</v>
      </c>
      <c r="C623" s="7">
        <v>46191.230555555558</v>
      </c>
      <c r="D623" s="7">
        <v>46191.980183182874</v>
      </c>
      <c r="E623" t="s">
        <v>23</v>
      </c>
      <c r="F623" t="s">
        <v>50</v>
      </c>
      <c r="G623" t="s">
        <v>51</v>
      </c>
      <c r="H623" t="s">
        <v>34</v>
      </c>
      <c r="I623" t="s">
        <v>35</v>
      </c>
      <c r="J623" t="s">
        <v>43</v>
      </c>
      <c r="K623" t="s">
        <v>37</v>
      </c>
      <c r="L623" t="s">
        <v>55</v>
      </c>
      <c r="M623">
        <v>99</v>
      </c>
      <c r="N623">
        <v>4</v>
      </c>
      <c r="O623">
        <v>0</v>
      </c>
      <c r="P623">
        <v>4</v>
      </c>
      <c r="Q623" t="s">
        <v>31</v>
      </c>
      <c r="R623">
        <v>120</v>
      </c>
      <c r="S623">
        <v>24</v>
      </c>
      <c r="T623" t="s">
        <v>63</v>
      </c>
      <c r="U623" t="s">
        <v>63</v>
      </c>
      <c r="V623">
        <v>2026</v>
      </c>
      <c r="W623">
        <v>6</v>
      </c>
      <c r="X623" t="s">
        <v>1421</v>
      </c>
      <c r="Y623" s="6">
        <v>46174</v>
      </c>
      <c r="Z623" t="s">
        <v>1413</v>
      </c>
      <c r="AA623" t="s">
        <v>31</v>
      </c>
      <c r="AB623" t="s">
        <v>63</v>
      </c>
      <c r="AC623" t="s">
        <v>23</v>
      </c>
      <c r="AD623">
        <v>1</v>
      </c>
      <c r="AE623">
        <v>0</v>
      </c>
      <c r="AF623">
        <v>1</v>
      </c>
      <c r="AG623">
        <v>0</v>
      </c>
      <c r="AH623">
        <v>0</v>
      </c>
      <c r="AI623">
        <v>1</v>
      </c>
      <c r="AJ623">
        <v>1</v>
      </c>
    </row>
    <row r="624" spans="1:36">
      <c r="A624" t="s">
        <v>766</v>
      </c>
      <c r="B624">
        <v>65.510000000000005</v>
      </c>
      <c r="C624" s="7">
        <v>46052.440972222219</v>
      </c>
      <c r="D624" s="7">
        <v>46055.170634942129</v>
      </c>
      <c r="E624" t="s">
        <v>23</v>
      </c>
      <c r="F624" t="s">
        <v>33</v>
      </c>
      <c r="G624" t="s">
        <v>65</v>
      </c>
      <c r="H624" t="s">
        <v>75</v>
      </c>
      <c r="I624" t="s">
        <v>27</v>
      </c>
      <c r="J624" t="s">
        <v>36</v>
      </c>
      <c r="K624" t="s">
        <v>58</v>
      </c>
      <c r="L624" t="s">
        <v>55</v>
      </c>
      <c r="M624">
        <v>169</v>
      </c>
      <c r="N624">
        <v>3</v>
      </c>
      <c r="O624">
        <v>0</v>
      </c>
      <c r="P624">
        <v>3</v>
      </c>
      <c r="Q624" t="s">
        <v>31</v>
      </c>
      <c r="R624">
        <v>240</v>
      </c>
      <c r="S624">
        <v>48</v>
      </c>
      <c r="T624" t="s">
        <v>63</v>
      </c>
      <c r="U624" t="s">
        <v>31</v>
      </c>
      <c r="V624">
        <v>2026</v>
      </c>
      <c r="W624">
        <v>1</v>
      </c>
      <c r="X624" t="s">
        <v>1414</v>
      </c>
      <c r="Y624" s="6">
        <v>46023</v>
      </c>
      <c r="Z624" t="s">
        <v>1418</v>
      </c>
      <c r="AA624" t="s">
        <v>31</v>
      </c>
      <c r="AB624" t="s">
        <v>63</v>
      </c>
      <c r="AC624" t="s">
        <v>23</v>
      </c>
      <c r="AD624">
        <v>1</v>
      </c>
      <c r="AE624">
        <v>0</v>
      </c>
      <c r="AF624">
        <v>1</v>
      </c>
      <c r="AG624">
        <v>0</v>
      </c>
      <c r="AH624">
        <v>0</v>
      </c>
      <c r="AI624">
        <v>1</v>
      </c>
      <c r="AJ624">
        <v>0</v>
      </c>
    </row>
    <row r="625" spans="1:36">
      <c r="A625" t="s">
        <v>767</v>
      </c>
      <c r="B625">
        <v>30.93</v>
      </c>
      <c r="C625" s="7">
        <v>46257.231944444444</v>
      </c>
      <c r="D625" s="7">
        <v>46258.520858634256</v>
      </c>
      <c r="E625" t="s">
        <v>23</v>
      </c>
      <c r="F625" t="s">
        <v>33</v>
      </c>
      <c r="G625" t="s">
        <v>51</v>
      </c>
      <c r="H625" t="s">
        <v>26</v>
      </c>
      <c r="I625" t="s">
        <v>35</v>
      </c>
      <c r="J625" t="s">
        <v>28</v>
      </c>
      <c r="K625" t="s">
        <v>37</v>
      </c>
      <c r="L625" t="s">
        <v>38</v>
      </c>
      <c r="M625">
        <v>88</v>
      </c>
      <c r="N625">
        <v>4</v>
      </c>
      <c r="O625">
        <v>0</v>
      </c>
      <c r="P625">
        <v>7</v>
      </c>
      <c r="Q625" t="s">
        <v>31</v>
      </c>
      <c r="R625">
        <v>240</v>
      </c>
      <c r="S625">
        <v>48</v>
      </c>
      <c r="T625" t="s">
        <v>63</v>
      </c>
      <c r="U625" t="s">
        <v>63</v>
      </c>
      <c r="V625">
        <v>2026</v>
      </c>
      <c r="W625">
        <v>8</v>
      </c>
      <c r="X625" t="s">
        <v>1417</v>
      </c>
      <c r="Y625" s="6">
        <v>46235</v>
      </c>
      <c r="Z625" t="s">
        <v>1413</v>
      </c>
      <c r="AA625" t="s">
        <v>31</v>
      </c>
      <c r="AB625" t="s">
        <v>63</v>
      </c>
      <c r="AC625" t="s">
        <v>23</v>
      </c>
      <c r="AD625">
        <v>1</v>
      </c>
      <c r="AE625">
        <v>0</v>
      </c>
      <c r="AF625">
        <v>1</v>
      </c>
      <c r="AG625">
        <v>0</v>
      </c>
      <c r="AH625">
        <v>0</v>
      </c>
      <c r="AI625">
        <v>1</v>
      </c>
      <c r="AJ625">
        <v>1</v>
      </c>
    </row>
    <row r="626" spans="1:36">
      <c r="A626" t="s">
        <v>769</v>
      </c>
      <c r="B626">
        <v>45.17</v>
      </c>
      <c r="C626" s="7">
        <v>46077.96875</v>
      </c>
      <c r="D626" s="7">
        <v>46079.850914537034</v>
      </c>
      <c r="E626" t="s">
        <v>23</v>
      </c>
      <c r="F626" t="s">
        <v>50</v>
      </c>
      <c r="G626" t="s">
        <v>25</v>
      </c>
      <c r="H626" t="s">
        <v>26</v>
      </c>
      <c r="I626" t="s">
        <v>35</v>
      </c>
      <c r="J626" t="s">
        <v>28</v>
      </c>
      <c r="K626" t="s">
        <v>58</v>
      </c>
      <c r="L626" t="s">
        <v>38</v>
      </c>
      <c r="M626">
        <v>62</v>
      </c>
      <c r="N626">
        <v>4</v>
      </c>
      <c r="O626">
        <v>0</v>
      </c>
      <c r="P626">
        <v>7</v>
      </c>
      <c r="Q626" t="s">
        <v>31</v>
      </c>
      <c r="R626">
        <v>120</v>
      </c>
      <c r="S626">
        <v>24</v>
      </c>
      <c r="T626" t="s">
        <v>63</v>
      </c>
      <c r="U626" t="s">
        <v>31</v>
      </c>
      <c r="V626">
        <v>2026</v>
      </c>
      <c r="W626">
        <v>2</v>
      </c>
      <c r="X626" t="s">
        <v>1419</v>
      </c>
      <c r="Y626" s="6">
        <v>46054</v>
      </c>
      <c r="Z626" t="s">
        <v>1413</v>
      </c>
      <c r="AA626" t="s">
        <v>31</v>
      </c>
      <c r="AB626" t="s">
        <v>63</v>
      </c>
      <c r="AC626" t="s">
        <v>23</v>
      </c>
      <c r="AD626">
        <v>1</v>
      </c>
      <c r="AE626">
        <v>0</v>
      </c>
      <c r="AF626">
        <v>1</v>
      </c>
      <c r="AG626">
        <v>0</v>
      </c>
      <c r="AH626">
        <v>0</v>
      </c>
      <c r="AI626">
        <v>1</v>
      </c>
      <c r="AJ626">
        <v>0</v>
      </c>
    </row>
    <row r="627" spans="1:36">
      <c r="A627" t="s">
        <v>770</v>
      </c>
      <c r="B627">
        <v>39.380000000000003</v>
      </c>
      <c r="C627" s="7">
        <v>46048.131944444445</v>
      </c>
      <c r="D627" s="7">
        <v>46049.772828159723</v>
      </c>
      <c r="E627" t="s">
        <v>23</v>
      </c>
      <c r="F627" t="s">
        <v>50</v>
      </c>
      <c r="G627" t="s">
        <v>51</v>
      </c>
      <c r="H627" t="s">
        <v>34</v>
      </c>
      <c r="I627" t="s">
        <v>35</v>
      </c>
      <c r="J627" t="s">
        <v>36</v>
      </c>
      <c r="K627" t="s">
        <v>58</v>
      </c>
      <c r="L627" t="s">
        <v>68</v>
      </c>
      <c r="M627">
        <v>134</v>
      </c>
      <c r="N627">
        <v>4</v>
      </c>
      <c r="O627">
        <v>1</v>
      </c>
      <c r="P627">
        <v>6</v>
      </c>
      <c r="Q627" t="s">
        <v>31</v>
      </c>
      <c r="R627">
        <v>120</v>
      </c>
      <c r="S627">
        <v>24</v>
      </c>
      <c r="T627" t="s">
        <v>31</v>
      </c>
      <c r="U627" t="s">
        <v>31</v>
      </c>
      <c r="V627">
        <v>2026</v>
      </c>
      <c r="W627">
        <v>1</v>
      </c>
      <c r="X627" t="s">
        <v>1414</v>
      </c>
      <c r="Y627" s="6">
        <v>46023</v>
      </c>
      <c r="Z627" t="s">
        <v>1413</v>
      </c>
      <c r="AA627" t="s">
        <v>63</v>
      </c>
      <c r="AB627" t="s">
        <v>63</v>
      </c>
      <c r="AC627" t="s">
        <v>23</v>
      </c>
      <c r="AD627">
        <v>1</v>
      </c>
      <c r="AE627">
        <v>0</v>
      </c>
      <c r="AF627">
        <v>1</v>
      </c>
      <c r="AG627">
        <v>1</v>
      </c>
      <c r="AH627">
        <v>0</v>
      </c>
      <c r="AI627">
        <v>0</v>
      </c>
      <c r="AJ627">
        <v>0</v>
      </c>
    </row>
    <row r="628" spans="1:36">
      <c r="A628" t="s">
        <v>771</v>
      </c>
      <c r="B628">
        <v>14.23</v>
      </c>
      <c r="C628" s="7">
        <v>46258.890277777777</v>
      </c>
      <c r="D628" s="7">
        <v>46259.483215925924</v>
      </c>
      <c r="E628" t="s">
        <v>23</v>
      </c>
      <c r="F628" t="s">
        <v>40</v>
      </c>
      <c r="G628" t="s">
        <v>51</v>
      </c>
      <c r="H628" t="s">
        <v>26</v>
      </c>
      <c r="I628" t="s">
        <v>42</v>
      </c>
      <c r="J628" t="s">
        <v>48</v>
      </c>
      <c r="K628" t="s">
        <v>58</v>
      </c>
      <c r="L628" t="s">
        <v>30</v>
      </c>
      <c r="M628">
        <v>34</v>
      </c>
      <c r="N628">
        <v>4</v>
      </c>
      <c r="O628">
        <v>1</v>
      </c>
      <c r="P628">
        <v>7</v>
      </c>
      <c r="Q628" t="s">
        <v>31</v>
      </c>
      <c r="R628">
        <v>30</v>
      </c>
      <c r="S628">
        <v>8</v>
      </c>
      <c r="T628" t="s">
        <v>31</v>
      </c>
      <c r="U628" t="s">
        <v>31</v>
      </c>
      <c r="V628">
        <v>2026</v>
      </c>
      <c r="W628">
        <v>8</v>
      </c>
      <c r="X628" t="s">
        <v>1417</v>
      </c>
      <c r="Y628" s="6">
        <v>46235</v>
      </c>
      <c r="Z628" t="s">
        <v>1413</v>
      </c>
      <c r="AA628" t="s">
        <v>63</v>
      </c>
      <c r="AB628" t="s">
        <v>63</v>
      </c>
      <c r="AC628" t="s">
        <v>23</v>
      </c>
      <c r="AD628">
        <v>1</v>
      </c>
      <c r="AE628">
        <v>0</v>
      </c>
      <c r="AF628">
        <v>1</v>
      </c>
      <c r="AG628">
        <v>1</v>
      </c>
      <c r="AH628">
        <v>0</v>
      </c>
      <c r="AI628">
        <v>0</v>
      </c>
      <c r="AJ628">
        <v>0</v>
      </c>
    </row>
    <row r="629" spans="1:36">
      <c r="A629" t="s">
        <v>772</v>
      </c>
      <c r="B629">
        <v>35.200000000000003</v>
      </c>
      <c r="C629" s="7">
        <v>46176.988888888889</v>
      </c>
      <c r="D629" s="7">
        <v>46178.45573390046</v>
      </c>
      <c r="E629" t="s">
        <v>23</v>
      </c>
      <c r="F629" t="s">
        <v>50</v>
      </c>
      <c r="G629" t="s">
        <v>51</v>
      </c>
      <c r="H629" t="s">
        <v>75</v>
      </c>
      <c r="I629" t="s">
        <v>42</v>
      </c>
      <c r="J629" t="s">
        <v>48</v>
      </c>
      <c r="K629" t="s">
        <v>58</v>
      </c>
      <c r="L629" t="s">
        <v>44</v>
      </c>
      <c r="M629">
        <v>65</v>
      </c>
      <c r="N629">
        <v>4</v>
      </c>
      <c r="O629">
        <v>0</v>
      </c>
      <c r="P629">
        <v>4</v>
      </c>
      <c r="Q629" t="s">
        <v>31</v>
      </c>
      <c r="R629">
        <v>120</v>
      </c>
      <c r="S629">
        <v>24</v>
      </c>
      <c r="T629" t="s">
        <v>63</v>
      </c>
      <c r="U629" t="s">
        <v>31</v>
      </c>
      <c r="V629">
        <v>2026</v>
      </c>
      <c r="W629">
        <v>6</v>
      </c>
      <c r="X629" t="s">
        <v>1421</v>
      </c>
      <c r="Y629" s="6">
        <v>46174</v>
      </c>
      <c r="Z629" t="s">
        <v>1413</v>
      </c>
      <c r="AA629" t="s">
        <v>31</v>
      </c>
      <c r="AB629" t="s">
        <v>63</v>
      </c>
      <c r="AC629" t="s">
        <v>23</v>
      </c>
      <c r="AD629">
        <v>1</v>
      </c>
      <c r="AE629">
        <v>0</v>
      </c>
      <c r="AF629">
        <v>1</v>
      </c>
      <c r="AG629">
        <v>0</v>
      </c>
      <c r="AH629">
        <v>0</v>
      </c>
      <c r="AI629">
        <v>1</v>
      </c>
      <c r="AJ629">
        <v>0</v>
      </c>
    </row>
    <row r="630" spans="1:36">
      <c r="A630" t="s">
        <v>773</v>
      </c>
      <c r="B630">
        <v>18.48</v>
      </c>
      <c r="C630" s="7">
        <v>46063.50277777778</v>
      </c>
      <c r="D630" s="7">
        <v>46064.272846319443</v>
      </c>
      <c r="E630" t="s">
        <v>23</v>
      </c>
      <c r="F630" t="s">
        <v>50</v>
      </c>
      <c r="G630" t="s">
        <v>51</v>
      </c>
      <c r="H630" t="s">
        <v>75</v>
      </c>
      <c r="I630" t="s">
        <v>27</v>
      </c>
      <c r="J630" t="s">
        <v>28</v>
      </c>
      <c r="K630" t="s">
        <v>58</v>
      </c>
      <c r="L630" t="s">
        <v>62</v>
      </c>
      <c r="M630">
        <v>190</v>
      </c>
      <c r="N630">
        <v>4</v>
      </c>
      <c r="O630">
        <v>0</v>
      </c>
      <c r="P630">
        <v>6</v>
      </c>
      <c r="Q630" t="s">
        <v>31</v>
      </c>
      <c r="R630">
        <v>120</v>
      </c>
      <c r="S630">
        <v>24</v>
      </c>
      <c r="T630" t="s">
        <v>31</v>
      </c>
      <c r="U630" t="s">
        <v>63</v>
      </c>
      <c r="V630">
        <v>2026</v>
      </c>
      <c r="W630">
        <v>2</v>
      </c>
      <c r="X630" t="s">
        <v>1419</v>
      </c>
      <c r="Y630" s="6">
        <v>46054</v>
      </c>
      <c r="Z630" t="s">
        <v>1413</v>
      </c>
      <c r="AA630" t="s">
        <v>31</v>
      </c>
      <c r="AB630" t="s">
        <v>63</v>
      </c>
      <c r="AC630" t="s">
        <v>23</v>
      </c>
      <c r="AD630">
        <v>1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1</v>
      </c>
    </row>
    <row r="631" spans="1:36">
      <c r="A631" t="s">
        <v>774</v>
      </c>
      <c r="B631">
        <v>19.68</v>
      </c>
      <c r="C631" s="7">
        <v>46036.190972222219</v>
      </c>
      <c r="D631" s="7">
        <v>46037.01092458333</v>
      </c>
      <c r="E631" t="s">
        <v>23</v>
      </c>
      <c r="F631" t="s">
        <v>40</v>
      </c>
      <c r="G631" t="s">
        <v>25</v>
      </c>
      <c r="H631" t="s">
        <v>54</v>
      </c>
      <c r="I631" t="s">
        <v>42</v>
      </c>
      <c r="J631" t="s">
        <v>48</v>
      </c>
      <c r="K631" t="s">
        <v>76</v>
      </c>
      <c r="L631" t="s">
        <v>44</v>
      </c>
      <c r="M631">
        <v>78</v>
      </c>
      <c r="N631">
        <v>4</v>
      </c>
      <c r="O631">
        <v>1</v>
      </c>
      <c r="P631">
        <v>7</v>
      </c>
      <c r="Q631" t="s">
        <v>31</v>
      </c>
      <c r="R631">
        <v>30</v>
      </c>
      <c r="S631">
        <v>8</v>
      </c>
      <c r="T631" t="s">
        <v>31</v>
      </c>
      <c r="U631" t="s">
        <v>31</v>
      </c>
      <c r="V631">
        <v>2026</v>
      </c>
      <c r="W631">
        <v>1</v>
      </c>
      <c r="X631" t="s">
        <v>1414</v>
      </c>
      <c r="Y631" s="6">
        <v>46023</v>
      </c>
      <c r="Z631" t="s">
        <v>1413</v>
      </c>
      <c r="AA631" t="s">
        <v>63</v>
      </c>
      <c r="AB631" t="s">
        <v>63</v>
      </c>
      <c r="AC631" t="s">
        <v>23</v>
      </c>
      <c r="AD631">
        <v>1</v>
      </c>
      <c r="AE631">
        <v>0</v>
      </c>
      <c r="AF631">
        <v>1</v>
      </c>
      <c r="AG631">
        <v>1</v>
      </c>
      <c r="AH631">
        <v>0</v>
      </c>
      <c r="AI631">
        <v>0</v>
      </c>
      <c r="AJ631">
        <v>0</v>
      </c>
    </row>
    <row r="632" spans="1:36">
      <c r="A632" t="s">
        <v>775</v>
      </c>
      <c r="B632">
        <v>3.15</v>
      </c>
      <c r="C632" s="7">
        <v>46190.243055555555</v>
      </c>
      <c r="D632" s="7">
        <v>46190.3743521875</v>
      </c>
      <c r="E632" t="s">
        <v>23</v>
      </c>
      <c r="F632" t="s">
        <v>40</v>
      </c>
      <c r="G632" t="s">
        <v>41</v>
      </c>
      <c r="H632" t="s">
        <v>34</v>
      </c>
      <c r="I632" t="s">
        <v>42</v>
      </c>
      <c r="J632" t="s">
        <v>48</v>
      </c>
      <c r="K632" t="s">
        <v>29</v>
      </c>
      <c r="L632" t="s">
        <v>55</v>
      </c>
      <c r="M632">
        <v>59</v>
      </c>
      <c r="N632">
        <v>4</v>
      </c>
      <c r="O632">
        <v>0</v>
      </c>
      <c r="P632">
        <v>4</v>
      </c>
      <c r="Q632" t="s">
        <v>31</v>
      </c>
      <c r="R632">
        <v>30</v>
      </c>
      <c r="S632">
        <v>8</v>
      </c>
      <c r="T632" t="s">
        <v>31</v>
      </c>
      <c r="U632" t="s">
        <v>63</v>
      </c>
      <c r="V632">
        <v>2026</v>
      </c>
      <c r="W632">
        <v>6</v>
      </c>
      <c r="X632" t="s">
        <v>1421</v>
      </c>
      <c r="Y632" s="6">
        <v>46174</v>
      </c>
      <c r="Z632" t="s">
        <v>1413</v>
      </c>
      <c r="AA632" t="s">
        <v>31</v>
      </c>
      <c r="AB632" t="s">
        <v>63</v>
      </c>
      <c r="AC632" t="s">
        <v>23</v>
      </c>
      <c r="AD632">
        <v>1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1</v>
      </c>
    </row>
    <row r="633" spans="1:36">
      <c r="A633" t="s">
        <v>776</v>
      </c>
      <c r="B633">
        <v>18.16</v>
      </c>
      <c r="C633" s="7">
        <v>46155.519444444442</v>
      </c>
      <c r="D633" s="7">
        <v>46156.275932025463</v>
      </c>
      <c r="E633" t="s">
        <v>23</v>
      </c>
      <c r="F633" t="s">
        <v>33</v>
      </c>
      <c r="G633" t="s">
        <v>25</v>
      </c>
      <c r="H633" t="s">
        <v>66</v>
      </c>
      <c r="I633" t="s">
        <v>42</v>
      </c>
      <c r="J633" t="s">
        <v>43</v>
      </c>
      <c r="K633" t="s">
        <v>29</v>
      </c>
      <c r="L633" t="s">
        <v>93</v>
      </c>
      <c r="M633">
        <v>101</v>
      </c>
      <c r="N633">
        <v>4</v>
      </c>
      <c r="O633">
        <v>0</v>
      </c>
      <c r="P633">
        <v>6</v>
      </c>
      <c r="Q633" t="s">
        <v>31</v>
      </c>
      <c r="R633">
        <v>240</v>
      </c>
      <c r="S633">
        <v>48</v>
      </c>
      <c r="T633" t="s">
        <v>63</v>
      </c>
      <c r="U633" t="s">
        <v>63</v>
      </c>
      <c r="V633">
        <v>2026</v>
      </c>
      <c r="W633">
        <v>5</v>
      </c>
      <c r="X633" t="s">
        <v>1416</v>
      </c>
      <c r="Y633" s="6">
        <v>46143</v>
      </c>
      <c r="Z633" t="s">
        <v>1413</v>
      </c>
      <c r="AA633" t="s">
        <v>31</v>
      </c>
      <c r="AB633" t="s">
        <v>63</v>
      </c>
      <c r="AC633" t="s">
        <v>23</v>
      </c>
      <c r="AD633">
        <v>1</v>
      </c>
      <c r="AE633">
        <v>0</v>
      </c>
      <c r="AF633">
        <v>1</v>
      </c>
      <c r="AG633">
        <v>0</v>
      </c>
      <c r="AH633">
        <v>0</v>
      </c>
      <c r="AI633">
        <v>1</v>
      </c>
      <c r="AJ633">
        <v>1</v>
      </c>
    </row>
    <row r="634" spans="1:36">
      <c r="A634" t="s">
        <v>777</v>
      </c>
      <c r="B634">
        <v>20.91</v>
      </c>
      <c r="C634" s="7">
        <v>46190.538194444445</v>
      </c>
      <c r="D634" s="7">
        <v>46191.409488287034</v>
      </c>
      <c r="E634" t="s">
        <v>23</v>
      </c>
      <c r="F634" t="s">
        <v>40</v>
      </c>
      <c r="G634" t="s">
        <v>51</v>
      </c>
      <c r="H634" t="s">
        <v>26</v>
      </c>
      <c r="I634" t="s">
        <v>35</v>
      </c>
      <c r="J634" t="s">
        <v>28</v>
      </c>
      <c r="K634" t="s">
        <v>58</v>
      </c>
      <c r="L634" t="s">
        <v>30</v>
      </c>
      <c r="M634">
        <v>29</v>
      </c>
      <c r="N634">
        <v>4</v>
      </c>
      <c r="O634">
        <v>0</v>
      </c>
      <c r="P634">
        <v>7</v>
      </c>
      <c r="Q634" t="s">
        <v>31</v>
      </c>
      <c r="R634">
        <v>30</v>
      </c>
      <c r="S634">
        <v>8</v>
      </c>
      <c r="T634" t="s">
        <v>63</v>
      </c>
      <c r="U634" t="s">
        <v>31</v>
      </c>
      <c r="V634">
        <v>2026</v>
      </c>
      <c r="W634">
        <v>6</v>
      </c>
      <c r="X634" t="s">
        <v>1421</v>
      </c>
      <c r="Y634" s="6">
        <v>46174</v>
      </c>
      <c r="Z634" t="s">
        <v>1413</v>
      </c>
      <c r="AA634" t="s">
        <v>31</v>
      </c>
      <c r="AB634" t="s">
        <v>63</v>
      </c>
      <c r="AC634" t="s">
        <v>23</v>
      </c>
      <c r="AD634">
        <v>1</v>
      </c>
      <c r="AE634">
        <v>0</v>
      </c>
      <c r="AF634">
        <v>1</v>
      </c>
      <c r="AG634">
        <v>0</v>
      </c>
      <c r="AH634">
        <v>0</v>
      </c>
      <c r="AI634">
        <v>1</v>
      </c>
      <c r="AJ634">
        <v>0</v>
      </c>
    </row>
    <row r="635" spans="1:36">
      <c r="A635" t="s">
        <v>778</v>
      </c>
      <c r="B635">
        <v>30.28</v>
      </c>
      <c r="C635" s="7">
        <v>46063.664583333331</v>
      </c>
      <c r="D635" s="7">
        <v>46064.926357025462</v>
      </c>
      <c r="E635" t="s">
        <v>23</v>
      </c>
      <c r="F635" t="s">
        <v>33</v>
      </c>
      <c r="G635" t="s">
        <v>51</v>
      </c>
      <c r="H635" t="s">
        <v>54</v>
      </c>
      <c r="I635" t="s">
        <v>42</v>
      </c>
      <c r="J635" t="s">
        <v>36</v>
      </c>
      <c r="K635" t="s">
        <v>37</v>
      </c>
      <c r="L635" t="s">
        <v>55</v>
      </c>
      <c r="M635">
        <v>185</v>
      </c>
      <c r="N635">
        <v>3</v>
      </c>
      <c r="O635">
        <v>1</v>
      </c>
      <c r="P635">
        <v>8</v>
      </c>
      <c r="Q635" t="s">
        <v>31</v>
      </c>
      <c r="R635">
        <v>240</v>
      </c>
      <c r="S635">
        <v>48</v>
      </c>
      <c r="T635" t="s">
        <v>63</v>
      </c>
      <c r="U635" t="s">
        <v>63</v>
      </c>
      <c r="V635">
        <v>2026</v>
      </c>
      <c r="W635">
        <v>2</v>
      </c>
      <c r="X635" t="s">
        <v>1419</v>
      </c>
      <c r="Y635" s="6">
        <v>46054</v>
      </c>
      <c r="Z635" t="s">
        <v>1418</v>
      </c>
      <c r="AA635" t="s">
        <v>63</v>
      </c>
      <c r="AB635" t="s">
        <v>63</v>
      </c>
      <c r="AC635" t="s">
        <v>23</v>
      </c>
      <c r="AD635">
        <v>1</v>
      </c>
      <c r="AE635">
        <v>0</v>
      </c>
      <c r="AF635">
        <v>1</v>
      </c>
      <c r="AG635">
        <v>1</v>
      </c>
      <c r="AH635">
        <v>0</v>
      </c>
      <c r="AI635">
        <v>1</v>
      </c>
      <c r="AJ635">
        <v>1</v>
      </c>
    </row>
    <row r="636" spans="1:36">
      <c r="A636" t="s">
        <v>779</v>
      </c>
      <c r="B636">
        <v>144.62</v>
      </c>
      <c r="C636" s="7">
        <v>46100.234027777777</v>
      </c>
      <c r="D636" s="7">
        <v>46106.259877627315</v>
      </c>
      <c r="E636" t="s">
        <v>23</v>
      </c>
      <c r="F636" t="s">
        <v>33</v>
      </c>
      <c r="G636" t="s">
        <v>25</v>
      </c>
      <c r="H636" t="s">
        <v>54</v>
      </c>
      <c r="I636" t="s">
        <v>42</v>
      </c>
      <c r="J636" t="s">
        <v>36</v>
      </c>
      <c r="K636" t="s">
        <v>37</v>
      </c>
      <c r="L636" t="s">
        <v>62</v>
      </c>
      <c r="M636">
        <v>89</v>
      </c>
      <c r="N636">
        <v>3</v>
      </c>
      <c r="O636">
        <v>0</v>
      </c>
      <c r="P636">
        <v>6</v>
      </c>
      <c r="Q636" t="s">
        <v>31</v>
      </c>
      <c r="R636">
        <v>240</v>
      </c>
      <c r="S636">
        <v>48</v>
      </c>
      <c r="T636" t="s">
        <v>63</v>
      </c>
      <c r="U636" t="s">
        <v>31</v>
      </c>
      <c r="V636">
        <v>2026</v>
      </c>
      <c r="W636">
        <v>3</v>
      </c>
      <c r="X636" t="s">
        <v>1423</v>
      </c>
      <c r="Y636" s="6">
        <v>46082</v>
      </c>
      <c r="Z636" t="s">
        <v>1418</v>
      </c>
      <c r="AA636" t="s">
        <v>31</v>
      </c>
      <c r="AB636" t="s">
        <v>63</v>
      </c>
      <c r="AC636" t="s">
        <v>23</v>
      </c>
      <c r="AD636">
        <v>1</v>
      </c>
      <c r="AE636">
        <v>0</v>
      </c>
      <c r="AF636">
        <v>1</v>
      </c>
      <c r="AG636">
        <v>0</v>
      </c>
      <c r="AH636">
        <v>0</v>
      </c>
      <c r="AI636">
        <v>1</v>
      </c>
      <c r="AJ636">
        <v>0</v>
      </c>
    </row>
    <row r="637" spans="1:36">
      <c r="A637" t="s">
        <v>780</v>
      </c>
      <c r="B637">
        <v>6.56</v>
      </c>
      <c r="C637" s="7">
        <v>46030.70416666667</v>
      </c>
      <c r="D637" s="7">
        <v>46030.977544456022</v>
      </c>
      <c r="E637" t="s">
        <v>23</v>
      </c>
      <c r="F637" t="s">
        <v>40</v>
      </c>
      <c r="G637" t="s">
        <v>25</v>
      </c>
      <c r="H637" t="s">
        <v>26</v>
      </c>
      <c r="I637" t="s">
        <v>35</v>
      </c>
      <c r="J637" t="s">
        <v>48</v>
      </c>
      <c r="K637" t="s">
        <v>52</v>
      </c>
      <c r="L637" t="s">
        <v>68</v>
      </c>
      <c r="M637">
        <v>34</v>
      </c>
      <c r="N637">
        <v>5</v>
      </c>
      <c r="O637">
        <v>0</v>
      </c>
      <c r="P637">
        <v>4</v>
      </c>
      <c r="Q637" t="s">
        <v>31</v>
      </c>
      <c r="R637">
        <v>30</v>
      </c>
      <c r="S637">
        <v>8</v>
      </c>
      <c r="T637" t="s">
        <v>31</v>
      </c>
      <c r="U637" t="s">
        <v>63</v>
      </c>
      <c r="V637">
        <v>2026</v>
      </c>
      <c r="W637">
        <v>1</v>
      </c>
      <c r="X637" t="s">
        <v>1414</v>
      </c>
      <c r="Y637" s="6">
        <v>46023</v>
      </c>
      <c r="Z637" t="s">
        <v>1413</v>
      </c>
      <c r="AA637" t="s">
        <v>31</v>
      </c>
      <c r="AB637" t="s">
        <v>63</v>
      </c>
      <c r="AC637" t="s">
        <v>23</v>
      </c>
      <c r="AD637">
        <v>1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1</v>
      </c>
    </row>
    <row r="638" spans="1:36">
      <c r="A638" t="s">
        <v>781</v>
      </c>
      <c r="B638">
        <v>6.8</v>
      </c>
      <c r="C638" s="7">
        <v>46205.268055555556</v>
      </c>
      <c r="D638" s="7">
        <v>46205.551232754631</v>
      </c>
      <c r="E638" t="s">
        <v>23</v>
      </c>
      <c r="F638" t="s">
        <v>24</v>
      </c>
      <c r="G638" t="s">
        <v>41</v>
      </c>
      <c r="H638" t="s">
        <v>26</v>
      </c>
      <c r="I638" t="s">
        <v>27</v>
      </c>
      <c r="J638" t="s">
        <v>36</v>
      </c>
      <c r="K638" t="s">
        <v>52</v>
      </c>
      <c r="L638" t="s">
        <v>101</v>
      </c>
      <c r="M638">
        <v>37</v>
      </c>
      <c r="N638">
        <v>4</v>
      </c>
      <c r="O638">
        <v>0</v>
      </c>
      <c r="P638">
        <v>9</v>
      </c>
      <c r="Q638" t="s">
        <v>63</v>
      </c>
      <c r="R638">
        <v>15</v>
      </c>
      <c r="S638">
        <v>4</v>
      </c>
      <c r="T638" t="s">
        <v>31</v>
      </c>
      <c r="U638" t="s">
        <v>31</v>
      </c>
      <c r="V638">
        <v>2026</v>
      </c>
      <c r="W638">
        <v>7</v>
      </c>
      <c r="X638" t="s">
        <v>1422</v>
      </c>
      <c r="Y638" s="6">
        <v>46204</v>
      </c>
      <c r="Z638" t="s">
        <v>1413</v>
      </c>
      <c r="AA638" t="s">
        <v>31</v>
      </c>
      <c r="AB638" t="s">
        <v>63</v>
      </c>
      <c r="AC638" t="s">
        <v>23</v>
      </c>
      <c r="AD638">
        <v>1</v>
      </c>
      <c r="AE638">
        <v>0</v>
      </c>
      <c r="AF638">
        <v>1</v>
      </c>
      <c r="AG638">
        <v>0</v>
      </c>
      <c r="AH638">
        <v>1</v>
      </c>
      <c r="AI638">
        <v>0</v>
      </c>
      <c r="AJ638">
        <v>0</v>
      </c>
    </row>
    <row r="639" spans="1:36">
      <c r="A639" t="s">
        <v>782</v>
      </c>
      <c r="B639">
        <v>44.49</v>
      </c>
      <c r="C639" s="7">
        <v>46051.573611111111</v>
      </c>
      <c r="D639" s="7">
        <v>46053.427342384261</v>
      </c>
      <c r="E639" t="s">
        <v>23</v>
      </c>
      <c r="F639" t="s">
        <v>50</v>
      </c>
      <c r="G639" t="s">
        <v>25</v>
      </c>
      <c r="H639" t="s">
        <v>34</v>
      </c>
      <c r="I639" t="s">
        <v>27</v>
      </c>
      <c r="J639" t="s">
        <v>43</v>
      </c>
      <c r="K639" t="s">
        <v>58</v>
      </c>
      <c r="L639" t="s">
        <v>68</v>
      </c>
      <c r="M639">
        <v>259</v>
      </c>
      <c r="N639">
        <v>4</v>
      </c>
      <c r="O639">
        <v>0</v>
      </c>
      <c r="P639">
        <v>4</v>
      </c>
      <c r="Q639" t="s">
        <v>31</v>
      </c>
      <c r="R639">
        <v>120</v>
      </c>
      <c r="S639">
        <v>24</v>
      </c>
      <c r="T639" t="s">
        <v>31</v>
      </c>
      <c r="U639" t="s">
        <v>31</v>
      </c>
      <c r="V639">
        <v>2026</v>
      </c>
      <c r="W639">
        <v>1</v>
      </c>
      <c r="X639" t="s">
        <v>1414</v>
      </c>
      <c r="Y639" s="6">
        <v>46023</v>
      </c>
      <c r="Z639" t="s">
        <v>1413</v>
      </c>
      <c r="AA639" t="s">
        <v>31</v>
      </c>
      <c r="AB639" t="s">
        <v>63</v>
      </c>
      <c r="AC639" t="s">
        <v>23</v>
      </c>
      <c r="AD639">
        <v>1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0</v>
      </c>
    </row>
    <row r="640" spans="1:36">
      <c r="A640" t="s">
        <v>783</v>
      </c>
      <c r="B640">
        <v>8.14</v>
      </c>
      <c r="C640" s="7">
        <v>46043.834027777775</v>
      </c>
      <c r="D640" s="7">
        <v>46044.173192604168</v>
      </c>
      <c r="E640" t="s">
        <v>23</v>
      </c>
      <c r="F640" t="s">
        <v>24</v>
      </c>
      <c r="G640" t="s">
        <v>25</v>
      </c>
      <c r="H640" t="s">
        <v>26</v>
      </c>
      <c r="I640" t="s">
        <v>27</v>
      </c>
      <c r="J640" t="s">
        <v>28</v>
      </c>
      <c r="K640" t="s">
        <v>37</v>
      </c>
      <c r="L640" t="s">
        <v>101</v>
      </c>
      <c r="M640">
        <v>12</v>
      </c>
      <c r="N640">
        <v>5</v>
      </c>
      <c r="O640">
        <v>0</v>
      </c>
      <c r="P640">
        <v>3</v>
      </c>
      <c r="Q640" t="s">
        <v>31</v>
      </c>
      <c r="R640">
        <v>15</v>
      </c>
      <c r="S640">
        <v>4</v>
      </c>
      <c r="T640" t="s">
        <v>63</v>
      </c>
      <c r="U640" t="s">
        <v>31</v>
      </c>
      <c r="V640">
        <v>2026</v>
      </c>
      <c r="W640">
        <v>1</v>
      </c>
      <c r="X640" t="s">
        <v>1414</v>
      </c>
      <c r="Y640" s="6">
        <v>46023</v>
      </c>
      <c r="Z640" t="s">
        <v>1413</v>
      </c>
      <c r="AA640" t="s">
        <v>31</v>
      </c>
      <c r="AB640" t="s">
        <v>63</v>
      </c>
      <c r="AC640" t="s">
        <v>23</v>
      </c>
      <c r="AD640">
        <v>1</v>
      </c>
      <c r="AE640">
        <v>0</v>
      </c>
      <c r="AF640">
        <v>1</v>
      </c>
      <c r="AG640">
        <v>0</v>
      </c>
      <c r="AH640">
        <v>0</v>
      </c>
      <c r="AI640">
        <v>1</v>
      </c>
      <c r="AJ640">
        <v>0</v>
      </c>
    </row>
    <row r="641" spans="1:36">
      <c r="A641" t="s">
        <v>784</v>
      </c>
      <c r="B641">
        <v>13.14</v>
      </c>
      <c r="C641" s="7">
        <v>46077.813194444447</v>
      </c>
      <c r="D641" s="7">
        <v>46078.36074891204</v>
      </c>
      <c r="E641" t="s">
        <v>23</v>
      </c>
      <c r="F641" t="s">
        <v>33</v>
      </c>
      <c r="G641" t="s">
        <v>51</v>
      </c>
      <c r="H641" t="s">
        <v>66</v>
      </c>
      <c r="I641" t="s">
        <v>42</v>
      </c>
      <c r="J641" t="s">
        <v>28</v>
      </c>
      <c r="K641" t="s">
        <v>29</v>
      </c>
      <c r="L641" t="s">
        <v>38</v>
      </c>
      <c r="M641">
        <v>111</v>
      </c>
      <c r="N641">
        <v>4</v>
      </c>
      <c r="O641">
        <v>0</v>
      </c>
      <c r="P641">
        <v>7</v>
      </c>
      <c r="Q641" t="s">
        <v>31</v>
      </c>
      <c r="R641">
        <v>240</v>
      </c>
      <c r="S641">
        <v>48</v>
      </c>
      <c r="T641" t="s">
        <v>63</v>
      </c>
      <c r="U641" t="s">
        <v>63</v>
      </c>
      <c r="V641">
        <v>2026</v>
      </c>
      <c r="W641">
        <v>2</v>
      </c>
      <c r="X641" t="s">
        <v>1419</v>
      </c>
      <c r="Y641" s="6">
        <v>46054</v>
      </c>
      <c r="Z641" t="s">
        <v>1413</v>
      </c>
      <c r="AA641" t="s">
        <v>31</v>
      </c>
      <c r="AB641" t="s">
        <v>63</v>
      </c>
      <c r="AC641" t="s">
        <v>23</v>
      </c>
      <c r="AD641">
        <v>1</v>
      </c>
      <c r="AE641">
        <v>0</v>
      </c>
      <c r="AF641">
        <v>1</v>
      </c>
      <c r="AG641">
        <v>0</v>
      </c>
      <c r="AH641">
        <v>0</v>
      </c>
      <c r="AI641">
        <v>1</v>
      </c>
      <c r="AJ641">
        <v>1</v>
      </c>
    </row>
    <row r="642" spans="1:36">
      <c r="A642" t="s">
        <v>785</v>
      </c>
      <c r="B642">
        <v>15.12</v>
      </c>
      <c r="C642" s="7">
        <v>46182.270833333336</v>
      </c>
      <c r="D642" s="7">
        <v>46182.900724884261</v>
      </c>
      <c r="E642" t="s">
        <v>23</v>
      </c>
      <c r="F642" t="s">
        <v>33</v>
      </c>
      <c r="G642" t="s">
        <v>25</v>
      </c>
      <c r="H642" t="s">
        <v>75</v>
      </c>
      <c r="I642" t="s">
        <v>35</v>
      </c>
      <c r="J642" t="s">
        <v>28</v>
      </c>
      <c r="K642" t="s">
        <v>52</v>
      </c>
      <c r="L642" t="s">
        <v>44</v>
      </c>
      <c r="M642">
        <v>67</v>
      </c>
      <c r="N642">
        <v>5</v>
      </c>
      <c r="O642">
        <v>0</v>
      </c>
      <c r="P642">
        <v>3</v>
      </c>
      <c r="Q642" t="s">
        <v>31</v>
      </c>
      <c r="R642">
        <v>240</v>
      </c>
      <c r="S642">
        <v>48</v>
      </c>
      <c r="T642" t="s">
        <v>63</v>
      </c>
      <c r="U642" t="s">
        <v>63</v>
      </c>
      <c r="V642">
        <v>2026</v>
      </c>
      <c r="W642">
        <v>6</v>
      </c>
      <c r="X642" t="s">
        <v>1421</v>
      </c>
      <c r="Y642" s="6">
        <v>46174</v>
      </c>
      <c r="Z642" t="s">
        <v>1413</v>
      </c>
      <c r="AA642" t="s">
        <v>31</v>
      </c>
      <c r="AB642" t="s">
        <v>63</v>
      </c>
      <c r="AC642" t="s">
        <v>23</v>
      </c>
      <c r="AD642">
        <v>1</v>
      </c>
      <c r="AE642">
        <v>0</v>
      </c>
      <c r="AF642">
        <v>1</v>
      </c>
      <c r="AG642">
        <v>0</v>
      </c>
      <c r="AH642">
        <v>0</v>
      </c>
      <c r="AI642">
        <v>1</v>
      </c>
      <c r="AJ642">
        <v>1</v>
      </c>
    </row>
    <row r="643" spans="1:36">
      <c r="A643" t="s">
        <v>786</v>
      </c>
      <c r="B643">
        <v>10.77</v>
      </c>
      <c r="C643" s="7">
        <v>46163.276388888888</v>
      </c>
      <c r="D643" s="7">
        <v>46163.724954016201</v>
      </c>
      <c r="E643" t="s">
        <v>23</v>
      </c>
      <c r="F643" t="s">
        <v>40</v>
      </c>
      <c r="G643" t="s">
        <v>41</v>
      </c>
      <c r="H643" t="s">
        <v>54</v>
      </c>
      <c r="I643" t="s">
        <v>42</v>
      </c>
      <c r="J643" t="s">
        <v>36</v>
      </c>
      <c r="K643" t="s">
        <v>37</v>
      </c>
      <c r="L643" t="s">
        <v>101</v>
      </c>
      <c r="M643">
        <v>19</v>
      </c>
      <c r="N643">
        <v>4</v>
      </c>
      <c r="O643">
        <v>0</v>
      </c>
      <c r="P643">
        <v>2</v>
      </c>
      <c r="Q643" t="s">
        <v>31</v>
      </c>
      <c r="R643">
        <v>30</v>
      </c>
      <c r="S643">
        <v>8</v>
      </c>
      <c r="T643" t="s">
        <v>63</v>
      </c>
      <c r="U643" t="s">
        <v>31</v>
      </c>
      <c r="V643">
        <v>2026</v>
      </c>
      <c r="W643">
        <v>5</v>
      </c>
      <c r="X643" t="s">
        <v>1416</v>
      </c>
      <c r="Y643" s="6">
        <v>46143</v>
      </c>
      <c r="Z643" t="s">
        <v>1413</v>
      </c>
      <c r="AA643" t="s">
        <v>31</v>
      </c>
      <c r="AB643" t="s">
        <v>63</v>
      </c>
      <c r="AC643" t="s">
        <v>23</v>
      </c>
      <c r="AD643">
        <v>1</v>
      </c>
      <c r="AE643">
        <v>0</v>
      </c>
      <c r="AF643">
        <v>1</v>
      </c>
      <c r="AG643">
        <v>0</v>
      </c>
      <c r="AH643">
        <v>0</v>
      </c>
      <c r="AI643">
        <v>1</v>
      </c>
      <c r="AJ643">
        <v>0</v>
      </c>
    </row>
    <row r="644" spans="1:36">
      <c r="A644" t="s">
        <v>787</v>
      </c>
      <c r="B644">
        <v>10.69</v>
      </c>
      <c r="C644" s="7">
        <v>46156.779166666667</v>
      </c>
      <c r="D644" s="7">
        <v>46157.224715706019</v>
      </c>
      <c r="E644" t="s">
        <v>23</v>
      </c>
      <c r="F644" t="s">
        <v>40</v>
      </c>
      <c r="G644" t="s">
        <v>65</v>
      </c>
      <c r="H644" t="s">
        <v>26</v>
      </c>
      <c r="I644" t="s">
        <v>42</v>
      </c>
      <c r="J644" t="s">
        <v>48</v>
      </c>
      <c r="K644" t="s">
        <v>76</v>
      </c>
      <c r="L644" t="s">
        <v>62</v>
      </c>
      <c r="M644">
        <v>80</v>
      </c>
      <c r="N644">
        <v>4</v>
      </c>
      <c r="O644">
        <v>0</v>
      </c>
      <c r="P644">
        <v>7</v>
      </c>
      <c r="Q644" t="s">
        <v>31</v>
      </c>
      <c r="R644">
        <v>30</v>
      </c>
      <c r="S644">
        <v>8</v>
      </c>
      <c r="T644" t="s">
        <v>31</v>
      </c>
      <c r="U644" t="s">
        <v>31</v>
      </c>
      <c r="V644">
        <v>2026</v>
      </c>
      <c r="W644">
        <v>5</v>
      </c>
      <c r="X644" t="s">
        <v>1416</v>
      </c>
      <c r="Y644" s="6">
        <v>46143</v>
      </c>
      <c r="Z644" t="s">
        <v>1413</v>
      </c>
      <c r="AA644" t="s">
        <v>31</v>
      </c>
      <c r="AB644" t="s">
        <v>63</v>
      </c>
      <c r="AC644" t="s">
        <v>23</v>
      </c>
      <c r="AD644">
        <v>1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</row>
    <row r="645" spans="1:36">
      <c r="A645" t="s">
        <v>788</v>
      </c>
      <c r="B645">
        <v>15.84</v>
      </c>
      <c r="C645" s="7">
        <v>46200.697222222225</v>
      </c>
      <c r="D645" s="7">
        <v>46201.357095810185</v>
      </c>
      <c r="E645" t="s">
        <v>23</v>
      </c>
      <c r="F645" t="s">
        <v>40</v>
      </c>
      <c r="G645" t="s">
        <v>51</v>
      </c>
      <c r="H645" t="s">
        <v>26</v>
      </c>
      <c r="I645" t="s">
        <v>42</v>
      </c>
      <c r="J645" t="s">
        <v>48</v>
      </c>
      <c r="K645" t="s">
        <v>67</v>
      </c>
      <c r="L645" t="s">
        <v>101</v>
      </c>
      <c r="M645">
        <v>37</v>
      </c>
      <c r="N645">
        <v>5</v>
      </c>
      <c r="O645">
        <v>0</v>
      </c>
      <c r="P645">
        <v>7</v>
      </c>
      <c r="Q645" t="s">
        <v>31</v>
      </c>
      <c r="R645">
        <v>30</v>
      </c>
      <c r="S645">
        <v>8</v>
      </c>
      <c r="T645" t="s">
        <v>31</v>
      </c>
      <c r="U645" t="s">
        <v>31</v>
      </c>
      <c r="V645">
        <v>2026</v>
      </c>
      <c r="W645">
        <v>6</v>
      </c>
      <c r="X645" t="s">
        <v>1421</v>
      </c>
      <c r="Y645" s="6">
        <v>46174</v>
      </c>
      <c r="Z645" t="s">
        <v>1413</v>
      </c>
      <c r="AA645" t="s">
        <v>31</v>
      </c>
      <c r="AB645" t="s">
        <v>63</v>
      </c>
      <c r="AC645" t="s">
        <v>23</v>
      </c>
      <c r="AD645">
        <v>1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0</v>
      </c>
    </row>
    <row r="646" spans="1:36">
      <c r="A646" t="s">
        <v>789</v>
      </c>
      <c r="B646">
        <v>8.9</v>
      </c>
      <c r="C646" s="7">
        <v>46260.959027777775</v>
      </c>
      <c r="D646" s="7">
        <v>46261.329955914349</v>
      </c>
      <c r="E646" t="s">
        <v>23</v>
      </c>
      <c r="F646" t="s">
        <v>40</v>
      </c>
      <c r="G646" t="s">
        <v>41</v>
      </c>
      <c r="H646" t="s">
        <v>54</v>
      </c>
      <c r="I646" t="s">
        <v>35</v>
      </c>
      <c r="J646" t="s">
        <v>48</v>
      </c>
      <c r="K646" t="s">
        <v>29</v>
      </c>
      <c r="L646" t="s">
        <v>30</v>
      </c>
      <c r="M646">
        <v>23</v>
      </c>
      <c r="N646">
        <v>5</v>
      </c>
      <c r="O646">
        <v>0</v>
      </c>
      <c r="P646">
        <v>7</v>
      </c>
      <c r="Q646" t="s">
        <v>31</v>
      </c>
      <c r="R646">
        <v>30</v>
      </c>
      <c r="S646">
        <v>8</v>
      </c>
      <c r="T646" t="s">
        <v>63</v>
      </c>
      <c r="U646" t="s">
        <v>31</v>
      </c>
      <c r="V646">
        <v>2026</v>
      </c>
      <c r="W646">
        <v>8</v>
      </c>
      <c r="X646" t="s">
        <v>1417</v>
      </c>
      <c r="Y646" s="6">
        <v>46235</v>
      </c>
      <c r="Z646" t="s">
        <v>1413</v>
      </c>
      <c r="AA646" t="s">
        <v>31</v>
      </c>
      <c r="AB646" t="s">
        <v>63</v>
      </c>
      <c r="AC646" t="s">
        <v>23</v>
      </c>
      <c r="AD646">
        <v>1</v>
      </c>
      <c r="AE646">
        <v>0</v>
      </c>
      <c r="AF646">
        <v>1</v>
      </c>
      <c r="AG646">
        <v>0</v>
      </c>
      <c r="AH646">
        <v>0</v>
      </c>
      <c r="AI646">
        <v>1</v>
      </c>
      <c r="AJ646">
        <v>0</v>
      </c>
    </row>
    <row r="647" spans="1:36">
      <c r="A647" t="s">
        <v>790</v>
      </c>
      <c r="B647">
        <v>32.950000000000003</v>
      </c>
      <c r="C647" s="7">
        <v>46061.19027777778</v>
      </c>
      <c r="D647" s="7">
        <v>46062.563183622682</v>
      </c>
      <c r="E647" t="s">
        <v>23</v>
      </c>
      <c r="F647" t="s">
        <v>33</v>
      </c>
      <c r="G647" t="s">
        <v>41</v>
      </c>
      <c r="H647" t="s">
        <v>26</v>
      </c>
      <c r="I647" t="s">
        <v>35</v>
      </c>
      <c r="J647" t="s">
        <v>28</v>
      </c>
      <c r="K647" t="s">
        <v>52</v>
      </c>
      <c r="L647" t="s">
        <v>62</v>
      </c>
      <c r="M647">
        <v>137</v>
      </c>
      <c r="N647">
        <v>4</v>
      </c>
      <c r="O647">
        <v>0</v>
      </c>
      <c r="P647">
        <v>3</v>
      </c>
      <c r="Q647" t="s">
        <v>31</v>
      </c>
      <c r="R647">
        <v>240</v>
      </c>
      <c r="S647">
        <v>48</v>
      </c>
      <c r="T647" t="s">
        <v>63</v>
      </c>
      <c r="U647" t="s">
        <v>63</v>
      </c>
      <c r="V647">
        <v>2026</v>
      </c>
      <c r="W647">
        <v>2</v>
      </c>
      <c r="X647" t="s">
        <v>1419</v>
      </c>
      <c r="Y647" s="6">
        <v>46054</v>
      </c>
      <c r="Z647" t="s">
        <v>1413</v>
      </c>
      <c r="AA647" t="s">
        <v>31</v>
      </c>
      <c r="AB647" t="s">
        <v>63</v>
      </c>
      <c r="AC647" t="s">
        <v>23</v>
      </c>
      <c r="AD647">
        <v>1</v>
      </c>
      <c r="AE647">
        <v>0</v>
      </c>
      <c r="AF647">
        <v>1</v>
      </c>
      <c r="AG647">
        <v>0</v>
      </c>
      <c r="AH647">
        <v>0</v>
      </c>
      <c r="AI647">
        <v>1</v>
      </c>
      <c r="AJ647">
        <v>1</v>
      </c>
    </row>
    <row r="648" spans="1:36">
      <c r="A648" t="s">
        <v>791</v>
      </c>
      <c r="B648">
        <v>58.59</v>
      </c>
      <c r="C648" s="7">
        <v>46264.066666666666</v>
      </c>
      <c r="D648" s="7">
        <v>46266.507798252314</v>
      </c>
      <c r="E648" t="s">
        <v>23</v>
      </c>
      <c r="F648" t="s">
        <v>33</v>
      </c>
      <c r="G648" t="s">
        <v>51</v>
      </c>
      <c r="H648" t="s">
        <v>66</v>
      </c>
      <c r="I648" t="s">
        <v>35</v>
      </c>
      <c r="J648" t="s">
        <v>48</v>
      </c>
      <c r="K648" t="s">
        <v>76</v>
      </c>
      <c r="L648" t="s">
        <v>68</v>
      </c>
      <c r="M648">
        <v>151</v>
      </c>
      <c r="N648">
        <v>4</v>
      </c>
      <c r="O648">
        <v>0</v>
      </c>
      <c r="P648">
        <v>7</v>
      </c>
      <c r="Q648" t="s">
        <v>31</v>
      </c>
      <c r="R648">
        <v>240</v>
      </c>
      <c r="S648">
        <v>48</v>
      </c>
      <c r="T648" t="s">
        <v>63</v>
      </c>
      <c r="U648" t="s">
        <v>31</v>
      </c>
      <c r="V648">
        <v>2026</v>
      </c>
      <c r="W648">
        <v>8</v>
      </c>
      <c r="X648" t="s">
        <v>1417</v>
      </c>
      <c r="Y648" s="6">
        <v>46235</v>
      </c>
      <c r="Z648" t="s">
        <v>1413</v>
      </c>
      <c r="AA648" t="s">
        <v>31</v>
      </c>
      <c r="AB648" t="s">
        <v>63</v>
      </c>
      <c r="AC648" t="s">
        <v>23</v>
      </c>
      <c r="AD648">
        <v>1</v>
      </c>
      <c r="AE648">
        <v>0</v>
      </c>
      <c r="AF648">
        <v>1</v>
      </c>
      <c r="AG648">
        <v>0</v>
      </c>
      <c r="AH648">
        <v>0</v>
      </c>
      <c r="AI648">
        <v>1</v>
      </c>
      <c r="AJ648">
        <v>0</v>
      </c>
    </row>
    <row r="649" spans="1:36">
      <c r="A649" t="s">
        <v>792</v>
      </c>
      <c r="B649">
        <v>16.690000000000001</v>
      </c>
      <c r="C649" s="7">
        <v>46120.913888888892</v>
      </c>
      <c r="D649" s="7">
        <v>46121.60944177083</v>
      </c>
      <c r="E649" t="s">
        <v>23</v>
      </c>
      <c r="F649" t="s">
        <v>50</v>
      </c>
      <c r="G649" t="s">
        <v>51</v>
      </c>
      <c r="H649" t="s">
        <v>66</v>
      </c>
      <c r="I649" t="s">
        <v>35</v>
      </c>
      <c r="J649" t="s">
        <v>48</v>
      </c>
      <c r="K649" t="s">
        <v>52</v>
      </c>
      <c r="L649" t="s">
        <v>44</v>
      </c>
      <c r="M649">
        <v>51</v>
      </c>
      <c r="N649">
        <v>4</v>
      </c>
      <c r="O649">
        <v>1</v>
      </c>
      <c r="P649">
        <v>8</v>
      </c>
      <c r="Q649" t="s">
        <v>31</v>
      </c>
      <c r="R649">
        <v>120</v>
      </c>
      <c r="S649">
        <v>24</v>
      </c>
      <c r="T649" t="s">
        <v>63</v>
      </c>
      <c r="U649" t="s">
        <v>63</v>
      </c>
      <c r="V649">
        <v>2026</v>
      </c>
      <c r="W649">
        <v>4</v>
      </c>
      <c r="X649" t="s">
        <v>1412</v>
      </c>
      <c r="Y649" s="6">
        <v>46113</v>
      </c>
      <c r="Z649" t="s">
        <v>1413</v>
      </c>
      <c r="AA649" t="s">
        <v>63</v>
      </c>
      <c r="AB649" t="s">
        <v>63</v>
      </c>
      <c r="AC649" t="s">
        <v>23</v>
      </c>
      <c r="AD649">
        <v>1</v>
      </c>
      <c r="AE649">
        <v>0</v>
      </c>
      <c r="AF649">
        <v>1</v>
      </c>
      <c r="AG649">
        <v>1</v>
      </c>
      <c r="AH649">
        <v>0</v>
      </c>
      <c r="AI649">
        <v>1</v>
      </c>
      <c r="AJ649">
        <v>1</v>
      </c>
    </row>
    <row r="650" spans="1:36">
      <c r="A650" t="s">
        <v>793</v>
      </c>
      <c r="B650">
        <v>27.03</v>
      </c>
      <c r="C650" s="7">
        <v>46080.292361111111</v>
      </c>
      <c r="D650" s="7">
        <v>46081.418482245368</v>
      </c>
      <c r="E650" t="s">
        <v>23</v>
      </c>
      <c r="F650" t="s">
        <v>50</v>
      </c>
      <c r="G650" t="s">
        <v>25</v>
      </c>
      <c r="H650" t="s">
        <v>26</v>
      </c>
      <c r="I650" t="s">
        <v>42</v>
      </c>
      <c r="J650" t="s">
        <v>28</v>
      </c>
      <c r="K650" t="s">
        <v>76</v>
      </c>
      <c r="L650" t="s">
        <v>93</v>
      </c>
      <c r="M650">
        <v>84</v>
      </c>
      <c r="N650">
        <v>4</v>
      </c>
      <c r="O650">
        <v>0</v>
      </c>
      <c r="P650">
        <v>3</v>
      </c>
      <c r="Q650" t="s">
        <v>31</v>
      </c>
      <c r="R650">
        <v>120</v>
      </c>
      <c r="S650">
        <v>24</v>
      </c>
      <c r="T650" t="s">
        <v>63</v>
      </c>
      <c r="U650" t="s">
        <v>31</v>
      </c>
      <c r="V650">
        <v>2026</v>
      </c>
      <c r="W650">
        <v>2</v>
      </c>
      <c r="X650" t="s">
        <v>1419</v>
      </c>
      <c r="Y650" s="6">
        <v>46054</v>
      </c>
      <c r="Z650" t="s">
        <v>1413</v>
      </c>
      <c r="AA650" t="s">
        <v>31</v>
      </c>
      <c r="AB650" t="s">
        <v>63</v>
      </c>
      <c r="AC650" t="s">
        <v>23</v>
      </c>
      <c r="AD650">
        <v>1</v>
      </c>
      <c r="AE650">
        <v>0</v>
      </c>
      <c r="AF650">
        <v>1</v>
      </c>
      <c r="AG650">
        <v>0</v>
      </c>
      <c r="AH650">
        <v>0</v>
      </c>
      <c r="AI650">
        <v>1</v>
      </c>
      <c r="AJ650">
        <v>0</v>
      </c>
    </row>
    <row r="651" spans="1:36">
      <c r="A651" t="s">
        <v>794</v>
      </c>
      <c r="B651">
        <v>32.08</v>
      </c>
      <c r="C651" s="7">
        <v>46091.177083333336</v>
      </c>
      <c r="D651" s="7">
        <v>46092.513888888891</v>
      </c>
      <c r="E651" t="s">
        <v>23</v>
      </c>
      <c r="F651" t="s">
        <v>50</v>
      </c>
      <c r="G651" t="s">
        <v>25</v>
      </c>
      <c r="H651" t="s">
        <v>54</v>
      </c>
      <c r="I651" t="s">
        <v>35</v>
      </c>
      <c r="J651" t="s">
        <v>43</v>
      </c>
      <c r="K651" t="s">
        <v>58</v>
      </c>
      <c r="L651" t="s">
        <v>44</v>
      </c>
      <c r="M651">
        <v>72</v>
      </c>
      <c r="N651">
        <v>3</v>
      </c>
      <c r="O651">
        <v>2</v>
      </c>
      <c r="P651">
        <v>9</v>
      </c>
      <c r="Q651" t="s">
        <v>31</v>
      </c>
      <c r="R651">
        <v>120</v>
      </c>
      <c r="S651">
        <v>24</v>
      </c>
      <c r="T651" t="s">
        <v>63</v>
      </c>
      <c r="U651" t="s">
        <v>31</v>
      </c>
      <c r="V651">
        <v>2026</v>
      </c>
      <c r="W651">
        <v>3</v>
      </c>
      <c r="X651" t="s">
        <v>1423</v>
      </c>
      <c r="Y651" s="6">
        <v>46082</v>
      </c>
      <c r="Z651" t="s">
        <v>1418</v>
      </c>
      <c r="AA651" t="s">
        <v>63</v>
      </c>
      <c r="AB651" t="s">
        <v>63</v>
      </c>
      <c r="AC651" t="s">
        <v>23</v>
      </c>
      <c r="AD651">
        <v>1</v>
      </c>
      <c r="AE651">
        <v>0</v>
      </c>
      <c r="AF651">
        <v>1</v>
      </c>
      <c r="AG651">
        <v>1</v>
      </c>
      <c r="AH651">
        <v>0</v>
      </c>
      <c r="AI651">
        <v>1</v>
      </c>
      <c r="AJ651">
        <v>0</v>
      </c>
    </row>
    <row r="652" spans="1:36">
      <c r="A652" t="s">
        <v>796</v>
      </c>
      <c r="C652" s="7">
        <v>46201.62777777778</v>
      </c>
      <c r="D652" s="7"/>
      <c r="E652" t="s">
        <v>57</v>
      </c>
      <c r="F652" t="s">
        <v>50</v>
      </c>
      <c r="G652" t="s">
        <v>25</v>
      </c>
      <c r="H652" t="s">
        <v>75</v>
      </c>
      <c r="I652" t="s">
        <v>35</v>
      </c>
      <c r="J652" t="s">
        <v>36</v>
      </c>
      <c r="K652" t="s">
        <v>37</v>
      </c>
      <c r="L652" t="s">
        <v>44</v>
      </c>
      <c r="M652">
        <v>72</v>
      </c>
      <c r="O652">
        <v>0</v>
      </c>
      <c r="P652">
        <v>3</v>
      </c>
      <c r="Q652" t="s">
        <v>31</v>
      </c>
      <c r="R652">
        <v>120</v>
      </c>
      <c r="S652">
        <v>24</v>
      </c>
      <c r="T652" t="s">
        <v>63</v>
      </c>
      <c r="U652" t="s">
        <v>74</v>
      </c>
      <c r="V652">
        <v>2026</v>
      </c>
      <c r="W652">
        <v>6</v>
      </c>
      <c r="X652" t="s">
        <v>1421</v>
      </c>
      <c r="Y652" s="6">
        <v>46174</v>
      </c>
      <c r="Z652" t="s">
        <v>1420</v>
      </c>
      <c r="AA652" t="s">
        <v>31</v>
      </c>
      <c r="AB652" t="s">
        <v>31</v>
      </c>
      <c r="AC652" t="s">
        <v>57</v>
      </c>
      <c r="AD652">
        <v>1</v>
      </c>
      <c r="AE652">
        <v>1</v>
      </c>
      <c r="AF652">
        <v>0</v>
      </c>
      <c r="AG652">
        <v>0</v>
      </c>
      <c r="AH652">
        <v>0</v>
      </c>
      <c r="AI652">
        <v>1</v>
      </c>
    </row>
    <row r="653" spans="1:36">
      <c r="A653" t="s">
        <v>797</v>
      </c>
      <c r="B653">
        <v>12.38</v>
      </c>
      <c r="C653" s="7">
        <v>46083.597916666666</v>
      </c>
      <c r="D653" s="7">
        <v>46084.113822939813</v>
      </c>
      <c r="E653" t="s">
        <v>23</v>
      </c>
      <c r="F653" t="s">
        <v>50</v>
      </c>
      <c r="G653" t="s">
        <v>25</v>
      </c>
      <c r="H653" t="s">
        <v>66</v>
      </c>
      <c r="I653" t="s">
        <v>35</v>
      </c>
      <c r="J653" t="s">
        <v>43</v>
      </c>
      <c r="K653" t="s">
        <v>52</v>
      </c>
      <c r="L653" t="s">
        <v>44</v>
      </c>
      <c r="M653">
        <v>118</v>
      </c>
      <c r="N653">
        <v>4</v>
      </c>
      <c r="O653">
        <v>0</v>
      </c>
      <c r="P653">
        <v>6</v>
      </c>
      <c r="Q653" t="s">
        <v>31</v>
      </c>
      <c r="R653">
        <v>120</v>
      </c>
      <c r="S653">
        <v>24</v>
      </c>
      <c r="T653" t="s">
        <v>63</v>
      </c>
      <c r="U653" t="s">
        <v>63</v>
      </c>
      <c r="V653">
        <v>2026</v>
      </c>
      <c r="W653">
        <v>3</v>
      </c>
      <c r="X653" t="s">
        <v>1423</v>
      </c>
      <c r="Y653" s="6">
        <v>46082</v>
      </c>
      <c r="Z653" t="s">
        <v>1413</v>
      </c>
      <c r="AA653" t="s">
        <v>31</v>
      </c>
      <c r="AB653" t="s">
        <v>63</v>
      </c>
      <c r="AC653" t="s">
        <v>23</v>
      </c>
      <c r="AD653">
        <v>1</v>
      </c>
      <c r="AE653">
        <v>0</v>
      </c>
      <c r="AF653">
        <v>1</v>
      </c>
      <c r="AG653">
        <v>0</v>
      </c>
      <c r="AH653">
        <v>0</v>
      </c>
      <c r="AI653">
        <v>1</v>
      </c>
      <c r="AJ653">
        <v>1</v>
      </c>
    </row>
    <row r="654" spans="1:36">
      <c r="A654" t="s">
        <v>798</v>
      </c>
      <c r="B654">
        <v>12.68</v>
      </c>
      <c r="C654" s="7">
        <v>46030.008333333331</v>
      </c>
      <c r="D654" s="7">
        <v>46030.53663988426</v>
      </c>
      <c r="E654" t="s">
        <v>23</v>
      </c>
      <c r="F654" t="s">
        <v>40</v>
      </c>
      <c r="G654" t="s">
        <v>51</v>
      </c>
      <c r="H654" t="s">
        <v>66</v>
      </c>
      <c r="I654" t="s">
        <v>42</v>
      </c>
      <c r="J654" t="s">
        <v>28</v>
      </c>
      <c r="K654" t="s">
        <v>37</v>
      </c>
      <c r="L654" t="s">
        <v>38</v>
      </c>
      <c r="M654">
        <v>29</v>
      </c>
      <c r="N654">
        <v>5</v>
      </c>
      <c r="O654">
        <v>0</v>
      </c>
      <c r="P654">
        <v>2</v>
      </c>
      <c r="Q654" t="s">
        <v>31</v>
      </c>
      <c r="R654">
        <v>30</v>
      </c>
      <c r="S654">
        <v>8</v>
      </c>
      <c r="T654" t="s">
        <v>63</v>
      </c>
      <c r="U654" t="s">
        <v>31</v>
      </c>
      <c r="V654">
        <v>2026</v>
      </c>
      <c r="W654">
        <v>1</v>
      </c>
      <c r="X654" t="s">
        <v>1414</v>
      </c>
      <c r="Y654" s="6">
        <v>46023</v>
      </c>
      <c r="Z654" t="s">
        <v>1413</v>
      </c>
      <c r="AA654" t="s">
        <v>31</v>
      </c>
      <c r="AB654" t="s">
        <v>63</v>
      </c>
      <c r="AC654" t="s">
        <v>23</v>
      </c>
      <c r="AD654">
        <v>1</v>
      </c>
      <c r="AE654">
        <v>0</v>
      </c>
      <c r="AF654">
        <v>1</v>
      </c>
      <c r="AG654">
        <v>0</v>
      </c>
      <c r="AH654">
        <v>0</v>
      </c>
      <c r="AI654">
        <v>1</v>
      </c>
      <c r="AJ654">
        <v>0</v>
      </c>
    </row>
    <row r="655" spans="1:36">
      <c r="A655" t="s">
        <v>799</v>
      </c>
      <c r="B655">
        <v>46.59</v>
      </c>
      <c r="C655" s="7">
        <v>46248.920138888891</v>
      </c>
      <c r="D655" s="7">
        <v>46250.861507847221</v>
      </c>
      <c r="E655" t="s">
        <v>23</v>
      </c>
      <c r="F655" t="s">
        <v>50</v>
      </c>
      <c r="G655" t="s">
        <v>25</v>
      </c>
      <c r="H655" t="s">
        <v>54</v>
      </c>
      <c r="I655" t="s">
        <v>35</v>
      </c>
      <c r="J655" t="s">
        <v>43</v>
      </c>
      <c r="K655" t="s">
        <v>76</v>
      </c>
      <c r="L655" t="s">
        <v>62</v>
      </c>
      <c r="M655">
        <v>92</v>
      </c>
      <c r="N655">
        <v>4</v>
      </c>
      <c r="O655">
        <v>0</v>
      </c>
      <c r="P655">
        <v>3</v>
      </c>
      <c r="Q655" t="s">
        <v>31</v>
      </c>
      <c r="R655">
        <v>120</v>
      </c>
      <c r="S655">
        <v>24</v>
      </c>
      <c r="T655" t="s">
        <v>63</v>
      </c>
      <c r="U655" t="s">
        <v>31</v>
      </c>
      <c r="V655">
        <v>2026</v>
      </c>
      <c r="W655">
        <v>8</v>
      </c>
      <c r="X655" t="s">
        <v>1417</v>
      </c>
      <c r="Y655" s="6">
        <v>46235</v>
      </c>
      <c r="Z655" t="s">
        <v>1413</v>
      </c>
      <c r="AA655" t="s">
        <v>31</v>
      </c>
      <c r="AB655" t="s">
        <v>63</v>
      </c>
      <c r="AC655" t="s">
        <v>23</v>
      </c>
      <c r="AD655">
        <v>1</v>
      </c>
      <c r="AE655">
        <v>0</v>
      </c>
      <c r="AF655">
        <v>1</v>
      </c>
      <c r="AG655">
        <v>0</v>
      </c>
      <c r="AH655">
        <v>0</v>
      </c>
      <c r="AI655">
        <v>1</v>
      </c>
      <c r="AJ655">
        <v>0</v>
      </c>
    </row>
    <row r="656" spans="1:36">
      <c r="A656" t="s">
        <v>800</v>
      </c>
      <c r="B656">
        <v>9.6300000000000008</v>
      </c>
      <c r="C656" s="7">
        <v>46091.902777777781</v>
      </c>
      <c r="D656" s="7">
        <v>46092.303853865742</v>
      </c>
      <c r="E656" t="s">
        <v>23</v>
      </c>
      <c r="F656" t="s">
        <v>33</v>
      </c>
      <c r="G656" t="s">
        <v>25</v>
      </c>
      <c r="H656" t="s">
        <v>66</v>
      </c>
      <c r="I656" t="s">
        <v>42</v>
      </c>
      <c r="J656" t="s">
        <v>43</v>
      </c>
      <c r="K656" t="s">
        <v>29</v>
      </c>
      <c r="L656" t="s">
        <v>44</v>
      </c>
      <c r="M656">
        <v>55</v>
      </c>
      <c r="N656">
        <v>4</v>
      </c>
      <c r="O656">
        <v>0</v>
      </c>
      <c r="P656">
        <v>4</v>
      </c>
      <c r="Q656" t="s">
        <v>31</v>
      </c>
      <c r="R656">
        <v>240</v>
      </c>
      <c r="S656">
        <v>48</v>
      </c>
      <c r="T656" t="s">
        <v>63</v>
      </c>
      <c r="U656" t="s">
        <v>63</v>
      </c>
      <c r="V656">
        <v>2026</v>
      </c>
      <c r="W656">
        <v>3</v>
      </c>
      <c r="X656" t="s">
        <v>1423</v>
      </c>
      <c r="Y656" s="6">
        <v>46082</v>
      </c>
      <c r="Z656" t="s">
        <v>1413</v>
      </c>
      <c r="AA656" t="s">
        <v>31</v>
      </c>
      <c r="AB656" t="s">
        <v>63</v>
      </c>
      <c r="AC656" t="s">
        <v>23</v>
      </c>
      <c r="AD656">
        <v>1</v>
      </c>
      <c r="AE656">
        <v>0</v>
      </c>
      <c r="AF656">
        <v>1</v>
      </c>
      <c r="AG656">
        <v>0</v>
      </c>
      <c r="AH656">
        <v>0</v>
      </c>
      <c r="AI656">
        <v>1</v>
      </c>
      <c r="AJ656">
        <v>1</v>
      </c>
    </row>
    <row r="657" spans="1:36">
      <c r="A657" t="s">
        <v>801</v>
      </c>
      <c r="B657">
        <v>8.8000000000000007</v>
      </c>
      <c r="C657" s="7">
        <v>46112.293749999997</v>
      </c>
      <c r="D657" s="7">
        <v>46112.66047166667</v>
      </c>
      <c r="E657" t="s">
        <v>23</v>
      </c>
      <c r="F657" t="s">
        <v>50</v>
      </c>
      <c r="G657" t="s">
        <v>25</v>
      </c>
      <c r="H657" t="s">
        <v>54</v>
      </c>
      <c r="I657" t="s">
        <v>42</v>
      </c>
      <c r="J657" t="s">
        <v>48</v>
      </c>
      <c r="K657" t="s">
        <v>52</v>
      </c>
      <c r="L657" t="s">
        <v>71</v>
      </c>
      <c r="M657">
        <v>132</v>
      </c>
      <c r="N657">
        <v>4</v>
      </c>
      <c r="O657">
        <v>0</v>
      </c>
      <c r="P657">
        <v>5</v>
      </c>
      <c r="Q657" t="s">
        <v>31</v>
      </c>
      <c r="R657">
        <v>120</v>
      </c>
      <c r="S657">
        <v>24</v>
      </c>
      <c r="T657" t="s">
        <v>31</v>
      </c>
      <c r="U657" t="s">
        <v>63</v>
      </c>
      <c r="V657">
        <v>2026</v>
      </c>
      <c r="W657">
        <v>3</v>
      </c>
      <c r="X657" t="s">
        <v>1423</v>
      </c>
      <c r="Y657" s="6">
        <v>46082</v>
      </c>
      <c r="Z657" t="s">
        <v>1413</v>
      </c>
      <c r="AA657" t="s">
        <v>31</v>
      </c>
      <c r="AB657" t="s">
        <v>63</v>
      </c>
      <c r="AC657" t="s">
        <v>23</v>
      </c>
      <c r="AD657">
        <v>1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1</v>
      </c>
    </row>
    <row r="658" spans="1:36">
      <c r="A658" t="s">
        <v>802</v>
      </c>
      <c r="B658">
        <v>16.91</v>
      </c>
      <c r="C658" s="7">
        <v>46125.425694444442</v>
      </c>
      <c r="D658" s="7">
        <v>46126.130403738425</v>
      </c>
      <c r="E658" t="s">
        <v>23</v>
      </c>
      <c r="F658" t="s">
        <v>50</v>
      </c>
      <c r="G658" t="s">
        <v>51</v>
      </c>
      <c r="H658" t="s">
        <v>34</v>
      </c>
      <c r="I658" t="s">
        <v>27</v>
      </c>
      <c r="J658" t="s">
        <v>28</v>
      </c>
      <c r="K658" t="s">
        <v>58</v>
      </c>
      <c r="L658" t="s">
        <v>55</v>
      </c>
      <c r="M658">
        <v>179</v>
      </c>
      <c r="N658">
        <v>4</v>
      </c>
      <c r="O658">
        <v>1</v>
      </c>
      <c r="P658">
        <v>6</v>
      </c>
      <c r="Q658" t="s">
        <v>31</v>
      </c>
      <c r="R658">
        <v>120</v>
      </c>
      <c r="S658">
        <v>24</v>
      </c>
      <c r="T658" t="s">
        <v>31</v>
      </c>
      <c r="U658" t="s">
        <v>63</v>
      </c>
      <c r="V658">
        <v>2026</v>
      </c>
      <c r="W658">
        <v>4</v>
      </c>
      <c r="X658" t="s">
        <v>1412</v>
      </c>
      <c r="Y658" s="6">
        <v>46113</v>
      </c>
      <c r="Z658" t="s">
        <v>1413</v>
      </c>
      <c r="AA658" t="s">
        <v>63</v>
      </c>
      <c r="AB658" t="s">
        <v>63</v>
      </c>
      <c r="AC658" t="s">
        <v>23</v>
      </c>
      <c r="AD658">
        <v>1</v>
      </c>
      <c r="AE658">
        <v>0</v>
      </c>
      <c r="AF658">
        <v>1</v>
      </c>
      <c r="AG658">
        <v>1</v>
      </c>
      <c r="AH658">
        <v>0</v>
      </c>
      <c r="AI658">
        <v>0</v>
      </c>
      <c r="AJ658">
        <v>1</v>
      </c>
    </row>
    <row r="659" spans="1:36">
      <c r="A659" t="s">
        <v>803</v>
      </c>
      <c r="B659">
        <v>28.7</v>
      </c>
      <c r="C659" s="7">
        <v>46025.102777777778</v>
      </c>
      <c r="D659" s="7">
        <v>46026.298611111109</v>
      </c>
      <c r="E659" t="s">
        <v>23</v>
      </c>
      <c r="F659" t="s">
        <v>33</v>
      </c>
      <c r="G659" t="s">
        <v>51</v>
      </c>
      <c r="H659" t="s">
        <v>26</v>
      </c>
      <c r="I659" t="s">
        <v>42</v>
      </c>
      <c r="J659" t="s">
        <v>36</v>
      </c>
      <c r="K659" t="s">
        <v>29</v>
      </c>
      <c r="L659" t="s">
        <v>1401</v>
      </c>
      <c r="M659">
        <v>261</v>
      </c>
      <c r="N659">
        <v>4</v>
      </c>
      <c r="O659">
        <v>0</v>
      </c>
      <c r="P659">
        <v>2</v>
      </c>
      <c r="Q659" t="s">
        <v>31</v>
      </c>
      <c r="R659">
        <v>240</v>
      </c>
      <c r="S659">
        <v>48</v>
      </c>
      <c r="T659" t="s">
        <v>31</v>
      </c>
      <c r="U659" t="s">
        <v>63</v>
      </c>
      <c r="V659">
        <v>2026</v>
      </c>
      <c r="W659">
        <v>1</v>
      </c>
      <c r="X659" t="s">
        <v>1414</v>
      </c>
      <c r="Y659" s="6">
        <v>46023</v>
      </c>
      <c r="Z659" t="s">
        <v>1413</v>
      </c>
      <c r="AA659" t="s">
        <v>31</v>
      </c>
      <c r="AB659" t="s">
        <v>63</v>
      </c>
      <c r="AC659" t="s">
        <v>23</v>
      </c>
      <c r="AD659">
        <v>1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1</v>
      </c>
    </row>
    <row r="660" spans="1:36">
      <c r="A660" t="s">
        <v>805</v>
      </c>
      <c r="B660">
        <v>20.52</v>
      </c>
      <c r="C660" s="7">
        <v>46133.853472222225</v>
      </c>
      <c r="D660" s="7">
        <v>46134.708327777778</v>
      </c>
      <c r="E660" t="s">
        <v>23</v>
      </c>
      <c r="F660" t="s">
        <v>50</v>
      </c>
      <c r="G660" t="s">
        <v>51</v>
      </c>
      <c r="H660" t="s">
        <v>54</v>
      </c>
      <c r="I660" t="s">
        <v>35</v>
      </c>
      <c r="J660" t="s">
        <v>36</v>
      </c>
      <c r="K660" t="s">
        <v>37</v>
      </c>
      <c r="L660" t="s">
        <v>62</v>
      </c>
      <c r="M660">
        <v>105</v>
      </c>
      <c r="N660">
        <v>4</v>
      </c>
      <c r="O660">
        <v>0</v>
      </c>
      <c r="P660">
        <v>2</v>
      </c>
      <c r="Q660" t="s">
        <v>31</v>
      </c>
      <c r="R660">
        <v>120</v>
      </c>
      <c r="S660">
        <v>24</v>
      </c>
      <c r="T660" t="s">
        <v>63</v>
      </c>
      <c r="U660" t="s">
        <v>63</v>
      </c>
      <c r="V660">
        <v>2026</v>
      </c>
      <c r="W660">
        <v>4</v>
      </c>
      <c r="X660" t="s">
        <v>1412</v>
      </c>
      <c r="Y660" s="6">
        <v>46113</v>
      </c>
      <c r="Z660" t="s">
        <v>1413</v>
      </c>
      <c r="AA660" t="s">
        <v>31</v>
      </c>
      <c r="AB660" t="s">
        <v>63</v>
      </c>
      <c r="AC660" t="s">
        <v>23</v>
      </c>
      <c r="AD660">
        <v>1</v>
      </c>
      <c r="AE660">
        <v>0</v>
      </c>
      <c r="AF660">
        <v>1</v>
      </c>
      <c r="AG660">
        <v>0</v>
      </c>
      <c r="AH660">
        <v>0</v>
      </c>
      <c r="AI660">
        <v>1</v>
      </c>
      <c r="AJ660">
        <v>1</v>
      </c>
    </row>
    <row r="661" spans="1:36">
      <c r="A661" t="s">
        <v>806</v>
      </c>
      <c r="B661">
        <v>4.4400000000000004</v>
      </c>
      <c r="C661" s="7">
        <v>46152.4375</v>
      </c>
      <c r="D661" s="7">
        <v>46152.622362106478</v>
      </c>
      <c r="E661" t="s">
        <v>23</v>
      </c>
      <c r="F661" t="s">
        <v>24</v>
      </c>
      <c r="G661" t="s">
        <v>65</v>
      </c>
      <c r="H661" t="s">
        <v>66</v>
      </c>
      <c r="I661" t="s">
        <v>42</v>
      </c>
      <c r="J661" t="s">
        <v>36</v>
      </c>
      <c r="K661" t="s">
        <v>52</v>
      </c>
      <c r="L661" t="s">
        <v>1401</v>
      </c>
      <c r="M661">
        <v>65</v>
      </c>
      <c r="N661">
        <v>5</v>
      </c>
      <c r="O661">
        <v>0</v>
      </c>
      <c r="P661">
        <v>5</v>
      </c>
      <c r="Q661" t="s">
        <v>31</v>
      </c>
      <c r="R661">
        <v>15</v>
      </c>
      <c r="S661">
        <v>4</v>
      </c>
      <c r="T661" t="s">
        <v>31</v>
      </c>
      <c r="U661" t="s">
        <v>31</v>
      </c>
      <c r="V661">
        <v>2026</v>
      </c>
      <c r="W661">
        <v>5</v>
      </c>
      <c r="X661" t="s">
        <v>1416</v>
      </c>
      <c r="Y661" s="6">
        <v>46143</v>
      </c>
      <c r="Z661" t="s">
        <v>1413</v>
      </c>
      <c r="AA661" t="s">
        <v>31</v>
      </c>
      <c r="AB661" t="s">
        <v>63</v>
      </c>
      <c r="AC661" t="s">
        <v>23</v>
      </c>
      <c r="AD661">
        <v>1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0</v>
      </c>
    </row>
    <row r="662" spans="1:36">
      <c r="A662" t="s">
        <v>807</v>
      </c>
      <c r="B662">
        <v>38.75</v>
      </c>
      <c r="C662" s="7">
        <v>46218.720833333333</v>
      </c>
      <c r="D662" s="7">
        <v>46220.335605069442</v>
      </c>
      <c r="E662" t="s">
        <v>23</v>
      </c>
      <c r="F662" t="s">
        <v>33</v>
      </c>
      <c r="G662" t="s">
        <v>25</v>
      </c>
      <c r="H662" t="s">
        <v>26</v>
      </c>
      <c r="I662" t="s">
        <v>42</v>
      </c>
      <c r="J662" t="s">
        <v>28</v>
      </c>
      <c r="K662" t="s">
        <v>58</v>
      </c>
      <c r="L662" t="s">
        <v>38</v>
      </c>
      <c r="M662">
        <v>117</v>
      </c>
      <c r="N662">
        <v>3</v>
      </c>
      <c r="O662">
        <v>1</v>
      </c>
      <c r="P662">
        <v>10</v>
      </c>
      <c r="Q662" t="s">
        <v>31</v>
      </c>
      <c r="R662">
        <v>240</v>
      </c>
      <c r="S662">
        <v>48</v>
      </c>
      <c r="T662" t="s">
        <v>63</v>
      </c>
      <c r="U662" t="s">
        <v>63</v>
      </c>
      <c r="V662">
        <v>2026</v>
      </c>
      <c r="W662">
        <v>7</v>
      </c>
      <c r="X662" t="s">
        <v>1422</v>
      </c>
      <c r="Y662" s="6">
        <v>46204</v>
      </c>
      <c r="Z662" t="s">
        <v>1418</v>
      </c>
      <c r="AA662" t="s">
        <v>63</v>
      </c>
      <c r="AB662" t="s">
        <v>63</v>
      </c>
      <c r="AC662" t="s">
        <v>23</v>
      </c>
      <c r="AD662">
        <v>1</v>
      </c>
      <c r="AE662">
        <v>0</v>
      </c>
      <c r="AF662">
        <v>1</v>
      </c>
      <c r="AG662">
        <v>1</v>
      </c>
      <c r="AH662">
        <v>0</v>
      </c>
      <c r="AI662">
        <v>1</v>
      </c>
      <c r="AJ662">
        <v>1</v>
      </c>
    </row>
    <row r="663" spans="1:36">
      <c r="A663" t="s">
        <v>808</v>
      </c>
      <c r="B663">
        <v>5.99</v>
      </c>
      <c r="C663" s="7">
        <v>46069.520833333336</v>
      </c>
      <c r="D663" s="7">
        <v>46069.770403807874</v>
      </c>
      <c r="E663" t="s">
        <v>23</v>
      </c>
      <c r="F663" t="s">
        <v>40</v>
      </c>
      <c r="G663" t="s">
        <v>65</v>
      </c>
      <c r="H663" t="s">
        <v>26</v>
      </c>
      <c r="I663" t="s">
        <v>35</v>
      </c>
      <c r="J663" t="s">
        <v>43</v>
      </c>
      <c r="K663" t="s">
        <v>52</v>
      </c>
      <c r="L663" t="s">
        <v>44</v>
      </c>
      <c r="M663">
        <v>54</v>
      </c>
      <c r="N663">
        <v>4</v>
      </c>
      <c r="O663">
        <v>0</v>
      </c>
      <c r="P663">
        <v>7</v>
      </c>
      <c r="Q663" t="s">
        <v>31</v>
      </c>
      <c r="R663">
        <v>30</v>
      </c>
      <c r="S663">
        <v>8</v>
      </c>
      <c r="T663" t="s">
        <v>31</v>
      </c>
      <c r="U663" t="s">
        <v>63</v>
      </c>
      <c r="V663">
        <v>2026</v>
      </c>
      <c r="W663">
        <v>2</v>
      </c>
      <c r="X663" t="s">
        <v>1419</v>
      </c>
      <c r="Y663" s="6">
        <v>46054</v>
      </c>
      <c r="Z663" t="s">
        <v>1413</v>
      </c>
      <c r="AA663" t="s">
        <v>31</v>
      </c>
      <c r="AB663" t="s">
        <v>63</v>
      </c>
      <c r="AC663" t="s">
        <v>23</v>
      </c>
      <c r="AD663">
        <v>1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1</v>
      </c>
    </row>
    <row r="664" spans="1:36">
      <c r="A664" t="s">
        <v>809</v>
      </c>
      <c r="B664">
        <v>27.37</v>
      </c>
      <c r="C664" s="7">
        <v>46094.845833333333</v>
      </c>
      <c r="D664" s="7">
        <v>46095.986333749999</v>
      </c>
      <c r="E664" t="s">
        <v>23</v>
      </c>
      <c r="F664" t="s">
        <v>50</v>
      </c>
      <c r="G664" t="s">
        <v>51</v>
      </c>
      <c r="H664" t="s">
        <v>26</v>
      </c>
      <c r="I664" t="s">
        <v>35</v>
      </c>
      <c r="J664" t="s">
        <v>36</v>
      </c>
      <c r="K664" t="s">
        <v>37</v>
      </c>
      <c r="L664" t="s">
        <v>30</v>
      </c>
      <c r="M664">
        <v>77</v>
      </c>
      <c r="N664">
        <v>4</v>
      </c>
      <c r="O664">
        <v>0</v>
      </c>
      <c r="P664">
        <v>3</v>
      </c>
      <c r="Q664" t="s">
        <v>31</v>
      </c>
      <c r="R664">
        <v>120</v>
      </c>
      <c r="S664">
        <v>24</v>
      </c>
      <c r="T664" t="s">
        <v>63</v>
      </c>
      <c r="U664" t="s">
        <v>31</v>
      </c>
      <c r="V664">
        <v>2026</v>
      </c>
      <c r="W664">
        <v>3</v>
      </c>
      <c r="X664" t="s">
        <v>1423</v>
      </c>
      <c r="Y664" s="6">
        <v>46082</v>
      </c>
      <c r="Z664" t="s">
        <v>1413</v>
      </c>
      <c r="AA664" t="s">
        <v>31</v>
      </c>
      <c r="AB664" t="s">
        <v>63</v>
      </c>
      <c r="AC664" t="s">
        <v>23</v>
      </c>
      <c r="AD664">
        <v>1</v>
      </c>
      <c r="AE664">
        <v>0</v>
      </c>
      <c r="AF664">
        <v>1</v>
      </c>
      <c r="AG664">
        <v>0</v>
      </c>
      <c r="AH664">
        <v>0</v>
      </c>
      <c r="AI664">
        <v>1</v>
      </c>
      <c r="AJ664">
        <v>0</v>
      </c>
    </row>
    <row r="665" spans="1:36">
      <c r="A665" t="s">
        <v>810</v>
      </c>
      <c r="B665">
        <v>6.81</v>
      </c>
      <c r="C665" s="7">
        <v>46067.134722222225</v>
      </c>
      <c r="D665" s="7">
        <v>46067.418345312501</v>
      </c>
      <c r="E665" t="s">
        <v>23</v>
      </c>
      <c r="F665" t="s">
        <v>50</v>
      </c>
      <c r="G665" t="s">
        <v>51</v>
      </c>
      <c r="H665" t="s">
        <v>54</v>
      </c>
      <c r="I665" t="s">
        <v>35</v>
      </c>
      <c r="J665" t="s">
        <v>28</v>
      </c>
      <c r="K665" t="s">
        <v>29</v>
      </c>
      <c r="L665" t="s">
        <v>71</v>
      </c>
      <c r="M665">
        <v>96</v>
      </c>
      <c r="N665">
        <v>4</v>
      </c>
      <c r="O665">
        <v>1</v>
      </c>
      <c r="P665">
        <v>4</v>
      </c>
      <c r="Q665" t="s">
        <v>31</v>
      </c>
      <c r="R665">
        <v>120</v>
      </c>
      <c r="S665">
        <v>24</v>
      </c>
      <c r="T665" t="s">
        <v>63</v>
      </c>
      <c r="U665" t="s">
        <v>63</v>
      </c>
      <c r="V665">
        <v>2026</v>
      </c>
      <c r="W665">
        <v>2</v>
      </c>
      <c r="X665" t="s">
        <v>1419</v>
      </c>
      <c r="Y665" s="6">
        <v>46054</v>
      </c>
      <c r="Z665" t="s">
        <v>1413</v>
      </c>
      <c r="AA665" t="s">
        <v>63</v>
      </c>
      <c r="AB665" t="s">
        <v>63</v>
      </c>
      <c r="AC665" t="s">
        <v>23</v>
      </c>
      <c r="AD665">
        <v>1</v>
      </c>
      <c r="AE665">
        <v>0</v>
      </c>
      <c r="AF665">
        <v>1</v>
      </c>
      <c r="AG665">
        <v>1</v>
      </c>
      <c r="AH665">
        <v>0</v>
      </c>
      <c r="AI665">
        <v>1</v>
      </c>
      <c r="AJ665">
        <v>1</v>
      </c>
    </row>
    <row r="666" spans="1:36">
      <c r="A666" t="s">
        <v>811</v>
      </c>
      <c r="B666">
        <v>37.229999999999997</v>
      </c>
      <c r="C666" s="7">
        <v>46105.345138888886</v>
      </c>
      <c r="D666" s="7">
        <v>46106.896307581017</v>
      </c>
      <c r="E666" t="s">
        <v>23</v>
      </c>
      <c r="F666" t="s">
        <v>33</v>
      </c>
      <c r="G666" t="s">
        <v>65</v>
      </c>
      <c r="H666" t="s">
        <v>54</v>
      </c>
      <c r="I666" t="s">
        <v>35</v>
      </c>
      <c r="J666" t="s">
        <v>36</v>
      </c>
      <c r="K666" t="s">
        <v>37</v>
      </c>
      <c r="L666" t="s">
        <v>101</v>
      </c>
      <c r="M666">
        <v>228</v>
      </c>
      <c r="N666">
        <v>3</v>
      </c>
      <c r="O666">
        <v>0</v>
      </c>
      <c r="P666">
        <v>4</v>
      </c>
      <c r="Q666" t="s">
        <v>31</v>
      </c>
      <c r="R666">
        <v>240</v>
      </c>
      <c r="S666">
        <v>48</v>
      </c>
      <c r="T666" t="s">
        <v>63</v>
      </c>
      <c r="U666" t="s">
        <v>63</v>
      </c>
      <c r="V666">
        <v>2026</v>
      </c>
      <c r="W666">
        <v>3</v>
      </c>
      <c r="X666" t="s">
        <v>1423</v>
      </c>
      <c r="Y666" s="6">
        <v>46082</v>
      </c>
      <c r="Z666" t="s">
        <v>1418</v>
      </c>
      <c r="AA666" t="s">
        <v>31</v>
      </c>
      <c r="AB666" t="s">
        <v>63</v>
      </c>
      <c r="AC666" t="s">
        <v>23</v>
      </c>
      <c r="AD666">
        <v>1</v>
      </c>
      <c r="AE666">
        <v>0</v>
      </c>
      <c r="AF666">
        <v>1</v>
      </c>
      <c r="AG666">
        <v>0</v>
      </c>
      <c r="AH666">
        <v>0</v>
      </c>
      <c r="AI666">
        <v>1</v>
      </c>
      <c r="AJ666">
        <v>1</v>
      </c>
    </row>
    <row r="667" spans="1:36">
      <c r="A667" t="s">
        <v>812</v>
      </c>
      <c r="B667">
        <v>5.44</v>
      </c>
      <c r="C667" s="7">
        <v>46135.55</v>
      </c>
      <c r="D667" s="7">
        <v>46135.77680590278</v>
      </c>
      <c r="E667" t="s">
        <v>23</v>
      </c>
      <c r="F667" t="s">
        <v>24</v>
      </c>
      <c r="G667" t="s">
        <v>65</v>
      </c>
      <c r="H667" t="s">
        <v>26</v>
      </c>
      <c r="I667" t="s">
        <v>27</v>
      </c>
      <c r="J667" t="s">
        <v>48</v>
      </c>
      <c r="K667" t="s">
        <v>52</v>
      </c>
      <c r="L667" t="s">
        <v>55</v>
      </c>
      <c r="M667">
        <v>12</v>
      </c>
      <c r="N667">
        <v>4</v>
      </c>
      <c r="O667">
        <v>0</v>
      </c>
      <c r="P667">
        <v>5</v>
      </c>
      <c r="Q667" t="s">
        <v>31</v>
      </c>
      <c r="R667">
        <v>15</v>
      </c>
      <c r="S667">
        <v>4</v>
      </c>
      <c r="T667" t="s">
        <v>63</v>
      </c>
      <c r="U667" t="s">
        <v>31</v>
      </c>
      <c r="V667">
        <v>2026</v>
      </c>
      <c r="W667">
        <v>4</v>
      </c>
      <c r="X667" t="s">
        <v>1412</v>
      </c>
      <c r="Y667" s="6">
        <v>46113</v>
      </c>
      <c r="Z667" t="s">
        <v>1413</v>
      </c>
      <c r="AA667" t="s">
        <v>31</v>
      </c>
      <c r="AB667" t="s">
        <v>63</v>
      </c>
      <c r="AC667" t="s">
        <v>23</v>
      </c>
      <c r="AD667">
        <v>1</v>
      </c>
      <c r="AE667">
        <v>0</v>
      </c>
      <c r="AF667">
        <v>1</v>
      </c>
      <c r="AG667">
        <v>0</v>
      </c>
      <c r="AH667">
        <v>0</v>
      </c>
      <c r="AI667">
        <v>1</v>
      </c>
      <c r="AJ667">
        <v>0</v>
      </c>
    </row>
    <row r="668" spans="1:36">
      <c r="A668" t="s">
        <v>813</v>
      </c>
      <c r="C668" s="7">
        <v>46048.295138888891</v>
      </c>
      <c r="D668" s="7"/>
      <c r="E668" t="s">
        <v>74</v>
      </c>
      <c r="F668" t="s">
        <v>33</v>
      </c>
      <c r="G668" t="s">
        <v>51</v>
      </c>
      <c r="H668" t="s">
        <v>75</v>
      </c>
      <c r="I668" t="s">
        <v>42</v>
      </c>
      <c r="J668" t="s">
        <v>43</v>
      </c>
      <c r="K668" t="s">
        <v>58</v>
      </c>
      <c r="L668" t="s">
        <v>93</v>
      </c>
      <c r="M668">
        <v>373</v>
      </c>
      <c r="O668">
        <v>0</v>
      </c>
      <c r="P668">
        <v>5</v>
      </c>
      <c r="Q668" t="s">
        <v>31</v>
      </c>
      <c r="R668">
        <v>240</v>
      </c>
      <c r="S668">
        <v>48</v>
      </c>
      <c r="T668" t="s">
        <v>31</v>
      </c>
      <c r="U668" t="s">
        <v>74</v>
      </c>
      <c r="V668">
        <v>2026</v>
      </c>
      <c r="W668">
        <v>1</v>
      </c>
      <c r="X668" t="s">
        <v>1414</v>
      </c>
      <c r="Y668" s="6">
        <v>46023</v>
      </c>
      <c r="Z668" t="s">
        <v>1420</v>
      </c>
      <c r="AA668" t="s">
        <v>31</v>
      </c>
      <c r="AB668" t="s">
        <v>31</v>
      </c>
      <c r="AC668" t="s">
        <v>74</v>
      </c>
      <c r="AD668">
        <v>1</v>
      </c>
      <c r="AE668">
        <v>1</v>
      </c>
      <c r="AF668">
        <v>0</v>
      </c>
      <c r="AG668">
        <v>0</v>
      </c>
      <c r="AH668">
        <v>0</v>
      </c>
      <c r="AI668">
        <v>0</v>
      </c>
    </row>
    <row r="669" spans="1:36">
      <c r="A669" t="s">
        <v>814</v>
      </c>
      <c r="B669">
        <v>37.49</v>
      </c>
      <c r="C669" s="7">
        <v>46039.699305555558</v>
      </c>
      <c r="D669" s="7">
        <v>46041.261396261572</v>
      </c>
      <c r="E669" t="s">
        <v>23</v>
      </c>
      <c r="F669" t="s">
        <v>50</v>
      </c>
      <c r="G669" t="s">
        <v>25</v>
      </c>
      <c r="H669" t="s">
        <v>26</v>
      </c>
      <c r="I669" t="s">
        <v>42</v>
      </c>
      <c r="J669" t="s">
        <v>43</v>
      </c>
      <c r="K669" t="s">
        <v>37</v>
      </c>
      <c r="L669" t="s">
        <v>71</v>
      </c>
      <c r="M669">
        <v>58</v>
      </c>
      <c r="N669">
        <v>4</v>
      </c>
      <c r="O669">
        <v>0</v>
      </c>
      <c r="P669">
        <v>3</v>
      </c>
      <c r="Q669" t="s">
        <v>31</v>
      </c>
      <c r="R669">
        <v>120</v>
      </c>
      <c r="S669">
        <v>24</v>
      </c>
      <c r="T669" t="s">
        <v>63</v>
      </c>
      <c r="U669" t="s">
        <v>31</v>
      </c>
      <c r="V669">
        <v>2026</v>
      </c>
      <c r="W669">
        <v>1</v>
      </c>
      <c r="X669" t="s">
        <v>1414</v>
      </c>
      <c r="Y669" s="6">
        <v>46023</v>
      </c>
      <c r="Z669" t="s">
        <v>1413</v>
      </c>
      <c r="AA669" t="s">
        <v>31</v>
      </c>
      <c r="AB669" t="s">
        <v>63</v>
      </c>
      <c r="AC669" t="s">
        <v>23</v>
      </c>
      <c r="AD669">
        <v>1</v>
      </c>
      <c r="AE669">
        <v>0</v>
      </c>
      <c r="AF669">
        <v>1</v>
      </c>
      <c r="AG669">
        <v>0</v>
      </c>
      <c r="AH669">
        <v>0</v>
      </c>
      <c r="AI669">
        <v>1</v>
      </c>
      <c r="AJ669">
        <v>0</v>
      </c>
    </row>
    <row r="670" spans="1:36">
      <c r="A670" t="s">
        <v>815</v>
      </c>
      <c r="B670">
        <v>1.82</v>
      </c>
      <c r="C670" s="7">
        <v>46217.115277777775</v>
      </c>
      <c r="D670" s="7">
        <v>46217.191260729167</v>
      </c>
      <c r="E670" t="s">
        <v>23</v>
      </c>
      <c r="F670" t="s">
        <v>24</v>
      </c>
      <c r="G670" t="s">
        <v>25</v>
      </c>
      <c r="H670" t="s">
        <v>26</v>
      </c>
      <c r="I670" t="s">
        <v>35</v>
      </c>
      <c r="J670" t="s">
        <v>36</v>
      </c>
      <c r="K670" t="s">
        <v>29</v>
      </c>
      <c r="L670" t="s">
        <v>55</v>
      </c>
      <c r="M670">
        <v>18</v>
      </c>
      <c r="N670">
        <v>5</v>
      </c>
      <c r="O670">
        <v>0</v>
      </c>
      <c r="P670">
        <v>7</v>
      </c>
      <c r="Q670" t="s">
        <v>31</v>
      </c>
      <c r="R670">
        <v>15</v>
      </c>
      <c r="S670">
        <v>4</v>
      </c>
      <c r="T670" t="s">
        <v>31</v>
      </c>
      <c r="U670" t="s">
        <v>63</v>
      </c>
      <c r="V670">
        <v>2026</v>
      </c>
      <c r="W670">
        <v>7</v>
      </c>
      <c r="X670" t="s">
        <v>1422</v>
      </c>
      <c r="Y670" s="6">
        <v>46204</v>
      </c>
      <c r="Z670" t="s">
        <v>1413</v>
      </c>
      <c r="AA670" t="s">
        <v>31</v>
      </c>
      <c r="AB670" t="s">
        <v>63</v>
      </c>
      <c r="AC670" t="s">
        <v>23</v>
      </c>
      <c r="AD670">
        <v>1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1</v>
      </c>
    </row>
    <row r="671" spans="1:36">
      <c r="A671" t="s">
        <v>816</v>
      </c>
      <c r="B671">
        <v>17.690000000000001</v>
      </c>
      <c r="C671" s="7">
        <v>46088.587500000001</v>
      </c>
      <c r="D671" s="7">
        <v>46089.324438750002</v>
      </c>
      <c r="E671" t="s">
        <v>23</v>
      </c>
      <c r="F671" t="s">
        <v>40</v>
      </c>
      <c r="G671" t="s">
        <v>65</v>
      </c>
      <c r="H671" t="s">
        <v>75</v>
      </c>
      <c r="I671" t="s">
        <v>35</v>
      </c>
      <c r="J671" t="s">
        <v>28</v>
      </c>
      <c r="K671" t="s">
        <v>67</v>
      </c>
      <c r="L671" t="s">
        <v>62</v>
      </c>
      <c r="M671">
        <v>16</v>
      </c>
      <c r="N671">
        <v>4</v>
      </c>
      <c r="O671">
        <v>0</v>
      </c>
      <c r="P671">
        <v>6</v>
      </c>
      <c r="Q671" t="s">
        <v>63</v>
      </c>
      <c r="R671">
        <v>30</v>
      </c>
      <c r="S671">
        <v>8</v>
      </c>
      <c r="T671" t="s">
        <v>63</v>
      </c>
      <c r="U671" t="s">
        <v>31</v>
      </c>
      <c r="V671">
        <v>2026</v>
      </c>
      <c r="W671">
        <v>3</v>
      </c>
      <c r="X671" t="s">
        <v>1423</v>
      </c>
      <c r="Y671" s="6">
        <v>46082</v>
      </c>
      <c r="Z671" t="s">
        <v>1413</v>
      </c>
      <c r="AA671" t="s">
        <v>31</v>
      </c>
      <c r="AB671" t="s">
        <v>63</v>
      </c>
      <c r="AC671" t="s">
        <v>23</v>
      </c>
      <c r="AD671">
        <v>1</v>
      </c>
      <c r="AE671">
        <v>0</v>
      </c>
      <c r="AF671">
        <v>1</v>
      </c>
      <c r="AG671">
        <v>0</v>
      </c>
      <c r="AH671">
        <v>1</v>
      </c>
      <c r="AI671">
        <v>1</v>
      </c>
      <c r="AJ671">
        <v>0</v>
      </c>
    </row>
    <row r="672" spans="1:36">
      <c r="A672" t="s">
        <v>817</v>
      </c>
      <c r="B672">
        <v>68.709999999999994</v>
      </c>
      <c r="C672" s="7">
        <v>46133.406944444447</v>
      </c>
      <c r="D672" s="7">
        <v>46136.269995833332</v>
      </c>
      <c r="E672" t="s">
        <v>23</v>
      </c>
      <c r="F672" t="s">
        <v>33</v>
      </c>
      <c r="G672" t="s">
        <v>25</v>
      </c>
      <c r="H672" t="s">
        <v>26</v>
      </c>
      <c r="I672" t="s">
        <v>42</v>
      </c>
      <c r="J672" t="s">
        <v>48</v>
      </c>
      <c r="K672" t="s">
        <v>76</v>
      </c>
      <c r="L672" t="s">
        <v>68</v>
      </c>
      <c r="M672">
        <v>132</v>
      </c>
      <c r="N672">
        <v>3</v>
      </c>
      <c r="O672">
        <v>0</v>
      </c>
      <c r="P672">
        <v>5</v>
      </c>
      <c r="Q672" t="s">
        <v>31</v>
      </c>
      <c r="R672">
        <v>240</v>
      </c>
      <c r="S672">
        <v>48</v>
      </c>
      <c r="T672" t="s">
        <v>63</v>
      </c>
      <c r="U672" t="s">
        <v>31</v>
      </c>
      <c r="V672">
        <v>2026</v>
      </c>
      <c r="W672">
        <v>4</v>
      </c>
      <c r="X672" t="s">
        <v>1412</v>
      </c>
      <c r="Y672" s="6">
        <v>46113</v>
      </c>
      <c r="Z672" t="s">
        <v>1418</v>
      </c>
      <c r="AA672" t="s">
        <v>31</v>
      </c>
      <c r="AB672" t="s">
        <v>63</v>
      </c>
      <c r="AC672" t="s">
        <v>23</v>
      </c>
      <c r="AD672">
        <v>1</v>
      </c>
      <c r="AE672">
        <v>0</v>
      </c>
      <c r="AF672">
        <v>1</v>
      </c>
      <c r="AG672">
        <v>0</v>
      </c>
      <c r="AH672">
        <v>0</v>
      </c>
      <c r="AI672">
        <v>1</v>
      </c>
      <c r="AJ672">
        <v>0</v>
      </c>
    </row>
    <row r="673" spans="1:36">
      <c r="A673" t="s">
        <v>818</v>
      </c>
      <c r="B673">
        <v>96.77</v>
      </c>
      <c r="C673" s="7">
        <v>46198.593055555553</v>
      </c>
      <c r="D673" s="7">
        <v>46202.625161805554</v>
      </c>
      <c r="E673" t="s">
        <v>23</v>
      </c>
      <c r="F673" t="s">
        <v>50</v>
      </c>
      <c r="G673" t="s">
        <v>51</v>
      </c>
      <c r="H673" t="s">
        <v>26</v>
      </c>
      <c r="I673" t="s">
        <v>42</v>
      </c>
      <c r="J673" t="s">
        <v>36</v>
      </c>
      <c r="K673" t="s">
        <v>76</v>
      </c>
      <c r="L673" t="s">
        <v>44</v>
      </c>
      <c r="M673">
        <v>134</v>
      </c>
      <c r="N673">
        <v>4</v>
      </c>
      <c r="O673">
        <v>0</v>
      </c>
      <c r="P673">
        <v>7</v>
      </c>
      <c r="Q673" t="s">
        <v>31</v>
      </c>
      <c r="R673">
        <v>120</v>
      </c>
      <c r="S673">
        <v>24</v>
      </c>
      <c r="T673" t="s">
        <v>31</v>
      </c>
      <c r="U673" t="s">
        <v>31</v>
      </c>
      <c r="V673">
        <v>2026</v>
      </c>
      <c r="W673">
        <v>6</v>
      </c>
      <c r="X673" t="s">
        <v>1421</v>
      </c>
      <c r="Y673" s="6">
        <v>46174</v>
      </c>
      <c r="Z673" t="s">
        <v>1413</v>
      </c>
      <c r="AA673" t="s">
        <v>31</v>
      </c>
      <c r="AB673" t="s">
        <v>63</v>
      </c>
      <c r="AC673" t="s">
        <v>23</v>
      </c>
      <c r="AD673">
        <v>1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0</v>
      </c>
    </row>
    <row r="674" spans="1:36">
      <c r="A674" t="s">
        <v>819</v>
      </c>
      <c r="B674">
        <v>36.03</v>
      </c>
      <c r="C674" s="7">
        <v>46091.078472222223</v>
      </c>
      <c r="D674" s="7">
        <v>46092.579613969909</v>
      </c>
      <c r="E674" t="s">
        <v>23</v>
      </c>
      <c r="F674" t="s">
        <v>50</v>
      </c>
      <c r="G674" t="s">
        <v>51</v>
      </c>
      <c r="H674" t="s">
        <v>34</v>
      </c>
      <c r="I674" t="s">
        <v>42</v>
      </c>
      <c r="J674" t="s">
        <v>48</v>
      </c>
      <c r="K674" t="s">
        <v>37</v>
      </c>
      <c r="L674" t="s">
        <v>85</v>
      </c>
      <c r="M674">
        <v>36</v>
      </c>
      <c r="N674">
        <v>4</v>
      </c>
      <c r="O674">
        <v>0</v>
      </c>
      <c r="P674">
        <v>5</v>
      </c>
      <c r="Q674" t="s">
        <v>31</v>
      </c>
      <c r="R674">
        <v>120</v>
      </c>
      <c r="S674">
        <v>24</v>
      </c>
      <c r="T674" t="s">
        <v>63</v>
      </c>
      <c r="U674" t="s">
        <v>31</v>
      </c>
      <c r="V674">
        <v>2026</v>
      </c>
      <c r="W674">
        <v>3</v>
      </c>
      <c r="X674" t="s">
        <v>1423</v>
      </c>
      <c r="Y674" s="6">
        <v>46082</v>
      </c>
      <c r="Z674" t="s">
        <v>1413</v>
      </c>
      <c r="AA674" t="s">
        <v>31</v>
      </c>
      <c r="AB674" t="s">
        <v>63</v>
      </c>
      <c r="AC674" t="s">
        <v>23</v>
      </c>
      <c r="AD674">
        <v>1</v>
      </c>
      <c r="AE674">
        <v>0</v>
      </c>
      <c r="AF674">
        <v>1</v>
      </c>
      <c r="AG674">
        <v>0</v>
      </c>
      <c r="AH674">
        <v>0</v>
      </c>
      <c r="AI674">
        <v>1</v>
      </c>
      <c r="AJ674">
        <v>0</v>
      </c>
    </row>
    <row r="675" spans="1:36">
      <c r="A675" t="s">
        <v>821</v>
      </c>
      <c r="B675">
        <v>11.93</v>
      </c>
      <c r="C675" s="7">
        <v>46148.804861111108</v>
      </c>
      <c r="D675" s="7">
        <v>46149.301736388887</v>
      </c>
      <c r="E675" t="s">
        <v>23</v>
      </c>
      <c r="F675" t="s">
        <v>33</v>
      </c>
      <c r="G675" t="s">
        <v>51</v>
      </c>
      <c r="H675" t="s">
        <v>54</v>
      </c>
      <c r="I675" t="s">
        <v>42</v>
      </c>
      <c r="J675" t="s">
        <v>48</v>
      </c>
      <c r="K675" t="s">
        <v>58</v>
      </c>
      <c r="L675" t="s">
        <v>101</v>
      </c>
      <c r="M675">
        <v>316</v>
      </c>
      <c r="N675">
        <v>4</v>
      </c>
      <c r="O675">
        <v>0</v>
      </c>
      <c r="P675">
        <v>6</v>
      </c>
      <c r="Q675" t="s">
        <v>31</v>
      </c>
      <c r="R675">
        <v>240</v>
      </c>
      <c r="S675">
        <v>48</v>
      </c>
      <c r="T675" t="s">
        <v>31</v>
      </c>
      <c r="U675" t="s">
        <v>63</v>
      </c>
      <c r="V675">
        <v>2026</v>
      </c>
      <c r="W675">
        <v>5</v>
      </c>
      <c r="X675" t="s">
        <v>1416</v>
      </c>
      <c r="Y675" s="6">
        <v>46143</v>
      </c>
      <c r="Z675" t="s">
        <v>1413</v>
      </c>
      <c r="AA675" t="s">
        <v>31</v>
      </c>
      <c r="AB675" t="s">
        <v>63</v>
      </c>
      <c r="AC675" t="s">
        <v>23</v>
      </c>
      <c r="AD675">
        <v>1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1</v>
      </c>
    </row>
    <row r="676" spans="1:36">
      <c r="A676" t="s">
        <v>822</v>
      </c>
      <c r="B676">
        <v>11.48</v>
      </c>
      <c r="C676" s="7">
        <v>46117.35833333333</v>
      </c>
      <c r="D676" s="7">
        <v>46117.836799166667</v>
      </c>
      <c r="E676" t="s">
        <v>23</v>
      </c>
      <c r="F676" t="s">
        <v>50</v>
      </c>
      <c r="G676" t="s">
        <v>51</v>
      </c>
      <c r="H676" t="s">
        <v>26</v>
      </c>
      <c r="I676" t="s">
        <v>35</v>
      </c>
      <c r="J676" t="s">
        <v>36</v>
      </c>
      <c r="K676" t="s">
        <v>29</v>
      </c>
      <c r="L676" t="s">
        <v>55</v>
      </c>
      <c r="M676">
        <v>112</v>
      </c>
      <c r="N676">
        <v>4</v>
      </c>
      <c r="O676">
        <v>1</v>
      </c>
      <c r="P676">
        <v>7</v>
      </c>
      <c r="Q676" t="s">
        <v>31</v>
      </c>
      <c r="R676">
        <v>120</v>
      </c>
      <c r="S676">
        <v>24</v>
      </c>
      <c r="T676" t="s">
        <v>63</v>
      </c>
      <c r="U676" t="s">
        <v>63</v>
      </c>
      <c r="V676">
        <v>2026</v>
      </c>
      <c r="W676">
        <v>4</v>
      </c>
      <c r="X676" t="s">
        <v>1412</v>
      </c>
      <c r="Y676" s="6">
        <v>46113</v>
      </c>
      <c r="Z676" t="s">
        <v>1413</v>
      </c>
      <c r="AA676" t="s">
        <v>63</v>
      </c>
      <c r="AB676" t="s">
        <v>63</v>
      </c>
      <c r="AC676" t="s">
        <v>23</v>
      </c>
      <c r="AD676">
        <v>1</v>
      </c>
      <c r="AE676">
        <v>0</v>
      </c>
      <c r="AF676">
        <v>1</v>
      </c>
      <c r="AG676">
        <v>1</v>
      </c>
      <c r="AH676">
        <v>0</v>
      </c>
      <c r="AI676">
        <v>1</v>
      </c>
      <c r="AJ676">
        <v>1</v>
      </c>
    </row>
    <row r="677" spans="1:36">
      <c r="A677" t="s">
        <v>823</v>
      </c>
      <c r="B677">
        <v>15.92</v>
      </c>
      <c r="C677" s="7">
        <v>46198.072222222225</v>
      </c>
      <c r="D677" s="7">
        <v>46198.735539120367</v>
      </c>
      <c r="E677" t="s">
        <v>23</v>
      </c>
      <c r="F677" t="s">
        <v>33</v>
      </c>
      <c r="G677" t="s">
        <v>65</v>
      </c>
      <c r="H677" t="s">
        <v>54</v>
      </c>
      <c r="I677" t="s">
        <v>42</v>
      </c>
      <c r="J677" t="s">
        <v>48</v>
      </c>
      <c r="K677" t="s">
        <v>52</v>
      </c>
      <c r="L677" t="s">
        <v>44</v>
      </c>
      <c r="M677">
        <v>252</v>
      </c>
      <c r="N677">
        <v>4</v>
      </c>
      <c r="O677">
        <v>0</v>
      </c>
      <c r="P677">
        <v>3</v>
      </c>
      <c r="Q677" t="s">
        <v>31</v>
      </c>
      <c r="R677">
        <v>240</v>
      </c>
      <c r="S677">
        <v>48</v>
      </c>
      <c r="T677" t="s">
        <v>31</v>
      </c>
      <c r="U677" t="s">
        <v>63</v>
      </c>
      <c r="V677">
        <v>2026</v>
      </c>
      <c r="W677">
        <v>6</v>
      </c>
      <c r="X677" t="s">
        <v>1421</v>
      </c>
      <c r="Y677" s="6">
        <v>46174</v>
      </c>
      <c r="Z677" t="s">
        <v>1413</v>
      </c>
      <c r="AA677" t="s">
        <v>31</v>
      </c>
      <c r="AB677" t="s">
        <v>63</v>
      </c>
      <c r="AC677" t="s">
        <v>23</v>
      </c>
      <c r="AD677">
        <v>1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1</v>
      </c>
    </row>
    <row r="678" spans="1:36">
      <c r="A678" t="s">
        <v>824</v>
      </c>
      <c r="B678">
        <v>13.16</v>
      </c>
      <c r="C678" s="7">
        <v>46145.878472222219</v>
      </c>
      <c r="D678" s="7">
        <v>46146.426787071759</v>
      </c>
      <c r="E678" t="s">
        <v>23</v>
      </c>
      <c r="F678" t="s">
        <v>40</v>
      </c>
      <c r="G678" t="s">
        <v>51</v>
      </c>
      <c r="H678" t="s">
        <v>75</v>
      </c>
      <c r="I678" t="s">
        <v>35</v>
      </c>
      <c r="J678" t="s">
        <v>48</v>
      </c>
      <c r="K678" t="s">
        <v>58</v>
      </c>
      <c r="L678" t="s">
        <v>38</v>
      </c>
      <c r="M678">
        <v>38</v>
      </c>
      <c r="N678">
        <v>5</v>
      </c>
      <c r="O678">
        <v>0</v>
      </c>
      <c r="P678">
        <v>3</v>
      </c>
      <c r="Q678" t="s">
        <v>31</v>
      </c>
      <c r="R678">
        <v>30</v>
      </c>
      <c r="S678">
        <v>8</v>
      </c>
      <c r="T678" t="s">
        <v>31</v>
      </c>
      <c r="U678" t="s">
        <v>31</v>
      </c>
      <c r="V678">
        <v>2026</v>
      </c>
      <c r="W678">
        <v>5</v>
      </c>
      <c r="X678" t="s">
        <v>1416</v>
      </c>
      <c r="Y678" s="6">
        <v>46143</v>
      </c>
      <c r="Z678" t="s">
        <v>1413</v>
      </c>
      <c r="AA678" t="s">
        <v>31</v>
      </c>
      <c r="AB678" t="s">
        <v>63</v>
      </c>
      <c r="AC678" t="s">
        <v>23</v>
      </c>
      <c r="AD678">
        <v>1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0</v>
      </c>
    </row>
    <row r="679" spans="1:36">
      <c r="A679" t="s">
        <v>825</v>
      </c>
      <c r="B679">
        <v>20.92</v>
      </c>
      <c r="C679" s="7">
        <v>46072.10833333333</v>
      </c>
      <c r="D679" s="7">
        <v>46072.980160069441</v>
      </c>
      <c r="E679" t="s">
        <v>23</v>
      </c>
      <c r="F679" t="s">
        <v>33</v>
      </c>
      <c r="G679" t="s">
        <v>25</v>
      </c>
      <c r="H679" t="s">
        <v>26</v>
      </c>
      <c r="I679" t="s">
        <v>27</v>
      </c>
      <c r="J679" t="s">
        <v>43</v>
      </c>
      <c r="K679" t="s">
        <v>52</v>
      </c>
      <c r="L679" t="s">
        <v>85</v>
      </c>
      <c r="M679">
        <v>194</v>
      </c>
      <c r="N679">
        <v>4</v>
      </c>
      <c r="O679">
        <v>0</v>
      </c>
      <c r="P679">
        <v>7</v>
      </c>
      <c r="Q679" t="s">
        <v>31</v>
      </c>
      <c r="R679">
        <v>240</v>
      </c>
      <c r="S679">
        <v>48</v>
      </c>
      <c r="T679" t="s">
        <v>63</v>
      </c>
      <c r="U679" t="s">
        <v>63</v>
      </c>
      <c r="V679">
        <v>2026</v>
      </c>
      <c r="W679">
        <v>2</v>
      </c>
      <c r="X679" t="s">
        <v>1419</v>
      </c>
      <c r="Y679" s="6">
        <v>46054</v>
      </c>
      <c r="Z679" t="s">
        <v>1413</v>
      </c>
      <c r="AA679" t="s">
        <v>31</v>
      </c>
      <c r="AB679" t="s">
        <v>63</v>
      </c>
      <c r="AC679" t="s">
        <v>23</v>
      </c>
      <c r="AD679">
        <v>1</v>
      </c>
      <c r="AE679">
        <v>0</v>
      </c>
      <c r="AF679">
        <v>1</v>
      </c>
      <c r="AG679">
        <v>0</v>
      </c>
      <c r="AH679">
        <v>0</v>
      </c>
      <c r="AI679">
        <v>1</v>
      </c>
      <c r="AJ679">
        <v>1</v>
      </c>
    </row>
    <row r="680" spans="1:36">
      <c r="A680" t="s">
        <v>826</v>
      </c>
      <c r="B680">
        <v>34.44</v>
      </c>
      <c r="C680" s="7">
        <v>46225.654166666667</v>
      </c>
      <c r="D680" s="7">
        <v>46227.08897798611</v>
      </c>
      <c r="E680" t="s">
        <v>23</v>
      </c>
      <c r="F680" t="s">
        <v>33</v>
      </c>
      <c r="G680" t="s">
        <v>25</v>
      </c>
      <c r="H680" t="s">
        <v>66</v>
      </c>
      <c r="I680" t="s">
        <v>35</v>
      </c>
      <c r="J680" t="s">
        <v>43</v>
      </c>
      <c r="K680" t="s">
        <v>52</v>
      </c>
      <c r="L680" t="s">
        <v>30</v>
      </c>
      <c r="M680">
        <v>99</v>
      </c>
      <c r="N680">
        <v>4</v>
      </c>
      <c r="O680">
        <v>0</v>
      </c>
      <c r="P680">
        <v>7</v>
      </c>
      <c r="Q680" t="s">
        <v>31</v>
      </c>
      <c r="R680">
        <v>240</v>
      </c>
      <c r="S680">
        <v>48</v>
      </c>
      <c r="T680" t="s">
        <v>63</v>
      </c>
      <c r="U680" t="s">
        <v>63</v>
      </c>
      <c r="V680">
        <v>2026</v>
      </c>
      <c r="W680">
        <v>7</v>
      </c>
      <c r="X680" t="s">
        <v>1422</v>
      </c>
      <c r="Y680" s="6">
        <v>46204</v>
      </c>
      <c r="Z680" t="s">
        <v>1413</v>
      </c>
      <c r="AA680" t="s">
        <v>31</v>
      </c>
      <c r="AB680" t="s">
        <v>63</v>
      </c>
      <c r="AC680" t="s">
        <v>23</v>
      </c>
      <c r="AD680">
        <v>1</v>
      </c>
      <c r="AE680">
        <v>0</v>
      </c>
      <c r="AF680">
        <v>1</v>
      </c>
      <c r="AG680">
        <v>0</v>
      </c>
      <c r="AH680">
        <v>0</v>
      </c>
      <c r="AI680">
        <v>1</v>
      </c>
      <c r="AJ680">
        <v>1</v>
      </c>
    </row>
    <row r="681" spans="1:36">
      <c r="A681" t="s">
        <v>827</v>
      </c>
      <c r="B681">
        <v>4.8499999999999996</v>
      </c>
      <c r="C681" s="7">
        <v>46031.379861111112</v>
      </c>
      <c r="D681" s="7">
        <v>46031.581861840277</v>
      </c>
      <c r="E681" t="s">
        <v>23</v>
      </c>
      <c r="F681" t="s">
        <v>50</v>
      </c>
      <c r="G681" t="s">
        <v>65</v>
      </c>
      <c r="H681" t="s">
        <v>66</v>
      </c>
      <c r="I681" t="s">
        <v>35</v>
      </c>
      <c r="J681" t="s">
        <v>28</v>
      </c>
      <c r="K681" t="s">
        <v>29</v>
      </c>
      <c r="L681" t="s">
        <v>44</v>
      </c>
      <c r="M681">
        <v>35</v>
      </c>
      <c r="N681">
        <v>5</v>
      </c>
      <c r="O681">
        <v>0</v>
      </c>
      <c r="P681">
        <v>3</v>
      </c>
      <c r="Q681" t="s">
        <v>31</v>
      </c>
      <c r="R681">
        <v>120</v>
      </c>
      <c r="S681">
        <v>24</v>
      </c>
      <c r="T681" t="s">
        <v>63</v>
      </c>
      <c r="U681" t="s">
        <v>63</v>
      </c>
      <c r="V681">
        <v>2026</v>
      </c>
      <c r="W681">
        <v>1</v>
      </c>
      <c r="X681" t="s">
        <v>1414</v>
      </c>
      <c r="Y681" s="6">
        <v>46023</v>
      </c>
      <c r="Z681" t="s">
        <v>1413</v>
      </c>
      <c r="AA681" t="s">
        <v>31</v>
      </c>
      <c r="AB681" t="s">
        <v>63</v>
      </c>
      <c r="AC681" t="s">
        <v>23</v>
      </c>
      <c r="AD681">
        <v>1</v>
      </c>
      <c r="AE681">
        <v>0</v>
      </c>
      <c r="AF681">
        <v>1</v>
      </c>
      <c r="AG681">
        <v>0</v>
      </c>
      <c r="AH681">
        <v>0</v>
      </c>
      <c r="AI681">
        <v>1</v>
      </c>
      <c r="AJ681">
        <v>1</v>
      </c>
    </row>
    <row r="682" spans="1:36">
      <c r="A682" t="s">
        <v>828</v>
      </c>
      <c r="C682" s="7">
        <v>46041.754166666666</v>
      </c>
      <c r="D682" s="7"/>
      <c r="E682" t="s">
        <v>57</v>
      </c>
      <c r="F682" t="s">
        <v>50</v>
      </c>
      <c r="G682" t="s">
        <v>51</v>
      </c>
      <c r="H682" t="s">
        <v>26</v>
      </c>
      <c r="I682" t="s">
        <v>35</v>
      </c>
      <c r="J682" t="s">
        <v>48</v>
      </c>
      <c r="K682" t="s">
        <v>67</v>
      </c>
      <c r="L682" t="s">
        <v>55</v>
      </c>
      <c r="M682">
        <v>157</v>
      </c>
      <c r="O682">
        <v>0</v>
      </c>
      <c r="P682">
        <v>4</v>
      </c>
      <c r="Q682" t="s">
        <v>31</v>
      </c>
      <c r="R682">
        <v>120</v>
      </c>
      <c r="S682">
        <v>24</v>
      </c>
      <c r="T682" t="s">
        <v>31</v>
      </c>
      <c r="U682" t="s">
        <v>74</v>
      </c>
      <c r="V682">
        <v>2026</v>
      </c>
      <c r="W682">
        <v>1</v>
      </c>
      <c r="X682" t="s">
        <v>1414</v>
      </c>
      <c r="Y682" s="6">
        <v>46023</v>
      </c>
      <c r="Z682" t="s">
        <v>1420</v>
      </c>
      <c r="AA682" t="s">
        <v>31</v>
      </c>
      <c r="AB682" t="s">
        <v>31</v>
      </c>
      <c r="AC682" t="s">
        <v>57</v>
      </c>
      <c r="AD682">
        <v>1</v>
      </c>
      <c r="AE682">
        <v>1</v>
      </c>
      <c r="AF682">
        <v>0</v>
      </c>
      <c r="AG682">
        <v>0</v>
      </c>
      <c r="AH682">
        <v>0</v>
      </c>
      <c r="AI682">
        <v>0</v>
      </c>
    </row>
    <row r="683" spans="1:36">
      <c r="A683" t="s">
        <v>829</v>
      </c>
      <c r="B683">
        <v>4.84</v>
      </c>
      <c r="C683" s="7">
        <v>46096.459027777775</v>
      </c>
      <c r="D683" s="7">
        <v>46096.660782916668</v>
      </c>
      <c r="E683" t="s">
        <v>23</v>
      </c>
      <c r="F683" t="s">
        <v>40</v>
      </c>
      <c r="G683" t="s">
        <v>65</v>
      </c>
      <c r="H683" t="s">
        <v>54</v>
      </c>
      <c r="I683" t="s">
        <v>35</v>
      </c>
      <c r="J683" t="s">
        <v>36</v>
      </c>
      <c r="K683" t="s">
        <v>29</v>
      </c>
      <c r="L683" t="s">
        <v>30</v>
      </c>
      <c r="M683">
        <v>85</v>
      </c>
      <c r="N683">
        <v>5</v>
      </c>
      <c r="O683">
        <v>0</v>
      </c>
      <c r="P683">
        <v>5</v>
      </c>
      <c r="Q683" t="s">
        <v>31</v>
      </c>
      <c r="R683">
        <v>30</v>
      </c>
      <c r="S683">
        <v>8</v>
      </c>
      <c r="T683" t="s">
        <v>31</v>
      </c>
      <c r="U683" t="s">
        <v>63</v>
      </c>
      <c r="V683">
        <v>2026</v>
      </c>
      <c r="W683">
        <v>3</v>
      </c>
      <c r="X683" t="s">
        <v>1423</v>
      </c>
      <c r="Y683" s="6">
        <v>46082</v>
      </c>
      <c r="Z683" t="s">
        <v>1413</v>
      </c>
      <c r="AA683" t="s">
        <v>31</v>
      </c>
      <c r="AB683" t="s">
        <v>63</v>
      </c>
      <c r="AC683" t="s">
        <v>23</v>
      </c>
      <c r="AD683">
        <v>1</v>
      </c>
      <c r="AE683">
        <v>0</v>
      </c>
      <c r="AF683">
        <v>1</v>
      </c>
      <c r="AG683">
        <v>0</v>
      </c>
      <c r="AH683">
        <v>0</v>
      </c>
      <c r="AI683">
        <v>0</v>
      </c>
      <c r="AJ683">
        <v>1</v>
      </c>
    </row>
    <row r="684" spans="1:36">
      <c r="A684" t="s">
        <v>830</v>
      </c>
      <c r="C684" s="7">
        <v>46090.054166666669</v>
      </c>
      <c r="D684" s="7"/>
      <c r="E684" t="s">
        <v>74</v>
      </c>
      <c r="F684" t="s">
        <v>50</v>
      </c>
      <c r="G684" t="s">
        <v>65</v>
      </c>
      <c r="H684" t="s">
        <v>26</v>
      </c>
      <c r="I684" t="s">
        <v>35</v>
      </c>
      <c r="J684" t="s">
        <v>43</v>
      </c>
      <c r="K684" t="s">
        <v>76</v>
      </c>
      <c r="L684" t="s">
        <v>62</v>
      </c>
      <c r="M684">
        <v>152</v>
      </c>
      <c r="O684">
        <v>0</v>
      </c>
      <c r="P684">
        <v>3</v>
      </c>
      <c r="Q684" t="s">
        <v>31</v>
      </c>
      <c r="R684">
        <v>120</v>
      </c>
      <c r="S684">
        <v>24</v>
      </c>
      <c r="T684" t="s">
        <v>31</v>
      </c>
      <c r="U684" t="s">
        <v>74</v>
      </c>
      <c r="V684">
        <v>2026</v>
      </c>
      <c r="W684">
        <v>3</v>
      </c>
      <c r="X684" t="s">
        <v>1423</v>
      </c>
      <c r="Y684" s="6">
        <v>46082</v>
      </c>
      <c r="Z684" t="s">
        <v>1420</v>
      </c>
      <c r="AA684" t="s">
        <v>31</v>
      </c>
      <c r="AB684" t="s">
        <v>31</v>
      </c>
      <c r="AC684" t="s">
        <v>74</v>
      </c>
      <c r="AD684">
        <v>1</v>
      </c>
      <c r="AE684">
        <v>1</v>
      </c>
      <c r="AF684">
        <v>0</v>
      </c>
      <c r="AG684">
        <v>0</v>
      </c>
      <c r="AH684">
        <v>0</v>
      </c>
      <c r="AI684">
        <v>0</v>
      </c>
    </row>
    <row r="685" spans="1:36">
      <c r="A685" t="s">
        <v>831</v>
      </c>
      <c r="B685">
        <v>19.25</v>
      </c>
      <c r="C685" s="7">
        <v>46206.440972222219</v>
      </c>
      <c r="D685" s="7">
        <v>46207.242943043981</v>
      </c>
      <c r="E685" t="s">
        <v>23</v>
      </c>
      <c r="F685" t="s">
        <v>50</v>
      </c>
      <c r="G685" t="s">
        <v>51</v>
      </c>
      <c r="H685" t="s">
        <v>66</v>
      </c>
      <c r="I685" t="s">
        <v>35</v>
      </c>
      <c r="J685" t="s">
        <v>43</v>
      </c>
      <c r="K685" t="s">
        <v>52</v>
      </c>
      <c r="L685" t="s">
        <v>38</v>
      </c>
      <c r="M685">
        <v>256</v>
      </c>
      <c r="N685">
        <v>4</v>
      </c>
      <c r="O685">
        <v>0</v>
      </c>
      <c r="P685">
        <v>7</v>
      </c>
      <c r="Q685" t="s">
        <v>31</v>
      </c>
      <c r="R685">
        <v>120</v>
      </c>
      <c r="S685">
        <v>24</v>
      </c>
      <c r="T685" t="s">
        <v>31</v>
      </c>
      <c r="U685" t="s">
        <v>63</v>
      </c>
      <c r="V685">
        <v>2026</v>
      </c>
      <c r="W685">
        <v>7</v>
      </c>
      <c r="X685" t="s">
        <v>1422</v>
      </c>
      <c r="Y685" s="6">
        <v>46204</v>
      </c>
      <c r="Z685" t="s">
        <v>1413</v>
      </c>
      <c r="AA685" t="s">
        <v>31</v>
      </c>
      <c r="AB685" t="s">
        <v>63</v>
      </c>
      <c r="AC685" t="s">
        <v>23</v>
      </c>
      <c r="AD685">
        <v>1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1</v>
      </c>
    </row>
    <row r="686" spans="1:36">
      <c r="A686" t="s">
        <v>832</v>
      </c>
      <c r="B686">
        <v>11.49</v>
      </c>
      <c r="C686" s="7">
        <v>46159.870833333334</v>
      </c>
      <c r="D686" s="7">
        <v>46160.349510810185</v>
      </c>
      <c r="E686" t="s">
        <v>23</v>
      </c>
      <c r="F686" t="s">
        <v>50</v>
      </c>
      <c r="G686" t="s">
        <v>51</v>
      </c>
      <c r="H686" t="s">
        <v>75</v>
      </c>
      <c r="I686" t="s">
        <v>35</v>
      </c>
      <c r="J686" t="s">
        <v>43</v>
      </c>
      <c r="K686" t="s">
        <v>52</v>
      </c>
      <c r="L686" t="s">
        <v>62</v>
      </c>
      <c r="M686">
        <v>77</v>
      </c>
      <c r="O686">
        <v>1</v>
      </c>
      <c r="P686">
        <v>7</v>
      </c>
      <c r="Q686" t="s">
        <v>31</v>
      </c>
      <c r="R686">
        <v>120</v>
      </c>
      <c r="S686">
        <v>24</v>
      </c>
      <c r="T686" t="s">
        <v>63</v>
      </c>
      <c r="U686" t="s">
        <v>63</v>
      </c>
      <c r="V686">
        <v>2026</v>
      </c>
      <c r="W686">
        <v>5</v>
      </c>
      <c r="X686" t="s">
        <v>1416</v>
      </c>
      <c r="Y686" s="6">
        <v>46143</v>
      </c>
      <c r="Z686" t="s">
        <v>1420</v>
      </c>
      <c r="AA686" t="s">
        <v>63</v>
      </c>
      <c r="AB686" t="s">
        <v>31</v>
      </c>
      <c r="AC686" t="s">
        <v>23</v>
      </c>
      <c r="AD686">
        <v>1</v>
      </c>
      <c r="AE686">
        <v>0</v>
      </c>
      <c r="AF686">
        <v>1</v>
      </c>
      <c r="AG686">
        <v>1</v>
      </c>
      <c r="AH686">
        <v>0</v>
      </c>
      <c r="AI686">
        <v>1</v>
      </c>
      <c r="AJ686">
        <v>1</v>
      </c>
    </row>
    <row r="687" spans="1:36">
      <c r="A687" t="s">
        <v>833</v>
      </c>
      <c r="B687">
        <v>4.46</v>
      </c>
      <c r="C687" s="7">
        <v>46149.696527777778</v>
      </c>
      <c r="D687" s="7">
        <v>46149.88222702546</v>
      </c>
      <c r="E687" t="s">
        <v>23</v>
      </c>
      <c r="F687" t="s">
        <v>24</v>
      </c>
      <c r="G687" t="s">
        <v>25</v>
      </c>
      <c r="H687" t="s">
        <v>54</v>
      </c>
      <c r="I687" t="s">
        <v>42</v>
      </c>
      <c r="J687" t="s">
        <v>28</v>
      </c>
      <c r="K687" t="s">
        <v>29</v>
      </c>
      <c r="L687" t="s">
        <v>30</v>
      </c>
      <c r="M687">
        <v>27</v>
      </c>
      <c r="N687">
        <v>5</v>
      </c>
      <c r="O687">
        <v>0</v>
      </c>
      <c r="P687">
        <v>3</v>
      </c>
      <c r="Q687" t="s">
        <v>31</v>
      </c>
      <c r="R687">
        <v>15</v>
      </c>
      <c r="S687">
        <v>4</v>
      </c>
      <c r="T687" t="s">
        <v>31</v>
      </c>
      <c r="U687" t="s">
        <v>31</v>
      </c>
      <c r="V687">
        <v>2026</v>
      </c>
      <c r="W687">
        <v>5</v>
      </c>
      <c r="X687" t="s">
        <v>1416</v>
      </c>
      <c r="Y687" s="6">
        <v>46143</v>
      </c>
      <c r="Z687" t="s">
        <v>1413</v>
      </c>
      <c r="AA687" t="s">
        <v>31</v>
      </c>
      <c r="AB687" t="s">
        <v>63</v>
      </c>
      <c r="AC687" t="s">
        <v>23</v>
      </c>
      <c r="AD687">
        <v>1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</row>
    <row r="688" spans="1:36">
      <c r="A688" t="s">
        <v>834</v>
      </c>
      <c r="B688">
        <v>28.53</v>
      </c>
      <c r="C688" s="7">
        <v>46041.79791666667</v>
      </c>
      <c r="D688" s="7">
        <v>46042.986725590279</v>
      </c>
      <c r="E688" t="s">
        <v>23</v>
      </c>
      <c r="F688" t="s">
        <v>50</v>
      </c>
      <c r="G688" t="s">
        <v>41</v>
      </c>
      <c r="H688" t="s">
        <v>66</v>
      </c>
      <c r="I688" t="s">
        <v>35</v>
      </c>
      <c r="J688" t="s">
        <v>36</v>
      </c>
      <c r="K688" t="s">
        <v>76</v>
      </c>
      <c r="L688" t="s">
        <v>68</v>
      </c>
      <c r="M688">
        <v>74</v>
      </c>
      <c r="N688">
        <v>4</v>
      </c>
      <c r="O688">
        <v>0</v>
      </c>
      <c r="P688">
        <v>4</v>
      </c>
      <c r="Q688" t="s">
        <v>31</v>
      </c>
      <c r="R688">
        <v>120</v>
      </c>
      <c r="S688">
        <v>24</v>
      </c>
      <c r="T688" t="s">
        <v>63</v>
      </c>
      <c r="U688" t="s">
        <v>31</v>
      </c>
      <c r="V688">
        <v>2026</v>
      </c>
      <c r="W688">
        <v>1</v>
      </c>
      <c r="X688" t="s">
        <v>1414</v>
      </c>
      <c r="Y688" s="6">
        <v>46023</v>
      </c>
      <c r="Z688" t="s">
        <v>1413</v>
      </c>
      <c r="AA688" t="s">
        <v>31</v>
      </c>
      <c r="AB688" t="s">
        <v>63</v>
      </c>
      <c r="AC688" t="s">
        <v>23</v>
      </c>
      <c r="AD688">
        <v>1</v>
      </c>
      <c r="AE688">
        <v>0</v>
      </c>
      <c r="AF688">
        <v>1</v>
      </c>
      <c r="AG688">
        <v>0</v>
      </c>
      <c r="AH688">
        <v>0</v>
      </c>
      <c r="AI688">
        <v>1</v>
      </c>
      <c r="AJ688">
        <v>0</v>
      </c>
    </row>
    <row r="689" spans="1:36">
      <c r="A689" t="s">
        <v>836</v>
      </c>
      <c r="B689">
        <v>30.04</v>
      </c>
      <c r="C689" s="7">
        <v>46132.234027777777</v>
      </c>
      <c r="D689" s="7">
        <v>46133.485685266205</v>
      </c>
      <c r="E689" t="s">
        <v>23</v>
      </c>
      <c r="F689" t="s">
        <v>50</v>
      </c>
      <c r="G689" t="s">
        <v>51</v>
      </c>
      <c r="H689" t="s">
        <v>26</v>
      </c>
      <c r="I689" t="s">
        <v>27</v>
      </c>
      <c r="J689" t="s">
        <v>43</v>
      </c>
      <c r="K689" t="s">
        <v>58</v>
      </c>
      <c r="L689" t="s">
        <v>44</v>
      </c>
      <c r="M689">
        <v>79</v>
      </c>
      <c r="N689">
        <v>4</v>
      </c>
      <c r="O689">
        <v>0</v>
      </c>
      <c r="P689">
        <v>6</v>
      </c>
      <c r="Q689" t="s">
        <v>31</v>
      </c>
      <c r="R689">
        <v>120</v>
      </c>
      <c r="S689">
        <v>24</v>
      </c>
      <c r="T689" t="s">
        <v>63</v>
      </c>
      <c r="U689" t="s">
        <v>31</v>
      </c>
      <c r="V689">
        <v>2026</v>
      </c>
      <c r="W689">
        <v>4</v>
      </c>
      <c r="X689" t="s">
        <v>1412</v>
      </c>
      <c r="Y689" s="6">
        <v>46113</v>
      </c>
      <c r="Z689" t="s">
        <v>1413</v>
      </c>
      <c r="AA689" t="s">
        <v>31</v>
      </c>
      <c r="AB689" t="s">
        <v>63</v>
      </c>
      <c r="AC689" t="s">
        <v>23</v>
      </c>
      <c r="AD689">
        <v>1</v>
      </c>
      <c r="AE689">
        <v>0</v>
      </c>
      <c r="AF689">
        <v>1</v>
      </c>
      <c r="AG689">
        <v>0</v>
      </c>
      <c r="AH689">
        <v>0</v>
      </c>
      <c r="AI689">
        <v>1</v>
      </c>
      <c r="AJ689">
        <v>0</v>
      </c>
    </row>
    <row r="690" spans="1:36">
      <c r="A690" t="s">
        <v>837</v>
      </c>
      <c r="B690">
        <v>39.85</v>
      </c>
      <c r="C690" s="7">
        <v>46165.581250000003</v>
      </c>
      <c r="D690" s="7">
        <v>46167.241680150466</v>
      </c>
      <c r="E690" t="s">
        <v>23</v>
      </c>
      <c r="F690" t="s">
        <v>33</v>
      </c>
      <c r="G690" t="s">
        <v>25</v>
      </c>
      <c r="H690" t="s">
        <v>75</v>
      </c>
      <c r="I690" t="s">
        <v>42</v>
      </c>
      <c r="J690" t="s">
        <v>48</v>
      </c>
      <c r="K690" t="s">
        <v>58</v>
      </c>
      <c r="L690" t="s">
        <v>38</v>
      </c>
      <c r="M690">
        <v>104</v>
      </c>
      <c r="N690">
        <v>4</v>
      </c>
      <c r="O690">
        <v>0</v>
      </c>
      <c r="P690">
        <v>7</v>
      </c>
      <c r="Q690" t="s">
        <v>31</v>
      </c>
      <c r="R690">
        <v>240</v>
      </c>
      <c r="S690">
        <v>48</v>
      </c>
      <c r="T690" t="s">
        <v>63</v>
      </c>
      <c r="U690" t="s">
        <v>63</v>
      </c>
      <c r="V690">
        <v>2026</v>
      </c>
      <c r="W690">
        <v>5</v>
      </c>
      <c r="X690" t="s">
        <v>1416</v>
      </c>
      <c r="Y690" s="6">
        <v>46143</v>
      </c>
      <c r="Z690" t="s">
        <v>1413</v>
      </c>
      <c r="AA690" t="s">
        <v>31</v>
      </c>
      <c r="AB690" t="s">
        <v>63</v>
      </c>
      <c r="AC690" t="s">
        <v>23</v>
      </c>
      <c r="AD690">
        <v>1</v>
      </c>
      <c r="AE690">
        <v>0</v>
      </c>
      <c r="AF690">
        <v>1</v>
      </c>
      <c r="AG690">
        <v>0</v>
      </c>
      <c r="AH690">
        <v>0</v>
      </c>
      <c r="AI690">
        <v>1</v>
      </c>
      <c r="AJ690">
        <v>1</v>
      </c>
    </row>
    <row r="691" spans="1:36">
      <c r="A691" t="s">
        <v>838</v>
      </c>
      <c r="B691">
        <v>83.01</v>
      </c>
      <c r="C691" s="7">
        <v>46080.726388888892</v>
      </c>
      <c r="D691" s="7">
        <v>46084.185045648148</v>
      </c>
      <c r="E691" t="s">
        <v>23</v>
      </c>
      <c r="F691" t="s">
        <v>50</v>
      </c>
      <c r="G691" t="s">
        <v>51</v>
      </c>
      <c r="H691" t="s">
        <v>26</v>
      </c>
      <c r="I691" t="s">
        <v>35</v>
      </c>
      <c r="J691" t="s">
        <v>28</v>
      </c>
      <c r="K691" t="s">
        <v>58</v>
      </c>
      <c r="L691" t="s">
        <v>44</v>
      </c>
      <c r="M691">
        <v>87</v>
      </c>
      <c r="N691">
        <v>4</v>
      </c>
      <c r="O691">
        <v>0</v>
      </c>
      <c r="P691">
        <v>7</v>
      </c>
      <c r="Q691" t="s">
        <v>31</v>
      </c>
      <c r="R691">
        <v>120</v>
      </c>
      <c r="S691">
        <v>24</v>
      </c>
      <c r="T691" t="s">
        <v>63</v>
      </c>
      <c r="U691" t="s">
        <v>31</v>
      </c>
      <c r="V691">
        <v>2026</v>
      </c>
      <c r="W691">
        <v>2</v>
      </c>
      <c r="X691" t="s">
        <v>1419</v>
      </c>
      <c r="Y691" s="6">
        <v>46054</v>
      </c>
      <c r="Z691" t="s">
        <v>1413</v>
      </c>
      <c r="AA691" t="s">
        <v>31</v>
      </c>
      <c r="AB691" t="s">
        <v>63</v>
      </c>
      <c r="AC691" t="s">
        <v>23</v>
      </c>
      <c r="AD691">
        <v>1</v>
      </c>
      <c r="AE691">
        <v>0</v>
      </c>
      <c r="AF691">
        <v>1</v>
      </c>
      <c r="AG691">
        <v>0</v>
      </c>
      <c r="AH691">
        <v>0</v>
      </c>
      <c r="AI691">
        <v>1</v>
      </c>
      <c r="AJ691">
        <v>0</v>
      </c>
    </row>
    <row r="692" spans="1:36">
      <c r="A692" t="s">
        <v>839</v>
      </c>
      <c r="B692">
        <v>19.420000000000002</v>
      </c>
      <c r="C692" s="7">
        <v>46250.473611111112</v>
      </c>
      <c r="D692" s="7">
        <v>46251.282813298611</v>
      </c>
      <c r="E692" t="s">
        <v>23</v>
      </c>
      <c r="F692" t="s">
        <v>50</v>
      </c>
      <c r="G692" t="s">
        <v>65</v>
      </c>
      <c r="H692" t="s">
        <v>54</v>
      </c>
      <c r="I692" t="s">
        <v>35</v>
      </c>
      <c r="J692" t="s">
        <v>43</v>
      </c>
      <c r="K692" t="s">
        <v>52</v>
      </c>
      <c r="L692" t="s">
        <v>85</v>
      </c>
      <c r="M692">
        <v>70</v>
      </c>
      <c r="N692">
        <v>4</v>
      </c>
      <c r="O692">
        <v>0</v>
      </c>
      <c r="P692">
        <v>3</v>
      </c>
      <c r="Q692" t="s">
        <v>31</v>
      </c>
      <c r="R692">
        <v>120</v>
      </c>
      <c r="S692">
        <v>24</v>
      </c>
      <c r="T692" t="s">
        <v>63</v>
      </c>
      <c r="U692" t="s">
        <v>63</v>
      </c>
      <c r="V692">
        <v>2026</v>
      </c>
      <c r="W692">
        <v>8</v>
      </c>
      <c r="X692" t="s">
        <v>1417</v>
      </c>
      <c r="Y692" s="6">
        <v>46235</v>
      </c>
      <c r="Z692" t="s">
        <v>1413</v>
      </c>
      <c r="AA692" t="s">
        <v>31</v>
      </c>
      <c r="AB692" t="s">
        <v>63</v>
      </c>
      <c r="AC692" t="s">
        <v>23</v>
      </c>
      <c r="AD692">
        <v>1</v>
      </c>
      <c r="AE692">
        <v>0</v>
      </c>
      <c r="AF692">
        <v>1</v>
      </c>
      <c r="AG692">
        <v>0</v>
      </c>
      <c r="AH692">
        <v>0</v>
      </c>
      <c r="AI692">
        <v>1</v>
      </c>
      <c r="AJ692">
        <v>1</v>
      </c>
    </row>
    <row r="693" spans="1:36">
      <c r="A693" t="s">
        <v>840</v>
      </c>
      <c r="B693">
        <v>94.64</v>
      </c>
      <c r="C693" s="7">
        <v>46050.120138888888</v>
      </c>
      <c r="D693" s="7">
        <v>46054.063283252312</v>
      </c>
      <c r="E693" t="s">
        <v>23</v>
      </c>
      <c r="F693" t="s">
        <v>50</v>
      </c>
      <c r="G693" t="s">
        <v>51</v>
      </c>
      <c r="H693" t="s">
        <v>26</v>
      </c>
      <c r="I693" t="s">
        <v>42</v>
      </c>
      <c r="J693" t="s">
        <v>28</v>
      </c>
      <c r="K693" t="s">
        <v>76</v>
      </c>
      <c r="L693" t="s">
        <v>38</v>
      </c>
      <c r="M693">
        <v>63</v>
      </c>
      <c r="N693">
        <v>4</v>
      </c>
      <c r="O693">
        <v>0</v>
      </c>
      <c r="P693">
        <v>4</v>
      </c>
      <c r="Q693" t="s">
        <v>31</v>
      </c>
      <c r="R693">
        <v>120</v>
      </c>
      <c r="S693">
        <v>24</v>
      </c>
      <c r="T693" t="s">
        <v>63</v>
      </c>
      <c r="U693" t="s">
        <v>31</v>
      </c>
      <c r="V693">
        <v>2026</v>
      </c>
      <c r="W693">
        <v>1</v>
      </c>
      <c r="X693" t="s">
        <v>1414</v>
      </c>
      <c r="Y693" s="6">
        <v>46023</v>
      </c>
      <c r="Z693" t="s">
        <v>1413</v>
      </c>
      <c r="AA693" t="s">
        <v>31</v>
      </c>
      <c r="AB693" t="s">
        <v>63</v>
      </c>
      <c r="AC693" t="s">
        <v>23</v>
      </c>
      <c r="AD693">
        <v>1</v>
      </c>
      <c r="AE693">
        <v>0</v>
      </c>
      <c r="AF693">
        <v>1</v>
      </c>
      <c r="AG693">
        <v>0</v>
      </c>
      <c r="AH693">
        <v>0</v>
      </c>
      <c r="AI693">
        <v>1</v>
      </c>
      <c r="AJ693">
        <v>0</v>
      </c>
    </row>
    <row r="694" spans="1:36">
      <c r="A694" t="s">
        <v>841</v>
      </c>
      <c r="B694">
        <v>9.0299999999999994</v>
      </c>
      <c r="C694" s="7">
        <v>46112.324999999997</v>
      </c>
      <c r="D694" s="7">
        <v>46112.701388888891</v>
      </c>
      <c r="E694" t="s">
        <v>23</v>
      </c>
      <c r="F694" t="s">
        <v>33</v>
      </c>
      <c r="G694" t="s">
        <v>41</v>
      </c>
      <c r="H694" t="s">
        <v>75</v>
      </c>
      <c r="I694" t="s">
        <v>35</v>
      </c>
      <c r="J694" t="s">
        <v>48</v>
      </c>
      <c r="K694" t="s">
        <v>29</v>
      </c>
      <c r="L694" t="s">
        <v>38</v>
      </c>
      <c r="M694">
        <v>1016</v>
      </c>
      <c r="N694">
        <v>4</v>
      </c>
      <c r="O694">
        <v>0</v>
      </c>
      <c r="P694">
        <v>2</v>
      </c>
      <c r="Q694" t="s">
        <v>31</v>
      </c>
      <c r="R694">
        <v>240</v>
      </c>
      <c r="S694">
        <v>48</v>
      </c>
      <c r="T694" t="s">
        <v>31</v>
      </c>
      <c r="U694" t="s">
        <v>63</v>
      </c>
      <c r="V694">
        <v>2026</v>
      </c>
      <c r="W694">
        <v>3</v>
      </c>
      <c r="X694" t="s">
        <v>1423</v>
      </c>
      <c r="Y694" s="6">
        <v>46082</v>
      </c>
      <c r="Z694" t="s">
        <v>1413</v>
      </c>
      <c r="AA694" t="s">
        <v>31</v>
      </c>
      <c r="AB694" t="s">
        <v>63</v>
      </c>
      <c r="AC694" t="s">
        <v>23</v>
      </c>
      <c r="AD694">
        <v>1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1</v>
      </c>
    </row>
    <row r="695" spans="1:36">
      <c r="A695" t="s">
        <v>843</v>
      </c>
      <c r="B695">
        <v>10.72</v>
      </c>
      <c r="C695" s="7">
        <v>46129.000694444447</v>
      </c>
      <c r="D695" s="7">
        <v>46129.447212175925</v>
      </c>
      <c r="E695" t="s">
        <v>23</v>
      </c>
      <c r="F695" t="s">
        <v>40</v>
      </c>
      <c r="G695" t="s">
        <v>65</v>
      </c>
      <c r="H695" t="s">
        <v>26</v>
      </c>
      <c r="I695" t="s">
        <v>42</v>
      </c>
      <c r="J695" t="s">
        <v>36</v>
      </c>
      <c r="K695" t="s">
        <v>52</v>
      </c>
      <c r="L695" t="s">
        <v>85</v>
      </c>
      <c r="M695">
        <v>42</v>
      </c>
      <c r="N695">
        <v>4</v>
      </c>
      <c r="O695">
        <v>0</v>
      </c>
      <c r="P695">
        <v>3</v>
      </c>
      <c r="Q695" t="s">
        <v>31</v>
      </c>
      <c r="R695">
        <v>30</v>
      </c>
      <c r="S695">
        <v>8</v>
      </c>
      <c r="T695" t="s">
        <v>31</v>
      </c>
      <c r="U695" t="s">
        <v>31</v>
      </c>
      <c r="V695">
        <v>2026</v>
      </c>
      <c r="W695">
        <v>4</v>
      </c>
      <c r="X695" t="s">
        <v>1412</v>
      </c>
      <c r="Y695" s="6">
        <v>46113</v>
      </c>
      <c r="Z695" t="s">
        <v>1413</v>
      </c>
      <c r="AA695" t="s">
        <v>31</v>
      </c>
      <c r="AB695" t="s">
        <v>63</v>
      </c>
      <c r="AC695" t="s">
        <v>23</v>
      </c>
      <c r="AD695">
        <v>1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</row>
    <row r="696" spans="1:36">
      <c r="A696" t="s">
        <v>844</v>
      </c>
      <c r="B696">
        <v>10.66</v>
      </c>
      <c r="C696" s="7">
        <v>46165.7</v>
      </c>
      <c r="D696" s="7">
        <v>46166.1440358912</v>
      </c>
      <c r="E696" t="s">
        <v>23</v>
      </c>
      <c r="F696" t="s">
        <v>50</v>
      </c>
      <c r="G696" t="s">
        <v>51</v>
      </c>
      <c r="H696" t="s">
        <v>26</v>
      </c>
      <c r="I696" t="s">
        <v>27</v>
      </c>
      <c r="J696" t="s">
        <v>28</v>
      </c>
      <c r="K696" t="s">
        <v>52</v>
      </c>
      <c r="L696" t="s">
        <v>55</v>
      </c>
      <c r="M696">
        <v>92</v>
      </c>
      <c r="N696">
        <v>4</v>
      </c>
      <c r="O696">
        <v>0</v>
      </c>
      <c r="P696">
        <v>3</v>
      </c>
      <c r="Q696" t="s">
        <v>31</v>
      </c>
      <c r="R696">
        <v>120</v>
      </c>
      <c r="S696">
        <v>24</v>
      </c>
      <c r="T696" t="s">
        <v>63</v>
      </c>
      <c r="U696" t="s">
        <v>63</v>
      </c>
      <c r="V696">
        <v>2026</v>
      </c>
      <c r="W696">
        <v>5</v>
      </c>
      <c r="X696" t="s">
        <v>1416</v>
      </c>
      <c r="Y696" s="6">
        <v>46143</v>
      </c>
      <c r="Z696" t="s">
        <v>1413</v>
      </c>
      <c r="AA696" t="s">
        <v>31</v>
      </c>
      <c r="AB696" t="s">
        <v>63</v>
      </c>
      <c r="AC696" t="s">
        <v>23</v>
      </c>
      <c r="AD696">
        <v>1</v>
      </c>
      <c r="AE696">
        <v>0</v>
      </c>
      <c r="AF696">
        <v>1</v>
      </c>
      <c r="AG696">
        <v>0</v>
      </c>
      <c r="AH696">
        <v>0</v>
      </c>
      <c r="AI696">
        <v>1</v>
      </c>
      <c r="AJ696">
        <v>1</v>
      </c>
    </row>
    <row r="697" spans="1:36">
      <c r="A697" t="s">
        <v>845</v>
      </c>
      <c r="B697">
        <v>24.63</v>
      </c>
      <c r="C697" s="7">
        <v>46135.763888888891</v>
      </c>
      <c r="D697" s="7">
        <v>46136.790111226852</v>
      </c>
      <c r="E697" t="s">
        <v>23</v>
      </c>
      <c r="F697" t="s">
        <v>50</v>
      </c>
      <c r="G697" t="s">
        <v>25</v>
      </c>
      <c r="H697" t="s">
        <v>26</v>
      </c>
      <c r="I697" t="s">
        <v>42</v>
      </c>
      <c r="J697" t="s">
        <v>43</v>
      </c>
      <c r="K697" t="s">
        <v>67</v>
      </c>
      <c r="L697" t="s">
        <v>68</v>
      </c>
      <c r="M697">
        <v>56</v>
      </c>
      <c r="N697">
        <v>4</v>
      </c>
      <c r="O697">
        <v>0</v>
      </c>
      <c r="P697">
        <v>2</v>
      </c>
      <c r="Q697" t="s">
        <v>31</v>
      </c>
      <c r="R697">
        <v>120</v>
      </c>
      <c r="S697">
        <v>24</v>
      </c>
      <c r="T697" t="s">
        <v>63</v>
      </c>
      <c r="U697" t="s">
        <v>31</v>
      </c>
      <c r="V697">
        <v>2026</v>
      </c>
      <c r="W697">
        <v>4</v>
      </c>
      <c r="X697" t="s">
        <v>1412</v>
      </c>
      <c r="Y697" s="6">
        <v>46113</v>
      </c>
      <c r="Z697" t="s">
        <v>1413</v>
      </c>
      <c r="AA697" t="s">
        <v>31</v>
      </c>
      <c r="AB697" t="s">
        <v>63</v>
      </c>
      <c r="AC697" t="s">
        <v>23</v>
      </c>
      <c r="AD697">
        <v>1</v>
      </c>
      <c r="AE697">
        <v>0</v>
      </c>
      <c r="AF697">
        <v>1</v>
      </c>
      <c r="AG697">
        <v>0</v>
      </c>
      <c r="AH697">
        <v>0</v>
      </c>
      <c r="AI697">
        <v>1</v>
      </c>
      <c r="AJ697">
        <v>0</v>
      </c>
    </row>
    <row r="698" spans="1:36">
      <c r="A698" t="s">
        <v>847</v>
      </c>
      <c r="B698">
        <v>62.16</v>
      </c>
      <c r="C698" s="7">
        <v>46049.237500000003</v>
      </c>
      <c r="D698" s="7">
        <v>46051.827328009262</v>
      </c>
      <c r="E698" t="s">
        <v>23</v>
      </c>
      <c r="F698" t="s">
        <v>33</v>
      </c>
      <c r="G698" t="s">
        <v>41</v>
      </c>
      <c r="H698" t="s">
        <v>26</v>
      </c>
      <c r="I698" t="s">
        <v>42</v>
      </c>
      <c r="J698" t="s">
        <v>36</v>
      </c>
      <c r="K698" t="s">
        <v>67</v>
      </c>
      <c r="L698" t="s">
        <v>30</v>
      </c>
      <c r="M698">
        <v>104</v>
      </c>
      <c r="N698">
        <v>3</v>
      </c>
      <c r="O698">
        <v>0</v>
      </c>
      <c r="P698">
        <v>7</v>
      </c>
      <c r="Q698" t="s">
        <v>31</v>
      </c>
      <c r="R698">
        <v>240</v>
      </c>
      <c r="S698">
        <v>48</v>
      </c>
      <c r="T698" t="s">
        <v>63</v>
      </c>
      <c r="U698" t="s">
        <v>31</v>
      </c>
      <c r="V698">
        <v>2026</v>
      </c>
      <c r="W698">
        <v>1</v>
      </c>
      <c r="X698" t="s">
        <v>1414</v>
      </c>
      <c r="Y698" s="6">
        <v>46023</v>
      </c>
      <c r="Z698" t="s">
        <v>1418</v>
      </c>
      <c r="AA698" t="s">
        <v>31</v>
      </c>
      <c r="AB698" t="s">
        <v>63</v>
      </c>
      <c r="AC698" t="s">
        <v>23</v>
      </c>
      <c r="AD698">
        <v>1</v>
      </c>
      <c r="AE698">
        <v>0</v>
      </c>
      <c r="AF698">
        <v>1</v>
      </c>
      <c r="AG698">
        <v>0</v>
      </c>
      <c r="AH698">
        <v>0</v>
      </c>
      <c r="AI698">
        <v>1</v>
      </c>
      <c r="AJ698">
        <v>0</v>
      </c>
    </row>
    <row r="699" spans="1:36">
      <c r="A699" t="s">
        <v>848</v>
      </c>
      <c r="B699">
        <v>18.87</v>
      </c>
      <c r="C699" s="7">
        <v>46085.551388888889</v>
      </c>
      <c r="D699" s="7">
        <v>46086.337719212963</v>
      </c>
      <c r="E699" t="s">
        <v>23</v>
      </c>
      <c r="F699" t="s">
        <v>50</v>
      </c>
      <c r="G699" t="s">
        <v>41</v>
      </c>
      <c r="H699" t="s">
        <v>75</v>
      </c>
      <c r="I699" t="s">
        <v>27</v>
      </c>
      <c r="J699" t="s">
        <v>48</v>
      </c>
      <c r="K699" t="s">
        <v>29</v>
      </c>
      <c r="L699" t="s">
        <v>71</v>
      </c>
      <c r="M699">
        <v>103</v>
      </c>
      <c r="N699">
        <v>4</v>
      </c>
      <c r="O699">
        <v>0</v>
      </c>
      <c r="P699">
        <v>5</v>
      </c>
      <c r="Q699" t="s">
        <v>31</v>
      </c>
      <c r="R699">
        <v>120</v>
      </c>
      <c r="S699">
        <v>24</v>
      </c>
      <c r="T699" t="s">
        <v>63</v>
      </c>
      <c r="U699" t="s">
        <v>63</v>
      </c>
      <c r="V699">
        <v>2026</v>
      </c>
      <c r="W699">
        <v>3</v>
      </c>
      <c r="X699" t="s">
        <v>1423</v>
      </c>
      <c r="Y699" s="6">
        <v>46082</v>
      </c>
      <c r="Z699" t="s">
        <v>1413</v>
      </c>
      <c r="AA699" t="s">
        <v>31</v>
      </c>
      <c r="AB699" t="s">
        <v>63</v>
      </c>
      <c r="AC699" t="s">
        <v>23</v>
      </c>
      <c r="AD699">
        <v>1</v>
      </c>
      <c r="AE699">
        <v>0</v>
      </c>
      <c r="AF699">
        <v>1</v>
      </c>
      <c r="AG699">
        <v>0</v>
      </c>
      <c r="AH699">
        <v>0</v>
      </c>
      <c r="AI699">
        <v>1</v>
      </c>
      <c r="AJ699">
        <v>1</v>
      </c>
    </row>
    <row r="700" spans="1:36">
      <c r="A700" t="s">
        <v>849</v>
      </c>
      <c r="B700">
        <v>10.18</v>
      </c>
      <c r="C700" s="7">
        <v>46065.676388888889</v>
      </c>
      <c r="D700" s="7">
        <v>46066.100559282408</v>
      </c>
      <c r="E700" t="s">
        <v>23</v>
      </c>
      <c r="F700" t="s">
        <v>50</v>
      </c>
      <c r="G700" t="s">
        <v>41</v>
      </c>
      <c r="H700" t="s">
        <v>26</v>
      </c>
      <c r="I700" t="s">
        <v>35</v>
      </c>
      <c r="J700" t="s">
        <v>36</v>
      </c>
      <c r="K700" t="s">
        <v>37</v>
      </c>
      <c r="L700" t="s">
        <v>93</v>
      </c>
      <c r="M700">
        <v>52</v>
      </c>
      <c r="N700">
        <v>5</v>
      </c>
      <c r="O700">
        <v>0</v>
      </c>
      <c r="P700">
        <v>5</v>
      </c>
      <c r="Q700" t="s">
        <v>31</v>
      </c>
      <c r="R700">
        <v>120</v>
      </c>
      <c r="S700">
        <v>24</v>
      </c>
      <c r="T700" t="s">
        <v>63</v>
      </c>
      <c r="U700" t="s">
        <v>63</v>
      </c>
      <c r="V700">
        <v>2026</v>
      </c>
      <c r="W700">
        <v>2</v>
      </c>
      <c r="X700" t="s">
        <v>1419</v>
      </c>
      <c r="Y700" s="6">
        <v>46054</v>
      </c>
      <c r="Z700" t="s">
        <v>1413</v>
      </c>
      <c r="AA700" t="s">
        <v>31</v>
      </c>
      <c r="AB700" t="s">
        <v>63</v>
      </c>
      <c r="AC700" t="s">
        <v>23</v>
      </c>
      <c r="AD700">
        <v>1</v>
      </c>
      <c r="AE700">
        <v>0</v>
      </c>
      <c r="AF700">
        <v>1</v>
      </c>
      <c r="AG700">
        <v>0</v>
      </c>
      <c r="AH700">
        <v>0</v>
      </c>
      <c r="AI700">
        <v>1</v>
      </c>
      <c r="AJ700">
        <v>1</v>
      </c>
    </row>
    <row r="701" spans="1:36">
      <c r="A701" t="s">
        <v>850</v>
      </c>
      <c r="B701">
        <v>64.900000000000006</v>
      </c>
      <c r="C701" s="7">
        <v>46167.42083333333</v>
      </c>
      <c r="D701" s="7">
        <v>46170.124849918982</v>
      </c>
      <c r="E701" t="s">
        <v>23</v>
      </c>
      <c r="F701" t="s">
        <v>50</v>
      </c>
      <c r="G701" t="s">
        <v>51</v>
      </c>
      <c r="H701" t="s">
        <v>34</v>
      </c>
      <c r="I701" t="s">
        <v>27</v>
      </c>
      <c r="J701" t="s">
        <v>43</v>
      </c>
      <c r="K701" t="s">
        <v>76</v>
      </c>
      <c r="L701" t="s">
        <v>101</v>
      </c>
      <c r="M701">
        <v>242</v>
      </c>
      <c r="N701">
        <v>3</v>
      </c>
      <c r="O701">
        <v>0</v>
      </c>
      <c r="P701">
        <v>5</v>
      </c>
      <c r="Q701" t="s">
        <v>31</v>
      </c>
      <c r="R701">
        <v>120</v>
      </c>
      <c r="S701">
        <v>24</v>
      </c>
      <c r="T701" t="s">
        <v>31</v>
      </c>
      <c r="U701" t="s">
        <v>31</v>
      </c>
      <c r="V701">
        <v>2026</v>
      </c>
      <c r="W701">
        <v>5</v>
      </c>
      <c r="X701" t="s">
        <v>1416</v>
      </c>
      <c r="Y701" s="6">
        <v>46143</v>
      </c>
      <c r="Z701" t="s">
        <v>1418</v>
      </c>
      <c r="AA701" t="s">
        <v>31</v>
      </c>
      <c r="AB701" t="s">
        <v>63</v>
      </c>
      <c r="AC701" t="s">
        <v>23</v>
      </c>
      <c r="AD701">
        <v>1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</row>
    <row r="702" spans="1:36">
      <c r="A702" t="s">
        <v>851</v>
      </c>
      <c r="B702">
        <v>22.73</v>
      </c>
      <c r="C702" s="7">
        <v>46166.064583333333</v>
      </c>
      <c r="D702" s="7">
        <v>46167.01147114583</v>
      </c>
      <c r="E702" t="s">
        <v>23</v>
      </c>
      <c r="F702" t="s">
        <v>50</v>
      </c>
      <c r="G702" t="s">
        <v>51</v>
      </c>
      <c r="H702" t="s">
        <v>54</v>
      </c>
      <c r="I702" t="s">
        <v>35</v>
      </c>
      <c r="J702" t="s">
        <v>28</v>
      </c>
      <c r="K702" t="s">
        <v>58</v>
      </c>
      <c r="L702" t="s">
        <v>93</v>
      </c>
      <c r="M702">
        <v>153</v>
      </c>
      <c r="N702">
        <v>4</v>
      </c>
      <c r="O702">
        <v>0</v>
      </c>
      <c r="P702">
        <v>7</v>
      </c>
      <c r="Q702" t="s">
        <v>31</v>
      </c>
      <c r="R702">
        <v>120</v>
      </c>
      <c r="S702">
        <v>24</v>
      </c>
      <c r="T702" t="s">
        <v>31</v>
      </c>
      <c r="U702" t="s">
        <v>63</v>
      </c>
      <c r="V702">
        <v>2026</v>
      </c>
      <c r="W702">
        <v>5</v>
      </c>
      <c r="X702" t="s">
        <v>1416</v>
      </c>
      <c r="Y702" s="6">
        <v>46143</v>
      </c>
      <c r="Z702" t="s">
        <v>1413</v>
      </c>
      <c r="AA702" t="s">
        <v>31</v>
      </c>
      <c r="AB702" t="s">
        <v>63</v>
      </c>
      <c r="AC702" t="s">
        <v>23</v>
      </c>
      <c r="AD702">
        <v>1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1</v>
      </c>
    </row>
    <row r="703" spans="1:36">
      <c r="A703" t="s">
        <v>852</v>
      </c>
      <c r="B703">
        <v>3.11</v>
      </c>
      <c r="C703" s="7">
        <v>46040.590277777781</v>
      </c>
      <c r="D703" s="7">
        <v>46040.719927430553</v>
      </c>
      <c r="E703" t="s">
        <v>23</v>
      </c>
      <c r="F703" t="s">
        <v>24</v>
      </c>
      <c r="G703" t="s">
        <v>25</v>
      </c>
      <c r="H703" t="s">
        <v>26</v>
      </c>
      <c r="I703" t="s">
        <v>42</v>
      </c>
      <c r="J703" t="s">
        <v>43</v>
      </c>
      <c r="K703" t="s">
        <v>52</v>
      </c>
      <c r="L703" t="s">
        <v>68</v>
      </c>
      <c r="M703">
        <v>18</v>
      </c>
      <c r="N703">
        <v>4</v>
      </c>
      <c r="O703">
        <v>0</v>
      </c>
      <c r="P703">
        <v>6</v>
      </c>
      <c r="Q703" t="s">
        <v>31</v>
      </c>
      <c r="R703">
        <v>15</v>
      </c>
      <c r="S703">
        <v>4</v>
      </c>
      <c r="T703" t="s">
        <v>31</v>
      </c>
      <c r="U703" t="s">
        <v>63</v>
      </c>
      <c r="V703">
        <v>2026</v>
      </c>
      <c r="W703">
        <v>1</v>
      </c>
      <c r="X703" t="s">
        <v>1414</v>
      </c>
      <c r="Y703" s="6">
        <v>46023</v>
      </c>
      <c r="Z703" t="s">
        <v>1413</v>
      </c>
      <c r="AA703" t="s">
        <v>31</v>
      </c>
      <c r="AB703" t="s">
        <v>63</v>
      </c>
      <c r="AC703" t="s">
        <v>23</v>
      </c>
      <c r="AD703">
        <v>1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1</v>
      </c>
    </row>
    <row r="704" spans="1:36">
      <c r="A704" t="s">
        <v>853</v>
      </c>
      <c r="B704">
        <v>31.73</v>
      </c>
      <c r="C704" s="7">
        <v>46176.125694444447</v>
      </c>
      <c r="D704" s="7">
        <v>46177.447733379631</v>
      </c>
      <c r="E704" t="s">
        <v>23</v>
      </c>
      <c r="F704" t="s">
        <v>50</v>
      </c>
      <c r="G704" t="s">
        <v>51</v>
      </c>
      <c r="H704" t="s">
        <v>26</v>
      </c>
      <c r="I704" t="s">
        <v>35</v>
      </c>
      <c r="J704" t="s">
        <v>36</v>
      </c>
      <c r="K704" t="s">
        <v>76</v>
      </c>
      <c r="L704" t="s">
        <v>71</v>
      </c>
      <c r="M704">
        <v>81</v>
      </c>
      <c r="N704">
        <v>4</v>
      </c>
      <c r="O704">
        <v>0</v>
      </c>
      <c r="P704">
        <v>3</v>
      </c>
      <c r="Q704" t="s">
        <v>31</v>
      </c>
      <c r="R704">
        <v>120</v>
      </c>
      <c r="S704">
        <v>24</v>
      </c>
      <c r="T704" t="s">
        <v>63</v>
      </c>
      <c r="U704" t="s">
        <v>31</v>
      </c>
      <c r="V704">
        <v>2026</v>
      </c>
      <c r="W704">
        <v>6</v>
      </c>
      <c r="X704" t="s">
        <v>1421</v>
      </c>
      <c r="Y704" s="6">
        <v>46174</v>
      </c>
      <c r="Z704" t="s">
        <v>1413</v>
      </c>
      <c r="AA704" t="s">
        <v>31</v>
      </c>
      <c r="AB704" t="s">
        <v>63</v>
      </c>
      <c r="AC704" t="s">
        <v>23</v>
      </c>
      <c r="AD704">
        <v>1</v>
      </c>
      <c r="AE704">
        <v>0</v>
      </c>
      <c r="AF704">
        <v>1</v>
      </c>
      <c r="AG704">
        <v>0</v>
      </c>
      <c r="AH704">
        <v>0</v>
      </c>
      <c r="AI704">
        <v>1</v>
      </c>
      <c r="AJ704">
        <v>0</v>
      </c>
    </row>
    <row r="705" spans="1:36">
      <c r="A705" t="s">
        <v>854</v>
      </c>
      <c r="B705">
        <v>46.13</v>
      </c>
      <c r="C705" s="7">
        <v>46207.804861111108</v>
      </c>
      <c r="D705" s="7">
        <v>46209.726942083333</v>
      </c>
      <c r="E705" t="s">
        <v>23</v>
      </c>
      <c r="F705" t="s">
        <v>33</v>
      </c>
      <c r="G705" t="s">
        <v>41</v>
      </c>
      <c r="H705" t="s">
        <v>66</v>
      </c>
      <c r="I705" t="s">
        <v>42</v>
      </c>
      <c r="J705" t="s">
        <v>43</v>
      </c>
      <c r="K705" t="s">
        <v>58</v>
      </c>
      <c r="L705" t="s">
        <v>30</v>
      </c>
      <c r="M705">
        <v>93</v>
      </c>
      <c r="N705">
        <v>4</v>
      </c>
      <c r="O705">
        <v>0</v>
      </c>
      <c r="P705">
        <v>2</v>
      </c>
      <c r="Q705" t="s">
        <v>31</v>
      </c>
      <c r="R705">
        <v>240</v>
      </c>
      <c r="S705">
        <v>48</v>
      </c>
      <c r="T705" t="s">
        <v>63</v>
      </c>
      <c r="U705" t="s">
        <v>63</v>
      </c>
      <c r="V705">
        <v>2026</v>
      </c>
      <c r="W705">
        <v>7</v>
      </c>
      <c r="X705" t="s">
        <v>1422</v>
      </c>
      <c r="Y705" s="6">
        <v>46204</v>
      </c>
      <c r="Z705" t="s">
        <v>1413</v>
      </c>
      <c r="AA705" t="s">
        <v>31</v>
      </c>
      <c r="AB705" t="s">
        <v>63</v>
      </c>
      <c r="AC705" t="s">
        <v>23</v>
      </c>
      <c r="AD705">
        <v>1</v>
      </c>
      <c r="AE705">
        <v>0</v>
      </c>
      <c r="AF705">
        <v>1</v>
      </c>
      <c r="AG705">
        <v>0</v>
      </c>
      <c r="AH705">
        <v>0</v>
      </c>
      <c r="AI705">
        <v>1</v>
      </c>
      <c r="AJ705">
        <v>1</v>
      </c>
    </row>
    <row r="706" spans="1:36">
      <c r="A706" t="s">
        <v>855</v>
      </c>
      <c r="B706">
        <v>13.39</v>
      </c>
      <c r="C706" s="7">
        <v>46175.290277777778</v>
      </c>
      <c r="D706" s="7">
        <v>46175.848124768519</v>
      </c>
      <c r="E706" t="s">
        <v>23</v>
      </c>
      <c r="F706" t="s">
        <v>50</v>
      </c>
      <c r="G706" t="s">
        <v>65</v>
      </c>
      <c r="H706" t="s">
        <v>26</v>
      </c>
      <c r="I706" t="s">
        <v>35</v>
      </c>
      <c r="J706" t="s">
        <v>36</v>
      </c>
      <c r="K706" t="s">
        <v>52</v>
      </c>
      <c r="L706" t="s">
        <v>55</v>
      </c>
      <c r="M706">
        <v>118</v>
      </c>
      <c r="N706">
        <v>4</v>
      </c>
      <c r="O706">
        <v>0</v>
      </c>
      <c r="P706">
        <v>5</v>
      </c>
      <c r="Q706" t="s">
        <v>31</v>
      </c>
      <c r="R706">
        <v>120</v>
      </c>
      <c r="S706">
        <v>24</v>
      </c>
      <c r="T706" t="s">
        <v>63</v>
      </c>
      <c r="U706" t="s">
        <v>63</v>
      </c>
      <c r="V706">
        <v>2026</v>
      </c>
      <c r="W706">
        <v>6</v>
      </c>
      <c r="X706" t="s">
        <v>1421</v>
      </c>
      <c r="Y706" s="6">
        <v>46174</v>
      </c>
      <c r="Z706" t="s">
        <v>1413</v>
      </c>
      <c r="AA706" t="s">
        <v>31</v>
      </c>
      <c r="AB706" t="s">
        <v>63</v>
      </c>
      <c r="AC706" t="s">
        <v>23</v>
      </c>
      <c r="AD706">
        <v>1</v>
      </c>
      <c r="AE706">
        <v>0</v>
      </c>
      <c r="AF706">
        <v>1</v>
      </c>
      <c r="AG706">
        <v>0</v>
      </c>
      <c r="AH706">
        <v>0</v>
      </c>
      <c r="AI706">
        <v>1</v>
      </c>
      <c r="AJ706">
        <v>1</v>
      </c>
    </row>
    <row r="707" spans="1:36">
      <c r="A707" t="s">
        <v>856</v>
      </c>
      <c r="B707">
        <v>5.31</v>
      </c>
      <c r="C707" s="7">
        <v>46265.660416666666</v>
      </c>
      <c r="D707" s="7">
        <v>46265.881538125002</v>
      </c>
      <c r="E707" t="s">
        <v>23</v>
      </c>
      <c r="F707" t="s">
        <v>24</v>
      </c>
      <c r="G707" t="s">
        <v>51</v>
      </c>
      <c r="H707" t="s">
        <v>26</v>
      </c>
      <c r="I707" t="s">
        <v>42</v>
      </c>
      <c r="J707" t="s">
        <v>36</v>
      </c>
      <c r="K707" t="s">
        <v>67</v>
      </c>
      <c r="L707" t="s">
        <v>85</v>
      </c>
      <c r="M707">
        <v>16</v>
      </c>
      <c r="N707">
        <v>4</v>
      </c>
      <c r="O707">
        <v>0</v>
      </c>
      <c r="P707">
        <v>2</v>
      </c>
      <c r="Q707" t="s">
        <v>31</v>
      </c>
      <c r="R707">
        <v>15</v>
      </c>
      <c r="S707">
        <v>4</v>
      </c>
      <c r="T707" t="s">
        <v>31</v>
      </c>
      <c r="U707" t="s">
        <v>31</v>
      </c>
      <c r="V707">
        <v>2026</v>
      </c>
      <c r="W707">
        <v>8</v>
      </c>
      <c r="X707" t="s">
        <v>1417</v>
      </c>
      <c r="Y707" s="6">
        <v>46235</v>
      </c>
      <c r="Z707" t="s">
        <v>1413</v>
      </c>
      <c r="AA707" t="s">
        <v>31</v>
      </c>
      <c r="AB707" t="s">
        <v>63</v>
      </c>
      <c r="AC707" t="s">
        <v>23</v>
      </c>
      <c r="AD707">
        <v>1</v>
      </c>
      <c r="AE707">
        <v>0</v>
      </c>
      <c r="AF707">
        <v>1</v>
      </c>
      <c r="AG707">
        <v>0</v>
      </c>
      <c r="AH707">
        <v>0</v>
      </c>
      <c r="AI707">
        <v>0</v>
      </c>
      <c r="AJ707">
        <v>0</v>
      </c>
    </row>
    <row r="708" spans="1:36">
      <c r="A708" t="s">
        <v>857</v>
      </c>
      <c r="B708">
        <v>3.47</v>
      </c>
      <c r="C708" s="7">
        <v>46241.46597222222</v>
      </c>
      <c r="D708" s="7">
        <v>46241.610394699077</v>
      </c>
      <c r="E708" t="s">
        <v>23</v>
      </c>
      <c r="F708" t="s">
        <v>50</v>
      </c>
      <c r="G708" t="s">
        <v>41</v>
      </c>
      <c r="H708" t="s">
        <v>26</v>
      </c>
      <c r="I708" t="s">
        <v>35</v>
      </c>
      <c r="J708" t="s">
        <v>36</v>
      </c>
      <c r="K708" t="s">
        <v>52</v>
      </c>
      <c r="L708" t="s">
        <v>30</v>
      </c>
      <c r="M708">
        <v>114</v>
      </c>
      <c r="N708">
        <v>4</v>
      </c>
      <c r="O708">
        <v>0</v>
      </c>
      <c r="P708">
        <v>5</v>
      </c>
      <c r="Q708" t="s">
        <v>31</v>
      </c>
      <c r="R708">
        <v>120</v>
      </c>
      <c r="S708">
        <v>24</v>
      </c>
      <c r="T708" t="s">
        <v>63</v>
      </c>
      <c r="U708" t="s">
        <v>63</v>
      </c>
      <c r="V708">
        <v>2026</v>
      </c>
      <c r="W708">
        <v>8</v>
      </c>
      <c r="X708" t="s">
        <v>1417</v>
      </c>
      <c r="Y708" s="6">
        <v>46235</v>
      </c>
      <c r="Z708" t="s">
        <v>1413</v>
      </c>
      <c r="AA708" t="s">
        <v>31</v>
      </c>
      <c r="AB708" t="s">
        <v>63</v>
      </c>
      <c r="AC708" t="s">
        <v>23</v>
      </c>
      <c r="AD708">
        <v>1</v>
      </c>
      <c r="AE708">
        <v>0</v>
      </c>
      <c r="AF708">
        <v>1</v>
      </c>
      <c r="AG708">
        <v>0</v>
      </c>
      <c r="AH708">
        <v>0</v>
      </c>
      <c r="AI708">
        <v>1</v>
      </c>
      <c r="AJ708">
        <v>1</v>
      </c>
    </row>
    <row r="709" spans="1:36">
      <c r="A709" t="s">
        <v>858</v>
      </c>
      <c r="B709">
        <v>35.049999999999997</v>
      </c>
      <c r="C709" s="7">
        <v>46230.616666666669</v>
      </c>
      <c r="D709" s="7">
        <v>46232.076890972225</v>
      </c>
      <c r="E709" t="s">
        <v>23</v>
      </c>
      <c r="F709" t="s">
        <v>33</v>
      </c>
      <c r="G709" t="s">
        <v>51</v>
      </c>
      <c r="H709" t="s">
        <v>26</v>
      </c>
      <c r="I709" t="s">
        <v>35</v>
      </c>
      <c r="J709" t="s">
        <v>36</v>
      </c>
      <c r="K709" t="s">
        <v>37</v>
      </c>
      <c r="L709" t="s">
        <v>44</v>
      </c>
      <c r="M709">
        <v>398</v>
      </c>
      <c r="N709">
        <v>3</v>
      </c>
      <c r="O709">
        <v>0</v>
      </c>
      <c r="P709">
        <v>2</v>
      </c>
      <c r="Q709" t="s">
        <v>31</v>
      </c>
      <c r="R709">
        <v>240</v>
      </c>
      <c r="S709">
        <v>48</v>
      </c>
      <c r="T709" t="s">
        <v>31</v>
      </c>
      <c r="U709" t="s">
        <v>63</v>
      </c>
      <c r="V709">
        <v>2026</v>
      </c>
      <c r="W709">
        <v>7</v>
      </c>
      <c r="X709" t="s">
        <v>1422</v>
      </c>
      <c r="Y709" s="6">
        <v>46204</v>
      </c>
      <c r="Z709" t="s">
        <v>1418</v>
      </c>
      <c r="AA709" t="s">
        <v>31</v>
      </c>
      <c r="AB709" t="s">
        <v>63</v>
      </c>
      <c r="AC709" t="s">
        <v>23</v>
      </c>
      <c r="AD709">
        <v>1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1</v>
      </c>
    </row>
    <row r="710" spans="1:36">
      <c r="A710" t="s">
        <v>861</v>
      </c>
      <c r="B710">
        <v>60.46</v>
      </c>
      <c r="C710" s="7">
        <v>46255.409722222219</v>
      </c>
      <c r="D710" s="7">
        <v>46257.928727037041</v>
      </c>
      <c r="E710" t="s">
        <v>23</v>
      </c>
      <c r="F710" t="s">
        <v>33</v>
      </c>
      <c r="G710" t="s">
        <v>41</v>
      </c>
      <c r="H710" t="s">
        <v>66</v>
      </c>
      <c r="I710" t="s">
        <v>35</v>
      </c>
      <c r="J710" t="s">
        <v>48</v>
      </c>
      <c r="K710" t="s">
        <v>58</v>
      </c>
      <c r="L710" t="s">
        <v>93</v>
      </c>
      <c r="M710">
        <v>265</v>
      </c>
      <c r="N710">
        <v>2</v>
      </c>
      <c r="O710">
        <v>1</v>
      </c>
      <c r="P710">
        <v>8</v>
      </c>
      <c r="Q710" t="s">
        <v>31</v>
      </c>
      <c r="R710">
        <v>240</v>
      </c>
      <c r="S710">
        <v>48</v>
      </c>
      <c r="T710" t="s">
        <v>31</v>
      </c>
      <c r="U710" t="s">
        <v>31</v>
      </c>
      <c r="V710">
        <v>2026</v>
      </c>
      <c r="W710">
        <v>8</v>
      </c>
      <c r="X710" t="s">
        <v>1417</v>
      </c>
      <c r="Y710" s="6">
        <v>46235</v>
      </c>
      <c r="Z710" t="s">
        <v>1415</v>
      </c>
      <c r="AA710" t="s">
        <v>63</v>
      </c>
      <c r="AB710" t="s">
        <v>63</v>
      </c>
      <c r="AC710" t="s">
        <v>23</v>
      </c>
      <c r="AD710">
        <v>1</v>
      </c>
      <c r="AE710">
        <v>0</v>
      </c>
      <c r="AF710">
        <v>1</v>
      </c>
      <c r="AG710">
        <v>1</v>
      </c>
      <c r="AH710">
        <v>0</v>
      </c>
      <c r="AI710">
        <v>0</v>
      </c>
      <c r="AJ710">
        <v>0</v>
      </c>
    </row>
    <row r="711" spans="1:36">
      <c r="A711" t="s">
        <v>862</v>
      </c>
      <c r="B711">
        <v>44.49</v>
      </c>
      <c r="C711" s="7">
        <v>46094.785416666666</v>
      </c>
      <c r="D711" s="7">
        <v>46096.639031377315</v>
      </c>
      <c r="E711" t="s">
        <v>23</v>
      </c>
      <c r="F711" t="s">
        <v>50</v>
      </c>
      <c r="G711" t="s">
        <v>51</v>
      </c>
      <c r="H711" t="s">
        <v>66</v>
      </c>
      <c r="I711" t="s">
        <v>35</v>
      </c>
      <c r="J711" t="s">
        <v>48</v>
      </c>
      <c r="K711" t="s">
        <v>37</v>
      </c>
      <c r="L711" t="s">
        <v>62</v>
      </c>
      <c r="M711">
        <v>306</v>
      </c>
      <c r="N711">
        <v>3</v>
      </c>
      <c r="O711">
        <v>0</v>
      </c>
      <c r="P711">
        <v>7</v>
      </c>
      <c r="Q711" t="s">
        <v>31</v>
      </c>
      <c r="R711">
        <v>120</v>
      </c>
      <c r="S711">
        <v>24</v>
      </c>
      <c r="T711" t="s">
        <v>31</v>
      </c>
      <c r="U711" t="s">
        <v>31</v>
      </c>
      <c r="V711">
        <v>2026</v>
      </c>
      <c r="W711">
        <v>3</v>
      </c>
      <c r="X711" t="s">
        <v>1423</v>
      </c>
      <c r="Y711" s="6">
        <v>46082</v>
      </c>
      <c r="Z711" t="s">
        <v>1418</v>
      </c>
      <c r="AA711" t="s">
        <v>31</v>
      </c>
      <c r="AB711" t="s">
        <v>63</v>
      </c>
      <c r="AC711" t="s">
        <v>23</v>
      </c>
      <c r="AD711">
        <v>1</v>
      </c>
      <c r="AE711">
        <v>0</v>
      </c>
      <c r="AF711">
        <v>1</v>
      </c>
      <c r="AG711">
        <v>0</v>
      </c>
      <c r="AH711">
        <v>0</v>
      </c>
      <c r="AI711">
        <v>0</v>
      </c>
      <c r="AJ711">
        <v>0</v>
      </c>
    </row>
    <row r="712" spans="1:36">
      <c r="A712" t="s">
        <v>863</v>
      </c>
      <c r="B712">
        <v>115.22</v>
      </c>
      <c r="C712" s="7">
        <v>46189.567361111112</v>
      </c>
      <c r="D712" s="7">
        <v>46194.368271817133</v>
      </c>
      <c r="E712" t="s">
        <v>23</v>
      </c>
      <c r="F712" t="s">
        <v>50</v>
      </c>
      <c r="G712" t="s">
        <v>25</v>
      </c>
      <c r="H712" t="s">
        <v>26</v>
      </c>
      <c r="I712" t="s">
        <v>35</v>
      </c>
      <c r="J712" t="s">
        <v>36</v>
      </c>
      <c r="K712" t="s">
        <v>67</v>
      </c>
      <c r="L712" t="s">
        <v>101</v>
      </c>
      <c r="M712">
        <v>91</v>
      </c>
      <c r="N712">
        <v>3</v>
      </c>
      <c r="O712">
        <v>1</v>
      </c>
      <c r="P712">
        <v>8</v>
      </c>
      <c r="Q712" t="s">
        <v>31</v>
      </c>
      <c r="R712">
        <v>120</v>
      </c>
      <c r="S712">
        <v>24</v>
      </c>
      <c r="T712" t="s">
        <v>63</v>
      </c>
      <c r="U712" t="s">
        <v>31</v>
      </c>
      <c r="V712">
        <v>2026</v>
      </c>
      <c r="W712">
        <v>6</v>
      </c>
      <c r="X712" t="s">
        <v>1421</v>
      </c>
      <c r="Y712" s="6">
        <v>46174</v>
      </c>
      <c r="Z712" t="s">
        <v>1418</v>
      </c>
      <c r="AA712" t="s">
        <v>63</v>
      </c>
      <c r="AB712" t="s">
        <v>63</v>
      </c>
      <c r="AC712" t="s">
        <v>23</v>
      </c>
      <c r="AD712">
        <v>1</v>
      </c>
      <c r="AE712">
        <v>0</v>
      </c>
      <c r="AF712">
        <v>1</v>
      </c>
      <c r="AG712">
        <v>1</v>
      </c>
      <c r="AH712">
        <v>0</v>
      </c>
      <c r="AI712">
        <v>1</v>
      </c>
      <c r="AJ712">
        <v>0</v>
      </c>
    </row>
    <row r="713" spans="1:36">
      <c r="A713" t="s">
        <v>864</v>
      </c>
      <c r="B713">
        <v>52.17</v>
      </c>
      <c r="C713" s="7">
        <v>46034.359027777777</v>
      </c>
      <c r="D713" s="7">
        <v>46036.532728321756</v>
      </c>
      <c r="E713" t="s">
        <v>23</v>
      </c>
      <c r="F713" t="s">
        <v>33</v>
      </c>
      <c r="G713" t="s">
        <v>25</v>
      </c>
      <c r="H713" t="s">
        <v>75</v>
      </c>
      <c r="I713" t="s">
        <v>42</v>
      </c>
      <c r="J713" t="s">
        <v>43</v>
      </c>
      <c r="K713" t="s">
        <v>76</v>
      </c>
      <c r="L713" t="s">
        <v>55</v>
      </c>
      <c r="M713">
        <v>78</v>
      </c>
      <c r="N713">
        <v>4</v>
      </c>
      <c r="O713">
        <v>0</v>
      </c>
      <c r="P713">
        <v>2</v>
      </c>
      <c r="Q713" t="s">
        <v>31</v>
      </c>
      <c r="R713">
        <v>240</v>
      </c>
      <c r="S713">
        <v>48</v>
      </c>
      <c r="T713" t="s">
        <v>63</v>
      </c>
      <c r="U713" t="s">
        <v>31</v>
      </c>
      <c r="V713">
        <v>2026</v>
      </c>
      <c r="W713">
        <v>1</v>
      </c>
      <c r="X713" t="s">
        <v>1414</v>
      </c>
      <c r="Y713" s="6">
        <v>46023</v>
      </c>
      <c r="Z713" t="s">
        <v>1413</v>
      </c>
      <c r="AA713" t="s">
        <v>31</v>
      </c>
      <c r="AB713" t="s">
        <v>63</v>
      </c>
      <c r="AC713" t="s">
        <v>23</v>
      </c>
      <c r="AD713">
        <v>1</v>
      </c>
      <c r="AE713">
        <v>0</v>
      </c>
      <c r="AF713">
        <v>1</v>
      </c>
      <c r="AG713">
        <v>0</v>
      </c>
      <c r="AH713">
        <v>0</v>
      </c>
      <c r="AI713">
        <v>1</v>
      </c>
      <c r="AJ713">
        <v>0</v>
      </c>
    </row>
    <row r="714" spans="1:36">
      <c r="A714" t="s">
        <v>865</v>
      </c>
      <c r="B714">
        <v>42.55</v>
      </c>
      <c r="C714" s="7">
        <v>46067.261111111111</v>
      </c>
      <c r="D714" s="7">
        <v>46069.033905046294</v>
      </c>
      <c r="E714" t="s">
        <v>23</v>
      </c>
      <c r="F714" t="s">
        <v>33</v>
      </c>
      <c r="G714" t="s">
        <v>51</v>
      </c>
      <c r="H714" t="s">
        <v>26</v>
      </c>
      <c r="I714" t="s">
        <v>42</v>
      </c>
      <c r="J714" t="s">
        <v>28</v>
      </c>
      <c r="K714" t="s">
        <v>37</v>
      </c>
      <c r="L714" t="s">
        <v>62</v>
      </c>
      <c r="M714">
        <v>247</v>
      </c>
      <c r="N714">
        <v>3</v>
      </c>
      <c r="O714">
        <v>0</v>
      </c>
      <c r="P714">
        <v>2</v>
      </c>
      <c r="Q714" t="s">
        <v>31</v>
      </c>
      <c r="R714">
        <v>240</v>
      </c>
      <c r="S714">
        <v>48</v>
      </c>
      <c r="T714" t="s">
        <v>31</v>
      </c>
      <c r="U714" t="s">
        <v>63</v>
      </c>
      <c r="V714">
        <v>2026</v>
      </c>
      <c r="W714">
        <v>2</v>
      </c>
      <c r="X714" t="s">
        <v>1419</v>
      </c>
      <c r="Y714" s="6">
        <v>46054</v>
      </c>
      <c r="Z714" t="s">
        <v>1418</v>
      </c>
      <c r="AA714" t="s">
        <v>31</v>
      </c>
      <c r="AB714" t="s">
        <v>63</v>
      </c>
      <c r="AC714" t="s">
        <v>23</v>
      </c>
      <c r="AD714">
        <v>1</v>
      </c>
      <c r="AE714">
        <v>0</v>
      </c>
      <c r="AF714">
        <v>1</v>
      </c>
      <c r="AG714">
        <v>0</v>
      </c>
      <c r="AH714">
        <v>0</v>
      </c>
      <c r="AI714">
        <v>0</v>
      </c>
      <c r="AJ714">
        <v>1</v>
      </c>
    </row>
    <row r="715" spans="1:36">
      <c r="A715" t="s">
        <v>866</v>
      </c>
      <c r="B715">
        <v>21.65</v>
      </c>
      <c r="C715" s="7">
        <v>46195.728472222225</v>
      </c>
      <c r="D715" s="7">
        <v>46196.630730393517</v>
      </c>
      <c r="E715" t="s">
        <v>23</v>
      </c>
      <c r="F715" t="s">
        <v>50</v>
      </c>
      <c r="G715" t="s">
        <v>41</v>
      </c>
      <c r="H715" t="s">
        <v>34</v>
      </c>
      <c r="I715" t="s">
        <v>27</v>
      </c>
      <c r="J715" t="s">
        <v>28</v>
      </c>
      <c r="K715" t="s">
        <v>76</v>
      </c>
      <c r="L715" t="s">
        <v>44</v>
      </c>
      <c r="M715">
        <v>80</v>
      </c>
      <c r="N715">
        <v>4</v>
      </c>
      <c r="O715">
        <v>0</v>
      </c>
      <c r="P715">
        <v>3</v>
      </c>
      <c r="Q715" t="s">
        <v>31</v>
      </c>
      <c r="R715">
        <v>120</v>
      </c>
      <c r="S715">
        <v>24</v>
      </c>
      <c r="T715" t="s">
        <v>63</v>
      </c>
      <c r="U715" t="s">
        <v>63</v>
      </c>
      <c r="V715">
        <v>2026</v>
      </c>
      <c r="W715">
        <v>6</v>
      </c>
      <c r="X715" t="s">
        <v>1421</v>
      </c>
      <c r="Y715" s="6">
        <v>46174</v>
      </c>
      <c r="Z715" t="s">
        <v>1413</v>
      </c>
      <c r="AA715" t="s">
        <v>31</v>
      </c>
      <c r="AB715" t="s">
        <v>63</v>
      </c>
      <c r="AC715" t="s">
        <v>23</v>
      </c>
      <c r="AD715">
        <v>1</v>
      </c>
      <c r="AE715">
        <v>0</v>
      </c>
      <c r="AF715">
        <v>1</v>
      </c>
      <c r="AG715">
        <v>0</v>
      </c>
      <c r="AH715">
        <v>0</v>
      </c>
      <c r="AI715">
        <v>1</v>
      </c>
      <c r="AJ715">
        <v>1</v>
      </c>
    </row>
    <row r="716" spans="1:36">
      <c r="A716" t="s">
        <v>867</v>
      </c>
      <c r="B716">
        <v>39.369999999999997</v>
      </c>
      <c r="C716" s="7">
        <v>46150.017361111109</v>
      </c>
      <c r="D716" s="7">
        <v>46151.657667430554</v>
      </c>
      <c r="E716" t="s">
        <v>23</v>
      </c>
      <c r="F716" t="s">
        <v>33</v>
      </c>
      <c r="G716" t="s">
        <v>51</v>
      </c>
      <c r="H716" t="s">
        <v>34</v>
      </c>
      <c r="I716" t="s">
        <v>42</v>
      </c>
      <c r="J716" t="s">
        <v>48</v>
      </c>
      <c r="K716" t="s">
        <v>37</v>
      </c>
      <c r="L716" t="s">
        <v>30</v>
      </c>
      <c r="M716">
        <v>281</v>
      </c>
      <c r="N716">
        <v>3</v>
      </c>
      <c r="O716">
        <v>0</v>
      </c>
      <c r="P716">
        <v>6</v>
      </c>
      <c r="Q716" t="s">
        <v>31</v>
      </c>
      <c r="R716">
        <v>240</v>
      </c>
      <c r="S716">
        <v>48</v>
      </c>
      <c r="T716" t="s">
        <v>31</v>
      </c>
      <c r="U716" t="s">
        <v>63</v>
      </c>
      <c r="V716">
        <v>2026</v>
      </c>
      <c r="W716">
        <v>5</v>
      </c>
      <c r="X716" t="s">
        <v>1416</v>
      </c>
      <c r="Y716" s="6">
        <v>46143</v>
      </c>
      <c r="Z716" t="s">
        <v>1418</v>
      </c>
      <c r="AA716" t="s">
        <v>31</v>
      </c>
      <c r="AB716" t="s">
        <v>63</v>
      </c>
      <c r="AC716" t="s">
        <v>23</v>
      </c>
      <c r="AD716">
        <v>1</v>
      </c>
      <c r="AE716">
        <v>0</v>
      </c>
      <c r="AF716">
        <v>1</v>
      </c>
      <c r="AG716">
        <v>0</v>
      </c>
      <c r="AH716">
        <v>0</v>
      </c>
      <c r="AI716">
        <v>0</v>
      </c>
      <c r="AJ716">
        <v>1</v>
      </c>
    </row>
    <row r="717" spans="1:36">
      <c r="A717" t="s">
        <v>868</v>
      </c>
      <c r="B717">
        <v>17.37</v>
      </c>
      <c r="C717" s="7">
        <v>46237.893055555556</v>
      </c>
      <c r="D717" s="7">
        <v>46238.616902546295</v>
      </c>
      <c r="E717" t="s">
        <v>23</v>
      </c>
      <c r="F717" t="s">
        <v>40</v>
      </c>
      <c r="G717" t="s">
        <v>51</v>
      </c>
      <c r="H717" t="s">
        <v>54</v>
      </c>
      <c r="I717" t="s">
        <v>42</v>
      </c>
      <c r="J717" t="s">
        <v>43</v>
      </c>
      <c r="K717" t="s">
        <v>37</v>
      </c>
      <c r="L717" t="s">
        <v>93</v>
      </c>
      <c r="M717">
        <v>21</v>
      </c>
      <c r="N717">
        <v>4</v>
      </c>
      <c r="O717">
        <v>0</v>
      </c>
      <c r="P717">
        <v>7</v>
      </c>
      <c r="Q717" t="s">
        <v>31</v>
      </c>
      <c r="R717">
        <v>30</v>
      </c>
      <c r="S717">
        <v>8</v>
      </c>
      <c r="T717" t="s">
        <v>63</v>
      </c>
      <c r="U717" t="s">
        <v>31</v>
      </c>
      <c r="V717">
        <v>2026</v>
      </c>
      <c r="W717">
        <v>8</v>
      </c>
      <c r="X717" t="s">
        <v>1417</v>
      </c>
      <c r="Y717" s="6">
        <v>46235</v>
      </c>
      <c r="Z717" t="s">
        <v>1413</v>
      </c>
      <c r="AA717" t="s">
        <v>31</v>
      </c>
      <c r="AB717" t="s">
        <v>63</v>
      </c>
      <c r="AC717" t="s">
        <v>23</v>
      </c>
      <c r="AD717">
        <v>1</v>
      </c>
      <c r="AE717">
        <v>0</v>
      </c>
      <c r="AF717">
        <v>1</v>
      </c>
      <c r="AG717">
        <v>0</v>
      </c>
      <c r="AH717">
        <v>0</v>
      </c>
      <c r="AI717">
        <v>1</v>
      </c>
      <c r="AJ717">
        <v>0</v>
      </c>
    </row>
    <row r="718" spans="1:36">
      <c r="A718" t="s">
        <v>869</v>
      </c>
      <c r="B718">
        <v>15.64</v>
      </c>
      <c r="C718" s="7">
        <v>46033.195833333331</v>
      </c>
      <c r="D718" s="7">
        <v>46033.847332557867</v>
      </c>
      <c r="E718" t="s">
        <v>23</v>
      </c>
      <c r="F718" t="s">
        <v>50</v>
      </c>
      <c r="G718" t="s">
        <v>25</v>
      </c>
      <c r="H718" t="s">
        <v>75</v>
      </c>
      <c r="I718" t="s">
        <v>42</v>
      </c>
      <c r="J718" t="s">
        <v>28</v>
      </c>
      <c r="K718" t="s">
        <v>76</v>
      </c>
      <c r="L718" t="s">
        <v>101</v>
      </c>
      <c r="M718">
        <v>102</v>
      </c>
      <c r="N718">
        <v>4</v>
      </c>
      <c r="O718">
        <v>0</v>
      </c>
      <c r="P718">
        <v>7</v>
      </c>
      <c r="Q718" t="s">
        <v>31</v>
      </c>
      <c r="R718">
        <v>120</v>
      </c>
      <c r="S718">
        <v>24</v>
      </c>
      <c r="T718" t="s">
        <v>63</v>
      </c>
      <c r="U718" t="s">
        <v>63</v>
      </c>
      <c r="V718">
        <v>2026</v>
      </c>
      <c r="W718">
        <v>1</v>
      </c>
      <c r="X718" t="s">
        <v>1414</v>
      </c>
      <c r="Y718" s="6">
        <v>46023</v>
      </c>
      <c r="Z718" t="s">
        <v>1413</v>
      </c>
      <c r="AA718" t="s">
        <v>31</v>
      </c>
      <c r="AB718" t="s">
        <v>63</v>
      </c>
      <c r="AC718" t="s">
        <v>23</v>
      </c>
      <c r="AD718">
        <v>1</v>
      </c>
      <c r="AE718">
        <v>0</v>
      </c>
      <c r="AF718">
        <v>1</v>
      </c>
      <c r="AG718">
        <v>0</v>
      </c>
      <c r="AH718">
        <v>0</v>
      </c>
      <c r="AI718">
        <v>1</v>
      </c>
      <c r="AJ718">
        <v>1</v>
      </c>
    </row>
    <row r="719" spans="1:36">
      <c r="A719" t="s">
        <v>870</v>
      </c>
      <c r="B719">
        <v>35.340000000000003</v>
      </c>
      <c r="C719" s="7">
        <v>46044.984027777777</v>
      </c>
      <c r="D719" s="7">
        <v>46046.456521157408</v>
      </c>
      <c r="E719" t="s">
        <v>23</v>
      </c>
      <c r="F719" t="s">
        <v>50</v>
      </c>
      <c r="G719" t="s">
        <v>51</v>
      </c>
      <c r="H719" t="s">
        <v>66</v>
      </c>
      <c r="I719" t="s">
        <v>42</v>
      </c>
      <c r="J719" t="s">
        <v>28</v>
      </c>
      <c r="K719" t="s">
        <v>37</v>
      </c>
      <c r="L719" t="s">
        <v>68</v>
      </c>
      <c r="M719">
        <v>191</v>
      </c>
      <c r="N719">
        <v>3</v>
      </c>
      <c r="O719">
        <v>1</v>
      </c>
      <c r="P719">
        <v>8</v>
      </c>
      <c r="Q719" t="s">
        <v>31</v>
      </c>
      <c r="R719">
        <v>120</v>
      </c>
      <c r="S719">
        <v>24</v>
      </c>
      <c r="T719" t="s">
        <v>31</v>
      </c>
      <c r="U719" t="s">
        <v>31</v>
      </c>
      <c r="V719">
        <v>2026</v>
      </c>
      <c r="W719">
        <v>1</v>
      </c>
      <c r="X719" t="s">
        <v>1414</v>
      </c>
      <c r="Y719" s="6">
        <v>46023</v>
      </c>
      <c r="Z719" t="s">
        <v>1418</v>
      </c>
      <c r="AA719" t="s">
        <v>63</v>
      </c>
      <c r="AB719" t="s">
        <v>63</v>
      </c>
      <c r="AC719" t="s">
        <v>23</v>
      </c>
      <c r="AD719">
        <v>1</v>
      </c>
      <c r="AE719">
        <v>0</v>
      </c>
      <c r="AF719">
        <v>1</v>
      </c>
      <c r="AG719">
        <v>1</v>
      </c>
      <c r="AH719">
        <v>0</v>
      </c>
      <c r="AI719">
        <v>0</v>
      </c>
      <c r="AJ719">
        <v>0</v>
      </c>
    </row>
    <row r="720" spans="1:36">
      <c r="A720" t="s">
        <v>871</v>
      </c>
      <c r="B720">
        <v>32.33</v>
      </c>
      <c r="C720" s="7">
        <v>46060.713888888888</v>
      </c>
      <c r="D720" s="7">
        <v>46062.060808854163</v>
      </c>
      <c r="E720" t="s">
        <v>23</v>
      </c>
      <c r="F720" t="s">
        <v>50</v>
      </c>
      <c r="G720" t="s">
        <v>51</v>
      </c>
      <c r="H720" t="s">
        <v>54</v>
      </c>
      <c r="I720" t="s">
        <v>35</v>
      </c>
      <c r="J720" t="s">
        <v>43</v>
      </c>
      <c r="K720" t="s">
        <v>67</v>
      </c>
      <c r="L720" t="s">
        <v>85</v>
      </c>
      <c r="M720">
        <v>202</v>
      </c>
      <c r="N720">
        <v>4</v>
      </c>
      <c r="O720">
        <v>0</v>
      </c>
      <c r="P720">
        <v>7</v>
      </c>
      <c r="Q720" t="s">
        <v>31</v>
      </c>
      <c r="R720">
        <v>120</v>
      </c>
      <c r="S720">
        <v>24</v>
      </c>
      <c r="T720" t="s">
        <v>31</v>
      </c>
      <c r="U720" t="s">
        <v>31</v>
      </c>
      <c r="V720">
        <v>2026</v>
      </c>
      <c r="W720">
        <v>2</v>
      </c>
      <c r="X720" t="s">
        <v>1419</v>
      </c>
      <c r="Y720" s="6">
        <v>46054</v>
      </c>
      <c r="Z720" t="s">
        <v>1413</v>
      </c>
      <c r="AA720" t="s">
        <v>31</v>
      </c>
      <c r="AB720" t="s">
        <v>63</v>
      </c>
      <c r="AC720" t="s">
        <v>23</v>
      </c>
      <c r="AD720">
        <v>1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</row>
    <row r="721" spans="1:36">
      <c r="A721" t="s">
        <v>872</v>
      </c>
      <c r="B721">
        <v>35.94</v>
      </c>
      <c r="C721" s="7">
        <v>46052.669444444444</v>
      </c>
      <c r="D721" s="7">
        <v>46054.166759988424</v>
      </c>
      <c r="E721" t="s">
        <v>23</v>
      </c>
      <c r="F721" t="s">
        <v>50</v>
      </c>
      <c r="G721" t="s">
        <v>25</v>
      </c>
      <c r="H721" t="s">
        <v>34</v>
      </c>
      <c r="I721" t="s">
        <v>35</v>
      </c>
      <c r="J721" t="s">
        <v>36</v>
      </c>
      <c r="K721" t="s">
        <v>58</v>
      </c>
      <c r="L721" t="s">
        <v>38</v>
      </c>
      <c r="M721">
        <v>154</v>
      </c>
      <c r="N721">
        <v>3</v>
      </c>
      <c r="O721">
        <v>1</v>
      </c>
      <c r="P721">
        <v>7</v>
      </c>
      <c r="Q721" t="s">
        <v>31</v>
      </c>
      <c r="R721">
        <v>120</v>
      </c>
      <c r="S721">
        <v>24</v>
      </c>
      <c r="T721" t="s">
        <v>31</v>
      </c>
      <c r="U721" t="s">
        <v>31</v>
      </c>
      <c r="V721">
        <v>2026</v>
      </c>
      <c r="W721">
        <v>1</v>
      </c>
      <c r="X721" t="s">
        <v>1414</v>
      </c>
      <c r="Y721" s="6">
        <v>46023</v>
      </c>
      <c r="Z721" t="s">
        <v>1418</v>
      </c>
      <c r="AA721" t="s">
        <v>63</v>
      </c>
      <c r="AB721" t="s">
        <v>63</v>
      </c>
      <c r="AC721" t="s">
        <v>23</v>
      </c>
      <c r="AD721">
        <v>1</v>
      </c>
      <c r="AE721">
        <v>0</v>
      </c>
      <c r="AF721">
        <v>1</v>
      </c>
      <c r="AG721">
        <v>1</v>
      </c>
      <c r="AH721">
        <v>0</v>
      </c>
      <c r="AI721">
        <v>0</v>
      </c>
      <c r="AJ721">
        <v>0</v>
      </c>
    </row>
    <row r="722" spans="1:36">
      <c r="A722" t="s">
        <v>873</v>
      </c>
      <c r="B722">
        <v>19.07</v>
      </c>
      <c r="C722" s="7">
        <v>46074.750694444447</v>
      </c>
      <c r="D722" s="7">
        <v>46075.545387824073</v>
      </c>
      <c r="E722" t="s">
        <v>23</v>
      </c>
      <c r="F722" t="s">
        <v>40</v>
      </c>
      <c r="G722" t="s">
        <v>51</v>
      </c>
      <c r="H722" t="s">
        <v>54</v>
      </c>
      <c r="I722" t="s">
        <v>42</v>
      </c>
      <c r="J722" t="s">
        <v>36</v>
      </c>
      <c r="K722" t="s">
        <v>37</v>
      </c>
      <c r="L722" t="s">
        <v>38</v>
      </c>
      <c r="M722">
        <v>30</v>
      </c>
      <c r="N722">
        <v>4</v>
      </c>
      <c r="O722">
        <v>1</v>
      </c>
      <c r="P722">
        <v>4</v>
      </c>
      <c r="Q722" t="s">
        <v>31</v>
      </c>
      <c r="R722">
        <v>30</v>
      </c>
      <c r="S722">
        <v>8</v>
      </c>
      <c r="T722" t="s">
        <v>63</v>
      </c>
      <c r="U722" t="s">
        <v>31</v>
      </c>
      <c r="V722">
        <v>2026</v>
      </c>
      <c r="W722">
        <v>2</v>
      </c>
      <c r="X722" t="s">
        <v>1419</v>
      </c>
      <c r="Y722" s="6">
        <v>46054</v>
      </c>
      <c r="Z722" t="s">
        <v>1413</v>
      </c>
      <c r="AA722" t="s">
        <v>63</v>
      </c>
      <c r="AB722" t="s">
        <v>63</v>
      </c>
      <c r="AC722" t="s">
        <v>23</v>
      </c>
      <c r="AD722">
        <v>1</v>
      </c>
      <c r="AE722">
        <v>0</v>
      </c>
      <c r="AF722">
        <v>1</v>
      </c>
      <c r="AG722">
        <v>1</v>
      </c>
      <c r="AH722">
        <v>0</v>
      </c>
      <c r="AI722">
        <v>1</v>
      </c>
      <c r="AJ722">
        <v>0</v>
      </c>
    </row>
    <row r="723" spans="1:36">
      <c r="A723" t="s">
        <v>874</v>
      </c>
      <c r="B723">
        <v>25.25</v>
      </c>
      <c r="C723" s="7">
        <v>46037.302777777775</v>
      </c>
      <c r="D723" s="7">
        <v>46038.355064212963</v>
      </c>
      <c r="E723" t="s">
        <v>23</v>
      </c>
      <c r="F723" t="s">
        <v>50</v>
      </c>
      <c r="G723" t="s">
        <v>25</v>
      </c>
      <c r="H723" t="s">
        <v>34</v>
      </c>
      <c r="I723" t="s">
        <v>35</v>
      </c>
      <c r="J723" t="s">
        <v>48</v>
      </c>
      <c r="K723" t="s">
        <v>58</v>
      </c>
      <c r="L723" t="s">
        <v>44</v>
      </c>
      <c r="M723">
        <v>105</v>
      </c>
      <c r="N723">
        <v>4</v>
      </c>
      <c r="O723">
        <v>0</v>
      </c>
      <c r="P723">
        <v>4</v>
      </c>
      <c r="Q723" t="s">
        <v>31</v>
      </c>
      <c r="R723">
        <v>120</v>
      </c>
      <c r="S723">
        <v>24</v>
      </c>
      <c r="T723" t="s">
        <v>63</v>
      </c>
      <c r="U723" t="s">
        <v>31</v>
      </c>
      <c r="V723">
        <v>2026</v>
      </c>
      <c r="W723">
        <v>1</v>
      </c>
      <c r="X723" t="s">
        <v>1414</v>
      </c>
      <c r="Y723" s="6">
        <v>46023</v>
      </c>
      <c r="Z723" t="s">
        <v>1413</v>
      </c>
      <c r="AA723" t="s">
        <v>31</v>
      </c>
      <c r="AB723" t="s">
        <v>63</v>
      </c>
      <c r="AC723" t="s">
        <v>23</v>
      </c>
      <c r="AD723">
        <v>1</v>
      </c>
      <c r="AE723">
        <v>0</v>
      </c>
      <c r="AF723">
        <v>1</v>
      </c>
      <c r="AG723">
        <v>0</v>
      </c>
      <c r="AH723">
        <v>0</v>
      </c>
      <c r="AI723">
        <v>1</v>
      </c>
      <c r="AJ723">
        <v>0</v>
      </c>
    </row>
    <row r="724" spans="1:36">
      <c r="A724" t="s">
        <v>875</v>
      </c>
      <c r="B724">
        <v>37.93</v>
      </c>
      <c r="C724" s="7">
        <v>46100.502083333333</v>
      </c>
      <c r="D724" s="7">
        <v>46102.082496631941</v>
      </c>
      <c r="E724" t="s">
        <v>23</v>
      </c>
      <c r="F724" t="s">
        <v>50</v>
      </c>
      <c r="G724" t="s">
        <v>51</v>
      </c>
      <c r="H724" t="s">
        <v>75</v>
      </c>
      <c r="I724" t="s">
        <v>35</v>
      </c>
      <c r="J724" t="s">
        <v>36</v>
      </c>
      <c r="K724" t="s">
        <v>37</v>
      </c>
      <c r="L724" t="s">
        <v>101</v>
      </c>
      <c r="M724">
        <v>234</v>
      </c>
      <c r="N724">
        <v>4</v>
      </c>
      <c r="O724">
        <v>0</v>
      </c>
      <c r="P724">
        <v>4</v>
      </c>
      <c r="Q724" t="s">
        <v>31</v>
      </c>
      <c r="R724">
        <v>120</v>
      </c>
      <c r="S724">
        <v>24</v>
      </c>
      <c r="T724" t="s">
        <v>31</v>
      </c>
      <c r="U724" t="s">
        <v>31</v>
      </c>
      <c r="V724">
        <v>2026</v>
      </c>
      <c r="W724">
        <v>3</v>
      </c>
      <c r="X724" t="s">
        <v>1423</v>
      </c>
      <c r="Y724" s="6">
        <v>46082</v>
      </c>
      <c r="Z724" t="s">
        <v>1413</v>
      </c>
      <c r="AA724" t="s">
        <v>31</v>
      </c>
      <c r="AB724" t="s">
        <v>63</v>
      </c>
      <c r="AC724" t="s">
        <v>23</v>
      </c>
      <c r="AD724">
        <v>1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</row>
    <row r="725" spans="1:36">
      <c r="A725" t="s">
        <v>876</v>
      </c>
      <c r="B725">
        <v>8.73</v>
      </c>
      <c r="C725" s="7">
        <v>46243.054166666669</v>
      </c>
      <c r="D725" s="7">
        <v>46243.417848599536</v>
      </c>
      <c r="E725" t="s">
        <v>23</v>
      </c>
      <c r="F725" t="s">
        <v>50</v>
      </c>
      <c r="G725" t="s">
        <v>25</v>
      </c>
      <c r="H725" t="s">
        <v>34</v>
      </c>
      <c r="I725" t="s">
        <v>35</v>
      </c>
      <c r="J725" t="s">
        <v>43</v>
      </c>
      <c r="K725" t="s">
        <v>29</v>
      </c>
      <c r="L725" t="s">
        <v>44</v>
      </c>
      <c r="M725">
        <v>46</v>
      </c>
      <c r="N725">
        <v>4</v>
      </c>
      <c r="O725">
        <v>0</v>
      </c>
      <c r="P725">
        <v>2</v>
      </c>
      <c r="Q725" t="s">
        <v>31</v>
      </c>
      <c r="R725">
        <v>120</v>
      </c>
      <c r="S725">
        <v>24</v>
      </c>
      <c r="T725" t="s">
        <v>63</v>
      </c>
      <c r="U725" t="s">
        <v>63</v>
      </c>
      <c r="V725">
        <v>2026</v>
      </c>
      <c r="W725">
        <v>8</v>
      </c>
      <c r="X725" t="s">
        <v>1417</v>
      </c>
      <c r="Y725" s="6">
        <v>46235</v>
      </c>
      <c r="Z725" t="s">
        <v>1413</v>
      </c>
      <c r="AA725" t="s">
        <v>31</v>
      </c>
      <c r="AB725" t="s">
        <v>63</v>
      </c>
      <c r="AC725" t="s">
        <v>23</v>
      </c>
      <c r="AD725">
        <v>1</v>
      </c>
      <c r="AE725">
        <v>0</v>
      </c>
      <c r="AF725">
        <v>1</v>
      </c>
      <c r="AG725">
        <v>0</v>
      </c>
      <c r="AH725">
        <v>0</v>
      </c>
      <c r="AI725">
        <v>1</v>
      </c>
      <c r="AJ725">
        <v>1</v>
      </c>
    </row>
    <row r="726" spans="1:36">
      <c r="A726" t="s">
        <v>877</v>
      </c>
      <c r="B726">
        <v>5.04</v>
      </c>
      <c r="C726" s="7">
        <v>46242.888194444444</v>
      </c>
      <c r="D726" s="7">
        <v>46243.098096666668</v>
      </c>
      <c r="E726" t="s">
        <v>23</v>
      </c>
      <c r="F726" t="s">
        <v>40</v>
      </c>
      <c r="G726" t="s">
        <v>51</v>
      </c>
      <c r="H726" t="s">
        <v>66</v>
      </c>
      <c r="I726" t="s">
        <v>35</v>
      </c>
      <c r="J726" t="s">
        <v>48</v>
      </c>
      <c r="K726" t="s">
        <v>52</v>
      </c>
      <c r="L726" t="s">
        <v>101</v>
      </c>
      <c r="M726">
        <v>22</v>
      </c>
      <c r="N726">
        <v>4</v>
      </c>
      <c r="O726">
        <v>1</v>
      </c>
      <c r="P726">
        <v>8</v>
      </c>
      <c r="Q726" t="s">
        <v>31</v>
      </c>
      <c r="R726">
        <v>30</v>
      </c>
      <c r="S726">
        <v>8</v>
      </c>
      <c r="T726" t="s">
        <v>63</v>
      </c>
      <c r="U726" t="s">
        <v>63</v>
      </c>
      <c r="V726">
        <v>2026</v>
      </c>
      <c r="W726">
        <v>8</v>
      </c>
      <c r="X726" t="s">
        <v>1417</v>
      </c>
      <c r="Y726" s="6">
        <v>46235</v>
      </c>
      <c r="Z726" t="s">
        <v>1413</v>
      </c>
      <c r="AA726" t="s">
        <v>63</v>
      </c>
      <c r="AB726" t="s">
        <v>63</v>
      </c>
      <c r="AC726" t="s">
        <v>23</v>
      </c>
      <c r="AD726">
        <v>1</v>
      </c>
      <c r="AE726">
        <v>0</v>
      </c>
      <c r="AF726">
        <v>1</v>
      </c>
      <c r="AG726">
        <v>1</v>
      </c>
      <c r="AH726">
        <v>0</v>
      </c>
      <c r="AI726">
        <v>1</v>
      </c>
      <c r="AJ726">
        <v>1</v>
      </c>
    </row>
    <row r="727" spans="1:36">
      <c r="A727" t="s">
        <v>878</v>
      </c>
      <c r="B727">
        <v>15.44</v>
      </c>
      <c r="C727" s="7">
        <v>46170.211805555555</v>
      </c>
      <c r="D727" s="7">
        <v>46170.855326805555</v>
      </c>
      <c r="E727" t="s">
        <v>23</v>
      </c>
      <c r="F727" t="s">
        <v>50</v>
      </c>
      <c r="G727" t="s">
        <v>25</v>
      </c>
      <c r="H727" t="s">
        <v>54</v>
      </c>
      <c r="I727" t="s">
        <v>42</v>
      </c>
      <c r="J727" t="s">
        <v>43</v>
      </c>
      <c r="K727" t="s">
        <v>37</v>
      </c>
      <c r="L727" t="s">
        <v>62</v>
      </c>
      <c r="M727">
        <v>86</v>
      </c>
      <c r="N727">
        <v>5</v>
      </c>
      <c r="O727">
        <v>0</v>
      </c>
      <c r="P727">
        <v>3</v>
      </c>
      <c r="Q727" t="s">
        <v>31</v>
      </c>
      <c r="R727">
        <v>120</v>
      </c>
      <c r="S727">
        <v>24</v>
      </c>
      <c r="T727" t="s">
        <v>63</v>
      </c>
      <c r="U727" t="s">
        <v>63</v>
      </c>
      <c r="V727">
        <v>2026</v>
      </c>
      <c r="W727">
        <v>5</v>
      </c>
      <c r="X727" t="s">
        <v>1416</v>
      </c>
      <c r="Y727" s="6">
        <v>46143</v>
      </c>
      <c r="Z727" t="s">
        <v>1413</v>
      </c>
      <c r="AA727" t="s">
        <v>31</v>
      </c>
      <c r="AB727" t="s">
        <v>63</v>
      </c>
      <c r="AC727" t="s">
        <v>23</v>
      </c>
      <c r="AD727">
        <v>1</v>
      </c>
      <c r="AE727">
        <v>0</v>
      </c>
      <c r="AF727">
        <v>1</v>
      </c>
      <c r="AG727">
        <v>0</v>
      </c>
      <c r="AH727">
        <v>0</v>
      </c>
      <c r="AI727">
        <v>1</v>
      </c>
      <c r="AJ727">
        <v>1</v>
      </c>
    </row>
    <row r="728" spans="1:36">
      <c r="A728" t="s">
        <v>879</v>
      </c>
      <c r="B728">
        <v>20</v>
      </c>
      <c r="C728" s="7">
        <v>46061.92083333333</v>
      </c>
      <c r="D728" s="7">
        <v>46062.754264918978</v>
      </c>
      <c r="E728" t="s">
        <v>23</v>
      </c>
      <c r="F728" t="s">
        <v>50</v>
      </c>
      <c r="G728" t="s">
        <v>51</v>
      </c>
      <c r="H728" t="s">
        <v>66</v>
      </c>
      <c r="I728" t="s">
        <v>35</v>
      </c>
      <c r="J728" t="s">
        <v>48</v>
      </c>
      <c r="K728" t="s">
        <v>67</v>
      </c>
      <c r="L728" t="s">
        <v>93</v>
      </c>
      <c r="M728">
        <v>97</v>
      </c>
      <c r="N728">
        <v>4</v>
      </c>
      <c r="O728">
        <v>0</v>
      </c>
      <c r="P728">
        <v>3</v>
      </c>
      <c r="Q728" t="s">
        <v>31</v>
      </c>
      <c r="R728">
        <v>120</v>
      </c>
      <c r="S728">
        <v>24</v>
      </c>
      <c r="T728" t="s">
        <v>63</v>
      </c>
      <c r="U728" t="s">
        <v>63</v>
      </c>
      <c r="V728">
        <v>2026</v>
      </c>
      <c r="W728">
        <v>2</v>
      </c>
      <c r="X728" t="s">
        <v>1419</v>
      </c>
      <c r="Y728" s="6">
        <v>46054</v>
      </c>
      <c r="Z728" t="s">
        <v>1413</v>
      </c>
      <c r="AA728" t="s">
        <v>31</v>
      </c>
      <c r="AB728" t="s">
        <v>63</v>
      </c>
      <c r="AC728" t="s">
        <v>23</v>
      </c>
      <c r="AD728">
        <v>1</v>
      </c>
      <c r="AE728">
        <v>0</v>
      </c>
      <c r="AF728">
        <v>1</v>
      </c>
      <c r="AG728">
        <v>0</v>
      </c>
      <c r="AH728">
        <v>0</v>
      </c>
      <c r="AI728">
        <v>1</v>
      </c>
      <c r="AJ728">
        <v>1</v>
      </c>
    </row>
    <row r="729" spans="1:36">
      <c r="A729" t="s">
        <v>880</v>
      </c>
      <c r="B729">
        <v>23.92</v>
      </c>
      <c r="C729" s="7">
        <v>46052.624305555553</v>
      </c>
      <c r="D729" s="7">
        <v>46053.620914513886</v>
      </c>
      <c r="E729" t="s">
        <v>23</v>
      </c>
      <c r="F729" t="s">
        <v>33</v>
      </c>
      <c r="G729" t="s">
        <v>41</v>
      </c>
      <c r="H729" t="s">
        <v>66</v>
      </c>
      <c r="I729" t="s">
        <v>27</v>
      </c>
      <c r="J729" t="s">
        <v>28</v>
      </c>
      <c r="K729" t="s">
        <v>37</v>
      </c>
      <c r="L729" t="s">
        <v>71</v>
      </c>
      <c r="M729">
        <v>222</v>
      </c>
      <c r="N729">
        <v>4</v>
      </c>
      <c r="O729">
        <v>0</v>
      </c>
      <c r="P729">
        <v>6</v>
      </c>
      <c r="Q729" t="s">
        <v>31</v>
      </c>
      <c r="R729">
        <v>240</v>
      </c>
      <c r="S729">
        <v>48</v>
      </c>
      <c r="T729" t="s">
        <v>63</v>
      </c>
      <c r="U729" t="s">
        <v>63</v>
      </c>
      <c r="V729">
        <v>2026</v>
      </c>
      <c r="W729">
        <v>1</v>
      </c>
      <c r="X729" t="s">
        <v>1414</v>
      </c>
      <c r="Y729" s="6">
        <v>46023</v>
      </c>
      <c r="Z729" t="s">
        <v>1413</v>
      </c>
      <c r="AA729" t="s">
        <v>31</v>
      </c>
      <c r="AB729" t="s">
        <v>63</v>
      </c>
      <c r="AC729" t="s">
        <v>23</v>
      </c>
      <c r="AD729">
        <v>1</v>
      </c>
      <c r="AE729">
        <v>0</v>
      </c>
      <c r="AF729">
        <v>1</v>
      </c>
      <c r="AG729">
        <v>0</v>
      </c>
      <c r="AH729">
        <v>0</v>
      </c>
      <c r="AI729">
        <v>1</v>
      </c>
      <c r="AJ729">
        <v>1</v>
      </c>
    </row>
    <row r="730" spans="1:36">
      <c r="A730" t="s">
        <v>881</v>
      </c>
      <c r="B730">
        <v>7.6</v>
      </c>
      <c r="C730" s="7">
        <v>46153.116666666669</v>
      </c>
      <c r="D730" s="7">
        <v>46153.433511597221</v>
      </c>
      <c r="E730" t="s">
        <v>23</v>
      </c>
      <c r="F730" t="s">
        <v>40</v>
      </c>
      <c r="G730" t="s">
        <v>51</v>
      </c>
      <c r="H730" t="s">
        <v>54</v>
      </c>
      <c r="I730" t="s">
        <v>42</v>
      </c>
      <c r="J730" t="s">
        <v>43</v>
      </c>
      <c r="K730" t="s">
        <v>67</v>
      </c>
      <c r="L730" t="s">
        <v>38</v>
      </c>
      <c r="M730">
        <v>7</v>
      </c>
      <c r="N730">
        <v>4</v>
      </c>
      <c r="O730">
        <v>1</v>
      </c>
      <c r="P730">
        <v>8</v>
      </c>
      <c r="Q730" t="s">
        <v>31</v>
      </c>
      <c r="R730">
        <v>30</v>
      </c>
      <c r="S730">
        <v>8</v>
      </c>
      <c r="T730" t="s">
        <v>63</v>
      </c>
      <c r="U730" t="s">
        <v>63</v>
      </c>
      <c r="V730">
        <v>2026</v>
      </c>
      <c r="W730">
        <v>5</v>
      </c>
      <c r="X730" t="s">
        <v>1416</v>
      </c>
      <c r="Y730" s="6">
        <v>46143</v>
      </c>
      <c r="Z730" t="s">
        <v>1413</v>
      </c>
      <c r="AA730" t="s">
        <v>63</v>
      </c>
      <c r="AB730" t="s">
        <v>63</v>
      </c>
      <c r="AC730" t="s">
        <v>23</v>
      </c>
      <c r="AD730">
        <v>1</v>
      </c>
      <c r="AE730">
        <v>0</v>
      </c>
      <c r="AF730">
        <v>1</v>
      </c>
      <c r="AG730">
        <v>1</v>
      </c>
      <c r="AH730">
        <v>0</v>
      </c>
      <c r="AI730">
        <v>1</v>
      </c>
      <c r="AJ730">
        <v>1</v>
      </c>
    </row>
    <row r="731" spans="1:36">
      <c r="A731" t="s">
        <v>882</v>
      </c>
      <c r="B731">
        <v>33.67</v>
      </c>
      <c r="C731" s="7">
        <v>46165.940972222219</v>
      </c>
      <c r="D731" s="7">
        <v>46167.343738321761</v>
      </c>
      <c r="E731" t="s">
        <v>23</v>
      </c>
      <c r="F731" t="s">
        <v>50</v>
      </c>
      <c r="G731" t="s">
        <v>25</v>
      </c>
      <c r="H731" t="s">
        <v>75</v>
      </c>
      <c r="I731" t="s">
        <v>42</v>
      </c>
      <c r="J731" t="s">
        <v>43</v>
      </c>
      <c r="K731" t="s">
        <v>37</v>
      </c>
      <c r="L731" t="s">
        <v>44</v>
      </c>
      <c r="M731">
        <v>75</v>
      </c>
      <c r="N731">
        <v>4</v>
      </c>
      <c r="O731">
        <v>0</v>
      </c>
      <c r="P731">
        <v>5</v>
      </c>
      <c r="Q731" t="s">
        <v>31</v>
      </c>
      <c r="R731">
        <v>120</v>
      </c>
      <c r="S731">
        <v>24</v>
      </c>
      <c r="T731" t="s">
        <v>63</v>
      </c>
      <c r="U731" t="s">
        <v>31</v>
      </c>
      <c r="V731">
        <v>2026</v>
      </c>
      <c r="W731">
        <v>5</v>
      </c>
      <c r="X731" t="s">
        <v>1416</v>
      </c>
      <c r="Y731" s="6">
        <v>46143</v>
      </c>
      <c r="Z731" t="s">
        <v>1413</v>
      </c>
      <c r="AA731" t="s">
        <v>31</v>
      </c>
      <c r="AB731" t="s">
        <v>63</v>
      </c>
      <c r="AC731" t="s">
        <v>23</v>
      </c>
      <c r="AD731">
        <v>1</v>
      </c>
      <c r="AE731">
        <v>0</v>
      </c>
      <c r="AF731">
        <v>1</v>
      </c>
      <c r="AG731">
        <v>0</v>
      </c>
      <c r="AH731">
        <v>0</v>
      </c>
      <c r="AI731">
        <v>1</v>
      </c>
      <c r="AJ731">
        <v>0</v>
      </c>
    </row>
    <row r="732" spans="1:36">
      <c r="A732" t="s">
        <v>883</v>
      </c>
      <c r="B732">
        <v>47.94</v>
      </c>
      <c r="C732" s="7">
        <v>46244.957638888889</v>
      </c>
      <c r="D732" s="7">
        <v>46246.954945358797</v>
      </c>
      <c r="E732" t="s">
        <v>23</v>
      </c>
      <c r="F732" t="s">
        <v>33</v>
      </c>
      <c r="G732" t="s">
        <v>51</v>
      </c>
      <c r="H732" t="s">
        <v>34</v>
      </c>
      <c r="I732" t="s">
        <v>42</v>
      </c>
      <c r="J732" t="s">
        <v>28</v>
      </c>
      <c r="K732" t="s">
        <v>37</v>
      </c>
      <c r="L732" t="s">
        <v>101</v>
      </c>
      <c r="M732">
        <v>257</v>
      </c>
      <c r="N732">
        <v>3</v>
      </c>
      <c r="O732">
        <v>0</v>
      </c>
      <c r="P732">
        <v>6</v>
      </c>
      <c r="Q732" t="s">
        <v>31</v>
      </c>
      <c r="R732">
        <v>240</v>
      </c>
      <c r="S732">
        <v>48</v>
      </c>
      <c r="T732" t="s">
        <v>31</v>
      </c>
      <c r="U732" t="s">
        <v>63</v>
      </c>
      <c r="V732">
        <v>2026</v>
      </c>
      <c r="W732">
        <v>8</v>
      </c>
      <c r="X732" t="s">
        <v>1417</v>
      </c>
      <c r="Y732" s="6">
        <v>46235</v>
      </c>
      <c r="Z732" t="s">
        <v>1418</v>
      </c>
      <c r="AA732" t="s">
        <v>31</v>
      </c>
      <c r="AB732" t="s">
        <v>63</v>
      </c>
      <c r="AC732" t="s">
        <v>23</v>
      </c>
      <c r="AD732">
        <v>1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1</v>
      </c>
    </row>
    <row r="733" spans="1:36">
      <c r="A733" t="s">
        <v>884</v>
      </c>
      <c r="B733">
        <v>11.8</v>
      </c>
      <c r="C733" s="7">
        <v>46215.057638888888</v>
      </c>
      <c r="D733" s="7">
        <v>46215.54920966435</v>
      </c>
      <c r="E733" t="s">
        <v>23</v>
      </c>
      <c r="F733" t="s">
        <v>40</v>
      </c>
      <c r="G733" t="s">
        <v>65</v>
      </c>
      <c r="H733" t="s">
        <v>34</v>
      </c>
      <c r="I733" t="s">
        <v>42</v>
      </c>
      <c r="J733" t="s">
        <v>43</v>
      </c>
      <c r="K733" t="s">
        <v>67</v>
      </c>
      <c r="L733" t="s">
        <v>68</v>
      </c>
      <c r="M733">
        <v>52</v>
      </c>
      <c r="N733">
        <v>5</v>
      </c>
      <c r="O733">
        <v>0</v>
      </c>
      <c r="P733">
        <v>4</v>
      </c>
      <c r="Q733" t="s">
        <v>31</v>
      </c>
      <c r="R733">
        <v>30</v>
      </c>
      <c r="S733">
        <v>8</v>
      </c>
      <c r="T733" t="s">
        <v>31</v>
      </c>
      <c r="U733" t="s">
        <v>31</v>
      </c>
      <c r="V733">
        <v>2026</v>
      </c>
      <c r="W733">
        <v>7</v>
      </c>
      <c r="X733" t="s">
        <v>1422</v>
      </c>
      <c r="Y733" s="6">
        <v>46204</v>
      </c>
      <c r="Z733" t="s">
        <v>1413</v>
      </c>
      <c r="AA733" t="s">
        <v>31</v>
      </c>
      <c r="AB733" t="s">
        <v>63</v>
      </c>
      <c r="AC733" t="s">
        <v>23</v>
      </c>
      <c r="AD733">
        <v>1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</row>
    <row r="734" spans="1:36">
      <c r="A734" t="s">
        <v>886</v>
      </c>
      <c r="B734">
        <v>98.86</v>
      </c>
      <c r="C734" s="7">
        <v>46193.375694444447</v>
      </c>
      <c r="D734" s="7">
        <v>46197.494863310189</v>
      </c>
      <c r="E734" t="s">
        <v>23</v>
      </c>
      <c r="F734" t="s">
        <v>33</v>
      </c>
      <c r="G734" t="s">
        <v>51</v>
      </c>
      <c r="H734" t="s">
        <v>26</v>
      </c>
      <c r="I734" t="s">
        <v>42</v>
      </c>
      <c r="J734" t="s">
        <v>48</v>
      </c>
      <c r="K734" t="s">
        <v>37</v>
      </c>
      <c r="L734" t="s">
        <v>93</v>
      </c>
      <c r="M734">
        <v>530</v>
      </c>
      <c r="N734">
        <v>2</v>
      </c>
      <c r="O734">
        <v>0</v>
      </c>
      <c r="P734">
        <v>11</v>
      </c>
      <c r="Q734" t="s">
        <v>63</v>
      </c>
      <c r="R734">
        <v>240</v>
      </c>
      <c r="S734">
        <v>48</v>
      </c>
      <c r="T734" t="s">
        <v>31</v>
      </c>
      <c r="U734" t="s">
        <v>31</v>
      </c>
      <c r="V734">
        <v>2026</v>
      </c>
      <c r="W734">
        <v>6</v>
      </c>
      <c r="X734" t="s">
        <v>1421</v>
      </c>
      <c r="Y734" s="6">
        <v>46174</v>
      </c>
      <c r="Z734" t="s">
        <v>1415</v>
      </c>
      <c r="AA734" t="s">
        <v>31</v>
      </c>
      <c r="AB734" t="s">
        <v>63</v>
      </c>
      <c r="AC734" t="s">
        <v>23</v>
      </c>
      <c r="AD734">
        <v>1</v>
      </c>
      <c r="AE734">
        <v>0</v>
      </c>
      <c r="AF734">
        <v>1</v>
      </c>
      <c r="AG734">
        <v>0</v>
      </c>
      <c r="AH734">
        <v>1</v>
      </c>
      <c r="AI734">
        <v>0</v>
      </c>
      <c r="AJ734">
        <v>0</v>
      </c>
    </row>
    <row r="735" spans="1:36">
      <c r="A735" t="s">
        <v>887</v>
      </c>
      <c r="B735">
        <v>26.07</v>
      </c>
      <c r="C735" s="7">
        <v>46192.209027777775</v>
      </c>
      <c r="D735" s="7">
        <v>46193.295243599539</v>
      </c>
      <c r="E735" t="s">
        <v>23</v>
      </c>
      <c r="F735" t="s">
        <v>33</v>
      </c>
      <c r="G735" t="s">
        <v>25</v>
      </c>
      <c r="H735" t="s">
        <v>66</v>
      </c>
      <c r="I735" t="s">
        <v>42</v>
      </c>
      <c r="J735" t="s">
        <v>48</v>
      </c>
      <c r="K735" t="s">
        <v>29</v>
      </c>
      <c r="L735" t="s">
        <v>85</v>
      </c>
      <c r="M735">
        <v>404</v>
      </c>
      <c r="N735">
        <v>3</v>
      </c>
      <c r="O735">
        <v>0</v>
      </c>
      <c r="P735">
        <v>4</v>
      </c>
      <c r="Q735" t="s">
        <v>31</v>
      </c>
      <c r="R735">
        <v>240</v>
      </c>
      <c r="S735">
        <v>48</v>
      </c>
      <c r="T735" t="s">
        <v>31</v>
      </c>
      <c r="U735" t="s">
        <v>63</v>
      </c>
      <c r="V735">
        <v>2026</v>
      </c>
      <c r="W735">
        <v>6</v>
      </c>
      <c r="X735" t="s">
        <v>1421</v>
      </c>
      <c r="Y735" s="6">
        <v>46174</v>
      </c>
      <c r="Z735" t="s">
        <v>1418</v>
      </c>
      <c r="AA735" t="s">
        <v>31</v>
      </c>
      <c r="AB735" t="s">
        <v>63</v>
      </c>
      <c r="AC735" t="s">
        <v>23</v>
      </c>
      <c r="AD735">
        <v>1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1</v>
      </c>
    </row>
    <row r="736" spans="1:36">
      <c r="A736" t="s">
        <v>888</v>
      </c>
      <c r="B736">
        <v>27.59</v>
      </c>
      <c r="C736" s="7">
        <v>46188.12222222222</v>
      </c>
      <c r="D736" s="7">
        <v>46189.271603819441</v>
      </c>
      <c r="E736" t="s">
        <v>23</v>
      </c>
      <c r="F736" t="s">
        <v>50</v>
      </c>
      <c r="G736" t="s">
        <v>65</v>
      </c>
      <c r="H736" t="s">
        <v>66</v>
      </c>
      <c r="I736" t="s">
        <v>27</v>
      </c>
      <c r="J736" t="s">
        <v>28</v>
      </c>
      <c r="K736" t="s">
        <v>67</v>
      </c>
      <c r="L736" t="s">
        <v>1401</v>
      </c>
      <c r="M736">
        <v>72</v>
      </c>
      <c r="N736">
        <v>4</v>
      </c>
      <c r="O736">
        <v>0</v>
      </c>
      <c r="P736">
        <v>2</v>
      </c>
      <c r="Q736" t="s">
        <v>31</v>
      </c>
      <c r="R736">
        <v>120</v>
      </c>
      <c r="S736">
        <v>24</v>
      </c>
      <c r="T736" t="s">
        <v>63</v>
      </c>
      <c r="U736" t="s">
        <v>31</v>
      </c>
      <c r="V736">
        <v>2026</v>
      </c>
      <c r="W736">
        <v>6</v>
      </c>
      <c r="X736" t="s">
        <v>1421</v>
      </c>
      <c r="Y736" s="6">
        <v>46174</v>
      </c>
      <c r="Z736" t="s">
        <v>1413</v>
      </c>
      <c r="AA736" t="s">
        <v>31</v>
      </c>
      <c r="AB736" t="s">
        <v>63</v>
      </c>
      <c r="AC736" t="s">
        <v>23</v>
      </c>
      <c r="AD736">
        <v>1</v>
      </c>
      <c r="AE736">
        <v>0</v>
      </c>
      <c r="AF736">
        <v>1</v>
      </c>
      <c r="AG736">
        <v>0</v>
      </c>
      <c r="AH736">
        <v>0</v>
      </c>
      <c r="AI736">
        <v>1</v>
      </c>
      <c r="AJ736">
        <v>0</v>
      </c>
    </row>
    <row r="737" spans="1:36">
      <c r="A737" t="s">
        <v>889</v>
      </c>
      <c r="B737">
        <v>19.13</v>
      </c>
      <c r="C737" s="7">
        <v>46245.642361111109</v>
      </c>
      <c r="D737" s="7">
        <v>46246.439403298609</v>
      </c>
      <c r="E737" t="s">
        <v>23</v>
      </c>
      <c r="F737" t="s">
        <v>50</v>
      </c>
      <c r="G737" t="s">
        <v>41</v>
      </c>
      <c r="H737" t="s">
        <v>34</v>
      </c>
      <c r="I737" t="s">
        <v>42</v>
      </c>
      <c r="J737" t="s">
        <v>36</v>
      </c>
      <c r="K737" t="s">
        <v>29</v>
      </c>
      <c r="L737" t="s">
        <v>44</v>
      </c>
      <c r="M737">
        <v>45</v>
      </c>
      <c r="N737">
        <v>4</v>
      </c>
      <c r="O737">
        <v>1</v>
      </c>
      <c r="P737">
        <v>6</v>
      </c>
      <c r="Q737" t="s">
        <v>31</v>
      </c>
      <c r="R737">
        <v>120</v>
      </c>
      <c r="S737">
        <v>24</v>
      </c>
      <c r="T737" t="s">
        <v>63</v>
      </c>
      <c r="U737" t="s">
        <v>63</v>
      </c>
      <c r="V737">
        <v>2026</v>
      </c>
      <c r="W737">
        <v>8</v>
      </c>
      <c r="X737" t="s">
        <v>1417</v>
      </c>
      <c r="Y737" s="6">
        <v>46235</v>
      </c>
      <c r="Z737" t="s">
        <v>1413</v>
      </c>
      <c r="AA737" t="s">
        <v>63</v>
      </c>
      <c r="AB737" t="s">
        <v>63</v>
      </c>
      <c r="AC737" t="s">
        <v>23</v>
      </c>
      <c r="AD737">
        <v>1</v>
      </c>
      <c r="AE737">
        <v>0</v>
      </c>
      <c r="AF737">
        <v>1</v>
      </c>
      <c r="AG737">
        <v>1</v>
      </c>
      <c r="AH737">
        <v>0</v>
      </c>
      <c r="AI737">
        <v>1</v>
      </c>
      <c r="AJ737">
        <v>1</v>
      </c>
    </row>
    <row r="738" spans="1:36">
      <c r="A738" t="s">
        <v>890</v>
      </c>
      <c r="B738">
        <v>36.08</v>
      </c>
      <c r="C738" s="7">
        <v>46087.831250000003</v>
      </c>
      <c r="D738" s="7">
        <v>46089.334525347222</v>
      </c>
      <c r="E738" t="s">
        <v>23</v>
      </c>
      <c r="F738" t="s">
        <v>50</v>
      </c>
      <c r="G738" t="s">
        <v>25</v>
      </c>
      <c r="H738" t="s">
        <v>26</v>
      </c>
      <c r="I738" t="s">
        <v>35</v>
      </c>
      <c r="J738" t="s">
        <v>28</v>
      </c>
      <c r="K738" t="s">
        <v>67</v>
      </c>
      <c r="L738" t="s">
        <v>38</v>
      </c>
      <c r="M738">
        <v>56</v>
      </c>
      <c r="N738">
        <v>4</v>
      </c>
      <c r="O738">
        <v>0</v>
      </c>
      <c r="P738">
        <v>3</v>
      </c>
      <c r="Q738" t="s">
        <v>31</v>
      </c>
      <c r="R738">
        <v>120</v>
      </c>
      <c r="S738">
        <v>24</v>
      </c>
      <c r="T738" t="s">
        <v>63</v>
      </c>
      <c r="U738" t="s">
        <v>31</v>
      </c>
      <c r="V738">
        <v>2026</v>
      </c>
      <c r="W738">
        <v>3</v>
      </c>
      <c r="X738" t="s">
        <v>1423</v>
      </c>
      <c r="Y738" s="6">
        <v>46082</v>
      </c>
      <c r="Z738" t="s">
        <v>1413</v>
      </c>
      <c r="AA738" t="s">
        <v>31</v>
      </c>
      <c r="AB738" t="s">
        <v>63</v>
      </c>
      <c r="AC738" t="s">
        <v>23</v>
      </c>
      <c r="AD738">
        <v>1</v>
      </c>
      <c r="AE738">
        <v>0</v>
      </c>
      <c r="AF738">
        <v>1</v>
      </c>
      <c r="AG738">
        <v>0</v>
      </c>
      <c r="AH738">
        <v>0</v>
      </c>
      <c r="AI738">
        <v>1</v>
      </c>
      <c r="AJ738">
        <v>0</v>
      </c>
    </row>
    <row r="739" spans="1:36">
      <c r="A739" t="s">
        <v>891</v>
      </c>
      <c r="B739">
        <v>46.88</v>
      </c>
      <c r="C739" s="7">
        <v>46156.074999999997</v>
      </c>
      <c r="D739" s="7">
        <v>46158.028148206016</v>
      </c>
      <c r="E739" t="s">
        <v>23</v>
      </c>
      <c r="F739" t="s">
        <v>33</v>
      </c>
      <c r="G739" t="s">
        <v>51</v>
      </c>
      <c r="H739" t="s">
        <v>26</v>
      </c>
      <c r="I739" t="s">
        <v>35</v>
      </c>
      <c r="J739" t="s">
        <v>43</v>
      </c>
      <c r="K739" t="s">
        <v>37</v>
      </c>
      <c r="L739" t="s">
        <v>93</v>
      </c>
      <c r="M739">
        <v>402</v>
      </c>
      <c r="N739">
        <v>3</v>
      </c>
      <c r="O739">
        <v>0</v>
      </c>
      <c r="P739">
        <v>4</v>
      </c>
      <c r="Q739" t="s">
        <v>31</v>
      </c>
      <c r="R739">
        <v>240</v>
      </c>
      <c r="S739">
        <v>48</v>
      </c>
      <c r="T739" t="s">
        <v>31</v>
      </c>
      <c r="U739" t="s">
        <v>63</v>
      </c>
      <c r="V739">
        <v>2026</v>
      </c>
      <c r="W739">
        <v>5</v>
      </c>
      <c r="X739" t="s">
        <v>1416</v>
      </c>
      <c r="Y739" s="6">
        <v>46143</v>
      </c>
      <c r="Z739" t="s">
        <v>1418</v>
      </c>
      <c r="AA739" t="s">
        <v>31</v>
      </c>
      <c r="AB739" t="s">
        <v>63</v>
      </c>
      <c r="AC739" t="s">
        <v>23</v>
      </c>
      <c r="AD739">
        <v>1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1</v>
      </c>
    </row>
    <row r="740" spans="1:36">
      <c r="A740" t="s">
        <v>893</v>
      </c>
      <c r="B740">
        <v>21.45</v>
      </c>
      <c r="C740" s="7">
        <v>46173.679861111108</v>
      </c>
      <c r="D740" s="7">
        <v>46174.57365633102</v>
      </c>
      <c r="E740" t="s">
        <v>23</v>
      </c>
      <c r="F740" t="s">
        <v>40</v>
      </c>
      <c r="G740" t="s">
        <v>51</v>
      </c>
      <c r="H740" t="s">
        <v>26</v>
      </c>
      <c r="I740" t="s">
        <v>42</v>
      </c>
      <c r="J740" t="s">
        <v>43</v>
      </c>
      <c r="K740" t="s">
        <v>67</v>
      </c>
      <c r="L740" t="s">
        <v>62</v>
      </c>
      <c r="M740">
        <v>17</v>
      </c>
      <c r="N740">
        <v>4</v>
      </c>
      <c r="O740">
        <v>0</v>
      </c>
      <c r="P740">
        <v>5</v>
      </c>
      <c r="Q740" t="s">
        <v>31</v>
      </c>
      <c r="R740">
        <v>30</v>
      </c>
      <c r="S740">
        <v>8</v>
      </c>
      <c r="T740" t="s">
        <v>63</v>
      </c>
      <c r="U740" t="s">
        <v>31</v>
      </c>
      <c r="V740">
        <v>2026</v>
      </c>
      <c r="W740">
        <v>5</v>
      </c>
      <c r="X740" t="s">
        <v>1416</v>
      </c>
      <c r="Y740" s="6">
        <v>46143</v>
      </c>
      <c r="Z740" t="s">
        <v>1413</v>
      </c>
      <c r="AA740" t="s">
        <v>31</v>
      </c>
      <c r="AB740" t="s">
        <v>63</v>
      </c>
      <c r="AC740" t="s">
        <v>23</v>
      </c>
      <c r="AD740">
        <v>1</v>
      </c>
      <c r="AE740">
        <v>0</v>
      </c>
      <c r="AF740">
        <v>1</v>
      </c>
      <c r="AG740">
        <v>0</v>
      </c>
      <c r="AH740">
        <v>0</v>
      </c>
      <c r="AI740">
        <v>1</v>
      </c>
      <c r="AJ740">
        <v>0</v>
      </c>
    </row>
    <row r="741" spans="1:36">
      <c r="A741" t="s">
        <v>894</v>
      </c>
      <c r="B741">
        <v>5.57</v>
      </c>
      <c r="C741" s="7">
        <v>46060.143750000003</v>
      </c>
      <c r="D741" s="7">
        <v>46060.375902523148</v>
      </c>
      <c r="E741" t="s">
        <v>23</v>
      </c>
      <c r="F741" t="s">
        <v>50</v>
      </c>
      <c r="G741" t="s">
        <v>41</v>
      </c>
      <c r="H741" t="s">
        <v>75</v>
      </c>
      <c r="I741" t="s">
        <v>27</v>
      </c>
      <c r="J741" t="s">
        <v>43</v>
      </c>
      <c r="K741" t="s">
        <v>29</v>
      </c>
      <c r="L741" t="s">
        <v>38</v>
      </c>
      <c r="M741">
        <v>71</v>
      </c>
      <c r="N741">
        <v>4</v>
      </c>
      <c r="O741">
        <v>0</v>
      </c>
      <c r="P741">
        <v>7</v>
      </c>
      <c r="Q741" t="s">
        <v>31</v>
      </c>
      <c r="R741">
        <v>120</v>
      </c>
      <c r="S741">
        <v>24</v>
      </c>
      <c r="T741" t="s">
        <v>63</v>
      </c>
      <c r="U741" t="s">
        <v>63</v>
      </c>
      <c r="V741">
        <v>2026</v>
      </c>
      <c r="W741">
        <v>2</v>
      </c>
      <c r="X741" t="s">
        <v>1419</v>
      </c>
      <c r="Y741" s="6">
        <v>46054</v>
      </c>
      <c r="Z741" t="s">
        <v>1413</v>
      </c>
      <c r="AA741" t="s">
        <v>31</v>
      </c>
      <c r="AB741" t="s">
        <v>63</v>
      </c>
      <c r="AC741" t="s">
        <v>23</v>
      </c>
      <c r="AD741">
        <v>1</v>
      </c>
      <c r="AE741">
        <v>0</v>
      </c>
      <c r="AF741">
        <v>1</v>
      </c>
      <c r="AG741">
        <v>0</v>
      </c>
      <c r="AH741">
        <v>0</v>
      </c>
      <c r="AI741">
        <v>1</v>
      </c>
      <c r="AJ741">
        <v>1</v>
      </c>
    </row>
    <row r="742" spans="1:36">
      <c r="A742" t="s">
        <v>895</v>
      </c>
      <c r="B742">
        <v>11.26</v>
      </c>
      <c r="C742" s="7">
        <v>46049.032638888886</v>
      </c>
      <c r="D742" s="7">
        <v>46049.501811747687</v>
      </c>
      <c r="E742" t="s">
        <v>23</v>
      </c>
      <c r="F742" t="s">
        <v>50</v>
      </c>
      <c r="G742" t="s">
        <v>51</v>
      </c>
      <c r="H742" t="s">
        <v>75</v>
      </c>
      <c r="I742" t="s">
        <v>42</v>
      </c>
      <c r="J742" t="s">
        <v>48</v>
      </c>
      <c r="K742" t="s">
        <v>29</v>
      </c>
      <c r="L742" t="s">
        <v>93</v>
      </c>
      <c r="M742">
        <v>63</v>
      </c>
      <c r="N742">
        <v>5</v>
      </c>
      <c r="O742">
        <v>0</v>
      </c>
      <c r="P742">
        <v>3</v>
      </c>
      <c r="Q742" t="s">
        <v>31</v>
      </c>
      <c r="R742">
        <v>120</v>
      </c>
      <c r="S742">
        <v>24</v>
      </c>
      <c r="T742" t="s">
        <v>63</v>
      </c>
      <c r="U742" t="s">
        <v>63</v>
      </c>
      <c r="V742">
        <v>2026</v>
      </c>
      <c r="W742">
        <v>1</v>
      </c>
      <c r="X742" t="s">
        <v>1414</v>
      </c>
      <c r="Y742" s="6">
        <v>46023</v>
      </c>
      <c r="Z742" t="s">
        <v>1413</v>
      </c>
      <c r="AA742" t="s">
        <v>31</v>
      </c>
      <c r="AB742" t="s">
        <v>63</v>
      </c>
      <c r="AC742" t="s">
        <v>23</v>
      </c>
      <c r="AD742">
        <v>1</v>
      </c>
      <c r="AE742">
        <v>0</v>
      </c>
      <c r="AF742">
        <v>1</v>
      </c>
      <c r="AG742">
        <v>0</v>
      </c>
      <c r="AH742">
        <v>0</v>
      </c>
      <c r="AI742">
        <v>1</v>
      </c>
      <c r="AJ742">
        <v>1</v>
      </c>
    </row>
    <row r="743" spans="1:36">
      <c r="A743" t="s">
        <v>896</v>
      </c>
      <c r="B743">
        <v>3.6</v>
      </c>
      <c r="C743" s="7">
        <v>46239.763888888891</v>
      </c>
      <c r="D743" s="7">
        <v>46239.913974664349</v>
      </c>
      <c r="E743" t="s">
        <v>23</v>
      </c>
      <c r="F743" t="s">
        <v>40</v>
      </c>
      <c r="G743" t="s">
        <v>51</v>
      </c>
      <c r="H743" t="s">
        <v>26</v>
      </c>
      <c r="I743" t="s">
        <v>27</v>
      </c>
      <c r="J743" t="s">
        <v>28</v>
      </c>
      <c r="K743" t="s">
        <v>29</v>
      </c>
      <c r="L743" t="s">
        <v>93</v>
      </c>
      <c r="M743">
        <v>19</v>
      </c>
      <c r="N743">
        <v>5</v>
      </c>
      <c r="O743">
        <v>0</v>
      </c>
      <c r="P743">
        <v>5</v>
      </c>
      <c r="Q743" t="s">
        <v>31</v>
      </c>
      <c r="R743">
        <v>30</v>
      </c>
      <c r="S743">
        <v>8</v>
      </c>
      <c r="T743" t="s">
        <v>63</v>
      </c>
      <c r="U743" t="s">
        <v>63</v>
      </c>
      <c r="V743">
        <v>2026</v>
      </c>
      <c r="W743">
        <v>8</v>
      </c>
      <c r="X743" t="s">
        <v>1417</v>
      </c>
      <c r="Y743" s="6">
        <v>46235</v>
      </c>
      <c r="Z743" t="s">
        <v>1413</v>
      </c>
      <c r="AA743" t="s">
        <v>31</v>
      </c>
      <c r="AB743" t="s">
        <v>63</v>
      </c>
      <c r="AC743" t="s">
        <v>23</v>
      </c>
      <c r="AD743">
        <v>1</v>
      </c>
      <c r="AE743">
        <v>0</v>
      </c>
      <c r="AF743">
        <v>1</v>
      </c>
      <c r="AG743">
        <v>0</v>
      </c>
      <c r="AH743">
        <v>0</v>
      </c>
      <c r="AI743">
        <v>1</v>
      </c>
      <c r="AJ743">
        <v>1</v>
      </c>
    </row>
    <row r="744" spans="1:36">
      <c r="A744" t="s">
        <v>897</v>
      </c>
      <c r="B744">
        <v>2.78</v>
      </c>
      <c r="C744" s="7">
        <v>46141.720138888886</v>
      </c>
      <c r="D744" s="7">
        <v>46141.835919594909</v>
      </c>
      <c r="E744" t="s">
        <v>23</v>
      </c>
      <c r="F744" t="s">
        <v>24</v>
      </c>
      <c r="G744" t="s">
        <v>51</v>
      </c>
      <c r="H744" t="s">
        <v>54</v>
      </c>
      <c r="I744" t="s">
        <v>35</v>
      </c>
      <c r="J744" t="s">
        <v>36</v>
      </c>
      <c r="K744" t="s">
        <v>52</v>
      </c>
      <c r="L744" t="s">
        <v>93</v>
      </c>
      <c r="M744">
        <v>22</v>
      </c>
      <c r="N744">
        <v>4</v>
      </c>
      <c r="O744">
        <v>0</v>
      </c>
      <c r="P744">
        <v>4</v>
      </c>
      <c r="Q744" t="s">
        <v>31</v>
      </c>
      <c r="R744">
        <v>15</v>
      </c>
      <c r="S744">
        <v>4</v>
      </c>
      <c r="T744" t="s">
        <v>31</v>
      </c>
      <c r="U744" t="s">
        <v>63</v>
      </c>
      <c r="V744">
        <v>2026</v>
      </c>
      <c r="W744">
        <v>4</v>
      </c>
      <c r="X744" t="s">
        <v>1412</v>
      </c>
      <c r="Y744" s="6">
        <v>46113</v>
      </c>
      <c r="Z744" t="s">
        <v>1413</v>
      </c>
      <c r="AA744" t="s">
        <v>31</v>
      </c>
      <c r="AB744" t="s">
        <v>63</v>
      </c>
      <c r="AC744" t="s">
        <v>23</v>
      </c>
      <c r="AD744">
        <v>1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1</v>
      </c>
    </row>
    <row r="745" spans="1:36">
      <c r="A745" t="s">
        <v>898</v>
      </c>
      <c r="B745">
        <v>6.98</v>
      </c>
      <c r="C745" s="7">
        <v>46253.700694444444</v>
      </c>
      <c r="D745" s="7">
        <v>46253.991344097223</v>
      </c>
      <c r="E745" t="s">
        <v>23</v>
      </c>
      <c r="F745" t="s">
        <v>40</v>
      </c>
      <c r="G745" t="s">
        <v>51</v>
      </c>
      <c r="H745" t="s">
        <v>75</v>
      </c>
      <c r="I745" t="s">
        <v>35</v>
      </c>
      <c r="J745" t="s">
        <v>48</v>
      </c>
      <c r="K745" t="s">
        <v>37</v>
      </c>
      <c r="L745" t="s">
        <v>62</v>
      </c>
      <c r="M745">
        <v>113</v>
      </c>
      <c r="N745">
        <v>4</v>
      </c>
      <c r="O745">
        <v>0</v>
      </c>
      <c r="P745">
        <v>5</v>
      </c>
      <c r="Q745" t="s">
        <v>31</v>
      </c>
      <c r="R745">
        <v>30</v>
      </c>
      <c r="S745">
        <v>8</v>
      </c>
      <c r="T745" t="s">
        <v>31</v>
      </c>
      <c r="U745" t="s">
        <v>63</v>
      </c>
      <c r="V745">
        <v>2026</v>
      </c>
      <c r="W745">
        <v>8</v>
      </c>
      <c r="X745" t="s">
        <v>1417</v>
      </c>
      <c r="Y745" s="6">
        <v>46235</v>
      </c>
      <c r="Z745" t="s">
        <v>1413</v>
      </c>
      <c r="AA745" t="s">
        <v>31</v>
      </c>
      <c r="AB745" t="s">
        <v>63</v>
      </c>
      <c r="AC745" t="s">
        <v>23</v>
      </c>
      <c r="AD745">
        <v>1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1</v>
      </c>
    </row>
    <row r="746" spans="1:36">
      <c r="A746" t="s">
        <v>899</v>
      </c>
      <c r="B746">
        <v>45.75</v>
      </c>
      <c r="C746" s="7">
        <v>46206.40347222222</v>
      </c>
      <c r="D746" s="7">
        <v>46208.309661354164</v>
      </c>
      <c r="E746" t="s">
        <v>23</v>
      </c>
      <c r="F746" t="s">
        <v>33</v>
      </c>
      <c r="G746" t="s">
        <v>51</v>
      </c>
      <c r="H746" t="s">
        <v>54</v>
      </c>
      <c r="I746" t="s">
        <v>42</v>
      </c>
      <c r="J746" t="s">
        <v>28</v>
      </c>
      <c r="K746" t="s">
        <v>58</v>
      </c>
      <c r="L746" t="s">
        <v>85</v>
      </c>
      <c r="M746">
        <v>292</v>
      </c>
      <c r="N746">
        <v>3</v>
      </c>
      <c r="O746">
        <v>0</v>
      </c>
      <c r="P746">
        <v>3</v>
      </c>
      <c r="Q746" t="s">
        <v>31</v>
      </c>
      <c r="R746">
        <v>240</v>
      </c>
      <c r="S746">
        <v>48</v>
      </c>
      <c r="T746" t="s">
        <v>31</v>
      </c>
      <c r="U746" t="s">
        <v>63</v>
      </c>
      <c r="V746">
        <v>2026</v>
      </c>
      <c r="W746">
        <v>7</v>
      </c>
      <c r="X746" t="s">
        <v>1422</v>
      </c>
      <c r="Y746" s="6">
        <v>46204</v>
      </c>
      <c r="Z746" t="s">
        <v>1418</v>
      </c>
      <c r="AA746" t="s">
        <v>31</v>
      </c>
      <c r="AB746" t="s">
        <v>63</v>
      </c>
      <c r="AC746" t="s">
        <v>23</v>
      </c>
      <c r="AD746">
        <v>1</v>
      </c>
      <c r="AE746">
        <v>0</v>
      </c>
      <c r="AF746">
        <v>1</v>
      </c>
      <c r="AG746">
        <v>0</v>
      </c>
      <c r="AH746">
        <v>0</v>
      </c>
      <c r="AI746">
        <v>0</v>
      </c>
      <c r="AJ746">
        <v>1</v>
      </c>
    </row>
    <row r="747" spans="1:36">
      <c r="A747" t="s">
        <v>900</v>
      </c>
      <c r="B747">
        <v>26.44</v>
      </c>
      <c r="C747" s="7">
        <v>46154.421527777777</v>
      </c>
      <c r="D747" s="7">
        <v>46155.523004502313</v>
      </c>
      <c r="E747" t="s">
        <v>23</v>
      </c>
      <c r="F747" t="s">
        <v>50</v>
      </c>
      <c r="G747" t="s">
        <v>51</v>
      </c>
      <c r="H747" t="s">
        <v>26</v>
      </c>
      <c r="I747" t="s">
        <v>27</v>
      </c>
      <c r="J747" t="s">
        <v>48</v>
      </c>
      <c r="K747" t="s">
        <v>37</v>
      </c>
      <c r="L747" t="s">
        <v>62</v>
      </c>
      <c r="M747">
        <v>83</v>
      </c>
      <c r="N747">
        <v>4</v>
      </c>
      <c r="O747">
        <v>0</v>
      </c>
      <c r="P747">
        <v>6</v>
      </c>
      <c r="Q747" t="s">
        <v>31</v>
      </c>
      <c r="R747">
        <v>120</v>
      </c>
      <c r="S747">
        <v>24</v>
      </c>
      <c r="T747" t="s">
        <v>63</v>
      </c>
      <c r="U747" t="s">
        <v>31</v>
      </c>
      <c r="V747">
        <v>2026</v>
      </c>
      <c r="W747">
        <v>5</v>
      </c>
      <c r="X747" t="s">
        <v>1416</v>
      </c>
      <c r="Y747" s="6">
        <v>46143</v>
      </c>
      <c r="Z747" t="s">
        <v>1413</v>
      </c>
      <c r="AA747" t="s">
        <v>31</v>
      </c>
      <c r="AB747" t="s">
        <v>63</v>
      </c>
      <c r="AC747" t="s">
        <v>23</v>
      </c>
      <c r="AD747">
        <v>1</v>
      </c>
      <c r="AE747">
        <v>0</v>
      </c>
      <c r="AF747">
        <v>1</v>
      </c>
      <c r="AG747">
        <v>0</v>
      </c>
      <c r="AH747">
        <v>0</v>
      </c>
      <c r="AI747">
        <v>1</v>
      </c>
      <c r="AJ747">
        <v>0</v>
      </c>
    </row>
    <row r="748" spans="1:36">
      <c r="A748" t="s">
        <v>901</v>
      </c>
      <c r="B748">
        <v>9.91</v>
      </c>
      <c r="C748" s="7">
        <v>46077.331944444442</v>
      </c>
      <c r="D748" s="7">
        <v>46077.744772905091</v>
      </c>
      <c r="E748" t="s">
        <v>23</v>
      </c>
      <c r="F748" t="s">
        <v>40</v>
      </c>
      <c r="G748" t="s">
        <v>25</v>
      </c>
      <c r="H748" t="s">
        <v>54</v>
      </c>
      <c r="I748" t="s">
        <v>42</v>
      </c>
      <c r="J748" t="s">
        <v>48</v>
      </c>
      <c r="K748" t="s">
        <v>58</v>
      </c>
      <c r="L748" t="s">
        <v>68</v>
      </c>
      <c r="M748">
        <v>53</v>
      </c>
      <c r="N748">
        <v>5</v>
      </c>
      <c r="O748">
        <v>0</v>
      </c>
      <c r="P748">
        <v>3</v>
      </c>
      <c r="Q748" t="s">
        <v>31</v>
      </c>
      <c r="R748">
        <v>30</v>
      </c>
      <c r="S748">
        <v>8</v>
      </c>
      <c r="T748" t="s">
        <v>31</v>
      </c>
      <c r="U748" t="s">
        <v>31</v>
      </c>
      <c r="V748">
        <v>2026</v>
      </c>
      <c r="W748">
        <v>2</v>
      </c>
      <c r="X748" t="s">
        <v>1419</v>
      </c>
      <c r="Y748" s="6">
        <v>46054</v>
      </c>
      <c r="Z748" t="s">
        <v>1413</v>
      </c>
      <c r="AA748" t="s">
        <v>31</v>
      </c>
      <c r="AB748" t="s">
        <v>63</v>
      </c>
      <c r="AC748" t="s">
        <v>23</v>
      </c>
      <c r="AD748">
        <v>1</v>
      </c>
      <c r="AE748">
        <v>0</v>
      </c>
      <c r="AF748">
        <v>1</v>
      </c>
      <c r="AG748">
        <v>0</v>
      </c>
      <c r="AH748">
        <v>0</v>
      </c>
      <c r="AI748">
        <v>0</v>
      </c>
      <c r="AJ748">
        <v>0</v>
      </c>
    </row>
    <row r="749" spans="1:36">
      <c r="A749" t="s">
        <v>902</v>
      </c>
      <c r="B749">
        <v>29.69</v>
      </c>
      <c r="C749" s="7">
        <v>46260.474305555559</v>
      </c>
      <c r="D749" s="7">
        <v>46261.711301481482</v>
      </c>
      <c r="E749" t="s">
        <v>23</v>
      </c>
      <c r="F749" t="s">
        <v>33</v>
      </c>
      <c r="G749" t="s">
        <v>51</v>
      </c>
      <c r="H749" t="s">
        <v>34</v>
      </c>
      <c r="I749" t="s">
        <v>27</v>
      </c>
      <c r="J749" t="s">
        <v>36</v>
      </c>
      <c r="K749" t="s">
        <v>37</v>
      </c>
      <c r="L749" t="s">
        <v>30</v>
      </c>
      <c r="M749">
        <v>317</v>
      </c>
      <c r="N749">
        <v>3</v>
      </c>
      <c r="O749">
        <v>0</v>
      </c>
      <c r="P749">
        <v>3</v>
      </c>
      <c r="Q749" t="s">
        <v>31</v>
      </c>
      <c r="R749">
        <v>240</v>
      </c>
      <c r="S749">
        <v>48</v>
      </c>
      <c r="T749" t="s">
        <v>31</v>
      </c>
      <c r="U749" t="s">
        <v>63</v>
      </c>
      <c r="V749">
        <v>2026</v>
      </c>
      <c r="W749">
        <v>8</v>
      </c>
      <c r="X749" t="s">
        <v>1417</v>
      </c>
      <c r="Y749" s="6">
        <v>46235</v>
      </c>
      <c r="Z749" t="s">
        <v>1418</v>
      </c>
      <c r="AA749" t="s">
        <v>31</v>
      </c>
      <c r="AB749" t="s">
        <v>63</v>
      </c>
      <c r="AC749" t="s">
        <v>23</v>
      </c>
      <c r="AD749">
        <v>1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1</v>
      </c>
    </row>
    <row r="750" spans="1:36">
      <c r="A750" t="s">
        <v>904</v>
      </c>
      <c r="B750">
        <v>15.68</v>
      </c>
      <c r="C750" s="7">
        <v>46060.570833333331</v>
      </c>
      <c r="D750" s="7">
        <v>46061.224280833332</v>
      </c>
      <c r="E750" t="s">
        <v>23</v>
      </c>
      <c r="F750" t="s">
        <v>50</v>
      </c>
      <c r="G750" t="s">
        <v>41</v>
      </c>
      <c r="H750" t="s">
        <v>26</v>
      </c>
      <c r="I750" t="s">
        <v>27</v>
      </c>
      <c r="J750" t="s">
        <v>43</v>
      </c>
      <c r="K750" t="s">
        <v>76</v>
      </c>
      <c r="L750" t="s">
        <v>85</v>
      </c>
      <c r="M750">
        <v>142</v>
      </c>
      <c r="N750">
        <v>4</v>
      </c>
      <c r="O750">
        <v>0</v>
      </c>
      <c r="P750">
        <v>2</v>
      </c>
      <c r="Q750" t="s">
        <v>31</v>
      </c>
      <c r="R750">
        <v>120</v>
      </c>
      <c r="S750">
        <v>24</v>
      </c>
      <c r="T750" t="s">
        <v>31</v>
      </c>
      <c r="U750" t="s">
        <v>63</v>
      </c>
      <c r="V750">
        <v>2026</v>
      </c>
      <c r="W750">
        <v>2</v>
      </c>
      <c r="X750" t="s">
        <v>1419</v>
      </c>
      <c r="Y750" s="6">
        <v>46054</v>
      </c>
      <c r="Z750" t="s">
        <v>1413</v>
      </c>
      <c r="AA750" t="s">
        <v>31</v>
      </c>
      <c r="AB750" t="s">
        <v>63</v>
      </c>
      <c r="AC750" t="s">
        <v>23</v>
      </c>
      <c r="AD750">
        <v>1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1</v>
      </c>
    </row>
    <row r="751" spans="1:36">
      <c r="A751" t="s">
        <v>905</v>
      </c>
      <c r="B751">
        <v>3.91</v>
      </c>
      <c r="C751" s="7">
        <v>46260.162499999999</v>
      </c>
      <c r="D751" s="7">
        <v>46260.325459953703</v>
      </c>
      <c r="E751" t="s">
        <v>23</v>
      </c>
      <c r="F751" t="s">
        <v>40</v>
      </c>
      <c r="G751" t="s">
        <v>51</v>
      </c>
      <c r="H751" t="s">
        <v>54</v>
      </c>
      <c r="I751" t="s">
        <v>35</v>
      </c>
      <c r="J751" t="s">
        <v>36</v>
      </c>
      <c r="K751" t="s">
        <v>29</v>
      </c>
      <c r="L751" t="s">
        <v>62</v>
      </c>
      <c r="M751">
        <v>38</v>
      </c>
      <c r="N751">
        <v>4</v>
      </c>
      <c r="O751">
        <v>1</v>
      </c>
      <c r="P751">
        <v>6</v>
      </c>
      <c r="Q751" t="s">
        <v>31</v>
      </c>
      <c r="R751">
        <v>30</v>
      </c>
      <c r="S751">
        <v>8</v>
      </c>
      <c r="T751" t="s">
        <v>31</v>
      </c>
      <c r="U751" t="s">
        <v>63</v>
      </c>
      <c r="V751">
        <v>2026</v>
      </c>
      <c r="W751">
        <v>8</v>
      </c>
      <c r="X751" t="s">
        <v>1417</v>
      </c>
      <c r="Y751" s="6">
        <v>46235</v>
      </c>
      <c r="Z751" t="s">
        <v>1413</v>
      </c>
      <c r="AA751" t="s">
        <v>63</v>
      </c>
      <c r="AB751" t="s">
        <v>63</v>
      </c>
      <c r="AC751" t="s">
        <v>23</v>
      </c>
      <c r="AD751">
        <v>1</v>
      </c>
      <c r="AE751">
        <v>0</v>
      </c>
      <c r="AF751">
        <v>1</v>
      </c>
      <c r="AG751">
        <v>1</v>
      </c>
      <c r="AH751">
        <v>0</v>
      </c>
      <c r="AI751">
        <v>0</v>
      </c>
      <c r="AJ751">
        <v>1</v>
      </c>
    </row>
    <row r="752" spans="1:36">
      <c r="A752" t="s">
        <v>906</v>
      </c>
      <c r="B752">
        <v>58.61</v>
      </c>
      <c r="C752" s="7">
        <v>46127.105555555558</v>
      </c>
      <c r="D752" s="7">
        <v>46129.547574733799</v>
      </c>
      <c r="E752" t="s">
        <v>23</v>
      </c>
      <c r="F752" t="s">
        <v>50</v>
      </c>
      <c r="G752" t="s">
        <v>41</v>
      </c>
      <c r="H752" t="s">
        <v>26</v>
      </c>
      <c r="I752" t="s">
        <v>35</v>
      </c>
      <c r="J752" t="s">
        <v>48</v>
      </c>
      <c r="K752" t="s">
        <v>76</v>
      </c>
      <c r="L752" t="s">
        <v>30</v>
      </c>
      <c r="M752">
        <v>99</v>
      </c>
      <c r="N752">
        <v>4</v>
      </c>
      <c r="O752">
        <v>0</v>
      </c>
      <c r="P752">
        <v>2</v>
      </c>
      <c r="Q752" t="s">
        <v>31</v>
      </c>
      <c r="R752">
        <v>120</v>
      </c>
      <c r="S752">
        <v>24</v>
      </c>
      <c r="T752" t="s">
        <v>63</v>
      </c>
      <c r="U752" t="s">
        <v>31</v>
      </c>
      <c r="V752">
        <v>2026</v>
      </c>
      <c r="W752">
        <v>4</v>
      </c>
      <c r="X752" t="s">
        <v>1412</v>
      </c>
      <c r="Y752" s="6">
        <v>46113</v>
      </c>
      <c r="Z752" t="s">
        <v>1413</v>
      </c>
      <c r="AA752" t="s">
        <v>31</v>
      </c>
      <c r="AB752" t="s">
        <v>63</v>
      </c>
      <c r="AC752" t="s">
        <v>23</v>
      </c>
      <c r="AD752">
        <v>1</v>
      </c>
      <c r="AE752">
        <v>0</v>
      </c>
      <c r="AF752">
        <v>1</v>
      </c>
      <c r="AG752">
        <v>0</v>
      </c>
      <c r="AH752">
        <v>0</v>
      </c>
      <c r="AI752">
        <v>1</v>
      </c>
      <c r="AJ752">
        <v>0</v>
      </c>
    </row>
    <row r="753" spans="1:36">
      <c r="A753" t="s">
        <v>907</v>
      </c>
      <c r="B753">
        <v>8.23</v>
      </c>
      <c r="C753" s="7">
        <v>46219.583333333336</v>
      </c>
      <c r="D753" s="7">
        <v>46219.92640074074</v>
      </c>
      <c r="E753" t="s">
        <v>23</v>
      </c>
      <c r="F753" t="s">
        <v>40</v>
      </c>
      <c r="G753" t="s">
        <v>25</v>
      </c>
      <c r="H753" t="s">
        <v>26</v>
      </c>
      <c r="I753" t="s">
        <v>35</v>
      </c>
      <c r="J753" t="s">
        <v>43</v>
      </c>
      <c r="K753" t="s">
        <v>37</v>
      </c>
      <c r="L753" t="s">
        <v>30</v>
      </c>
      <c r="M753">
        <v>111</v>
      </c>
      <c r="N753">
        <v>4</v>
      </c>
      <c r="O753">
        <v>0</v>
      </c>
      <c r="P753">
        <v>5</v>
      </c>
      <c r="Q753" t="s">
        <v>31</v>
      </c>
      <c r="R753">
        <v>30</v>
      </c>
      <c r="S753">
        <v>8</v>
      </c>
      <c r="T753" t="s">
        <v>31</v>
      </c>
      <c r="U753" t="s">
        <v>31</v>
      </c>
      <c r="V753">
        <v>2026</v>
      </c>
      <c r="W753">
        <v>7</v>
      </c>
      <c r="X753" t="s">
        <v>1422</v>
      </c>
      <c r="Y753" s="6">
        <v>46204</v>
      </c>
      <c r="Z753" t="s">
        <v>1413</v>
      </c>
      <c r="AA753" t="s">
        <v>31</v>
      </c>
      <c r="AB753" t="s">
        <v>63</v>
      </c>
      <c r="AC753" t="s">
        <v>23</v>
      </c>
      <c r="AD753">
        <v>1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</row>
    <row r="754" spans="1:36">
      <c r="A754" t="s">
        <v>908</v>
      </c>
      <c r="B754">
        <v>19.059999999999999</v>
      </c>
      <c r="C754" s="7">
        <v>46055.960416666669</v>
      </c>
      <c r="D754" s="7">
        <v>46056.754508182872</v>
      </c>
      <c r="E754" t="s">
        <v>23</v>
      </c>
      <c r="F754" t="s">
        <v>50</v>
      </c>
      <c r="G754" t="s">
        <v>51</v>
      </c>
      <c r="H754" t="s">
        <v>66</v>
      </c>
      <c r="I754" t="s">
        <v>42</v>
      </c>
      <c r="J754" t="s">
        <v>43</v>
      </c>
      <c r="K754" t="s">
        <v>37</v>
      </c>
      <c r="L754" t="s">
        <v>93</v>
      </c>
      <c r="M754">
        <v>115</v>
      </c>
      <c r="N754">
        <v>4</v>
      </c>
      <c r="O754">
        <v>1</v>
      </c>
      <c r="P754">
        <v>8</v>
      </c>
      <c r="Q754" t="s">
        <v>31</v>
      </c>
      <c r="R754">
        <v>120</v>
      </c>
      <c r="S754">
        <v>24</v>
      </c>
      <c r="T754" t="s">
        <v>63</v>
      </c>
      <c r="U754" t="s">
        <v>63</v>
      </c>
      <c r="V754">
        <v>2026</v>
      </c>
      <c r="W754">
        <v>2</v>
      </c>
      <c r="X754" t="s">
        <v>1419</v>
      </c>
      <c r="Y754" s="6">
        <v>46054</v>
      </c>
      <c r="Z754" t="s">
        <v>1413</v>
      </c>
      <c r="AA754" t="s">
        <v>63</v>
      </c>
      <c r="AB754" t="s">
        <v>63</v>
      </c>
      <c r="AC754" t="s">
        <v>23</v>
      </c>
      <c r="AD754">
        <v>1</v>
      </c>
      <c r="AE754">
        <v>0</v>
      </c>
      <c r="AF754">
        <v>1</v>
      </c>
      <c r="AG754">
        <v>1</v>
      </c>
      <c r="AH754">
        <v>0</v>
      </c>
      <c r="AI754">
        <v>1</v>
      </c>
      <c r="AJ754">
        <v>1</v>
      </c>
    </row>
    <row r="755" spans="1:36">
      <c r="A755" t="s">
        <v>909</v>
      </c>
      <c r="B755">
        <v>118.6</v>
      </c>
      <c r="C755" s="7">
        <v>46058.103472222225</v>
      </c>
      <c r="D755" s="7">
        <v>46063.045169305558</v>
      </c>
      <c r="E755" t="s">
        <v>23</v>
      </c>
      <c r="F755" t="s">
        <v>33</v>
      </c>
      <c r="G755" t="s">
        <v>65</v>
      </c>
      <c r="H755" t="s">
        <v>26</v>
      </c>
      <c r="I755" t="s">
        <v>35</v>
      </c>
      <c r="J755" t="s">
        <v>36</v>
      </c>
      <c r="K755" t="s">
        <v>58</v>
      </c>
      <c r="L755" t="s">
        <v>93</v>
      </c>
      <c r="M755">
        <v>294</v>
      </c>
      <c r="N755">
        <v>3</v>
      </c>
      <c r="O755">
        <v>0</v>
      </c>
      <c r="P755">
        <v>4</v>
      </c>
      <c r="Q755" t="s">
        <v>31</v>
      </c>
      <c r="R755">
        <v>240</v>
      </c>
      <c r="S755">
        <v>48</v>
      </c>
      <c r="T755" t="s">
        <v>31</v>
      </c>
      <c r="U755" t="s">
        <v>31</v>
      </c>
      <c r="V755">
        <v>2026</v>
      </c>
      <c r="W755">
        <v>2</v>
      </c>
      <c r="X755" t="s">
        <v>1419</v>
      </c>
      <c r="Y755" s="6">
        <v>46054</v>
      </c>
      <c r="Z755" t="s">
        <v>1418</v>
      </c>
      <c r="AA755" t="s">
        <v>31</v>
      </c>
      <c r="AB755" t="s">
        <v>63</v>
      </c>
      <c r="AC755" t="s">
        <v>23</v>
      </c>
      <c r="AD755">
        <v>1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</row>
    <row r="756" spans="1:36">
      <c r="A756" t="s">
        <v>910</v>
      </c>
      <c r="B756">
        <v>3.55</v>
      </c>
      <c r="C756" s="7">
        <v>46241.952777777777</v>
      </c>
      <c r="D756" s="7">
        <v>46242.100654293979</v>
      </c>
      <c r="E756" t="s">
        <v>23</v>
      </c>
      <c r="F756" t="s">
        <v>1402</v>
      </c>
      <c r="G756" t="s">
        <v>25</v>
      </c>
      <c r="H756" t="s">
        <v>75</v>
      </c>
      <c r="I756" t="s">
        <v>27</v>
      </c>
      <c r="J756" t="s">
        <v>36</v>
      </c>
      <c r="K756" t="s">
        <v>52</v>
      </c>
      <c r="L756" t="s">
        <v>85</v>
      </c>
      <c r="M756">
        <v>28</v>
      </c>
      <c r="N756">
        <v>4</v>
      </c>
      <c r="O756">
        <v>0</v>
      </c>
      <c r="P756">
        <v>3</v>
      </c>
      <c r="Q756" t="s">
        <v>31</v>
      </c>
      <c r="V756">
        <v>2026</v>
      </c>
      <c r="W756">
        <v>8</v>
      </c>
      <c r="X756" t="s">
        <v>1417</v>
      </c>
      <c r="Y756" s="6">
        <v>46235</v>
      </c>
      <c r="Z756" t="s">
        <v>1413</v>
      </c>
      <c r="AA756" t="s">
        <v>31</v>
      </c>
      <c r="AB756" t="s">
        <v>63</v>
      </c>
      <c r="AC756" t="s">
        <v>23</v>
      </c>
      <c r="AD756">
        <v>1</v>
      </c>
      <c r="AE756">
        <v>0</v>
      </c>
      <c r="AF756">
        <v>1</v>
      </c>
      <c r="AG756">
        <v>0</v>
      </c>
      <c r="AH756">
        <v>0</v>
      </c>
    </row>
    <row r="757" spans="1:36">
      <c r="A757" t="s">
        <v>911</v>
      </c>
      <c r="B757">
        <v>33.28</v>
      </c>
      <c r="C757" s="7">
        <v>46227.893750000003</v>
      </c>
      <c r="D757" s="7">
        <v>46229.280420219904</v>
      </c>
      <c r="E757" t="s">
        <v>23</v>
      </c>
      <c r="F757" t="s">
        <v>50</v>
      </c>
      <c r="G757" t="s">
        <v>25</v>
      </c>
      <c r="H757" t="s">
        <v>66</v>
      </c>
      <c r="I757" t="s">
        <v>27</v>
      </c>
      <c r="J757" t="s">
        <v>48</v>
      </c>
      <c r="K757" t="s">
        <v>58</v>
      </c>
      <c r="L757" t="s">
        <v>55</v>
      </c>
      <c r="M757">
        <v>157</v>
      </c>
      <c r="N757">
        <v>4</v>
      </c>
      <c r="O757">
        <v>0</v>
      </c>
      <c r="P757">
        <v>5</v>
      </c>
      <c r="Q757" t="s">
        <v>31</v>
      </c>
      <c r="R757">
        <v>120</v>
      </c>
      <c r="S757">
        <v>24</v>
      </c>
      <c r="T757" t="s">
        <v>31</v>
      </c>
      <c r="U757" t="s">
        <v>31</v>
      </c>
      <c r="V757">
        <v>2026</v>
      </c>
      <c r="W757">
        <v>7</v>
      </c>
      <c r="X757" t="s">
        <v>1422</v>
      </c>
      <c r="Y757" s="6">
        <v>46204</v>
      </c>
      <c r="Z757" t="s">
        <v>1413</v>
      </c>
      <c r="AA757" t="s">
        <v>31</v>
      </c>
      <c r="AB757" t="s">
        <v>63</v>
      </c>
      <c r="AC757" t="s">
        <v>23</v>
      </c>
      <c r="AD757">
        <v>1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0</v>
      </c>
    </row>
    <row r="758" spans="1:36">
      <c r="A758" t="s">
        <v>912</v>
      </c>
      <c r="B758">
        <v>47.74</v>
      </c>
      <c r="C758" s="7">
        <v>46069.2</v>
      </c>
      <c r="D758" s="7">
        <v>46071.18924792824</v>
      </c>
      <c r="E758" t="s">
        <v>23</v>
      </c>
      <c r="F758" t="s">
        <v>33</v>
      </c>
      <c r="G758" t="s">
        <v>25</v>
      </c>
      <c r="H758" t="s">
        <v>26</v>
      </c>
      <c r="I758" t="s">
        <v>35</v>
      </c>
      <c r="J758" t="s">
        <v>43</v>
      </c>
      <c r="K758" t="s">
        <v>67</v>
      </c>
      <c r="L758" t="s">
        <v>93</v>
      </c>
      <c r="M758">
        <v>354</v>
      </c>
      <c r="N758">
        <v>3</v>
      </c>
      <c r="O758">
        <v>0</v>
      </c>
      <c r="P758">
        <v>3</v>
      </c>
      <c r="Q758" t="s">
        <v>31</v>
      </c>
      <c r="R758">
        <v>240</v>
      </c>
      <c r="S758">
        <v>48</v>
      </c>
      <c r="T758" t="s">
        <v>31</v>
      </c>
      <c r="U758" t="s">
        <v>63</v>
      </c>
      <c r="V758">
        <v>2026</v>
      </c>
      <c r="W758">
        <v>2</v>
      </c>
      <c r="X758" t="s">
        <v>1419</v>
      </c>
      <c r="Y758" s="6">
        <v>46054</v>
      </c>
      <c r="Z758" t="s">
        <v>1418</v>
      </c>
      <c r="AA758" t="s">
        <v>31</v>
      </c>
      <c r="AB758" t="s">
        <v>63</v>
      </c>
      <c r="AC758" t="s">
        <v>23</v>
      </c>
      <c r="AD758">
        <v>1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1</v>
      </c>
    </row>
    <row r="759" spans="1:36">
      <c r="A759" t="s">
        <v>913</v>
      </c>
      <c r="B759">
        <v>36.28</v>
      </c>
      <c r="C759" s="7">
        <v>46176.338194444441</v>
      </c>
      <c r="D759" s="7">
        <v>46177.849860694441</v>
      </c>
      <c r="E759" t="s">
        <v>23</v>
      </c>
      <c r="F759" t="s">
        <v>50</v>
      </c>
      <c r="G759" t="s">
        <v>51</v>
      </c>
      <c r="H759" t="s">
        <v>34</v>
      </c>
      <c r="I759" t="s">
        <v>42</v>
      </c>
      <c r="J759" t="s">
        <v>43</v>
      </c>
      <c r="K759" t="s">
        <v>37</v>
      </c>
      <c r="L759" t="s">
        <v>44</v>
      </c>
      <c r="M759">
        <v>300</v>
      </c>
      <c r="N759">
        <v>3</v>
      </c>
      <c r="O759">
        <v>0</v>
      </c>
      <c r="P759">
        <v>7</v>
      </c>
      <c r="Q759" t="s">
        <v>31</v>
      </c>
      <c r="R759">
        <v>120</v>
      </c>
      <c r="S759">
        <v>24</v>
      </c>
      <c r="T759" t="s">
        <v>31</v>
      </c>
      <c r="U759" t="s">
        <v>31</v>
      </c>
      <c r="V759">
        <v>2026</v>
      </c>
      <c r="W759">
        <v>6</v>
      </c>
      <c r="X759" t="s">
        <v>1421</v>
      </c>
      <c r="Y759" s="6">
        <v>46174</v>
      </c>
      <c r="Z759" t="s">
        <v>1418</v>
      </c>
      <c r="AA759" t="s">
        <v>31</v>
      </c>
      <c r="AB759" t="s">
        <v>63</v>
      </c>
      <c r="AC759" t="s">
        <v>23</v>
      </c>
      <c r="AD759">
        <v>1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</row>
    <row r="760" spans="1:36">
      <c r="A760" t="s">
        <v>914</v>
      </c>
      <c r="B760">
        <v>13.63</v>
      </c>
      <c r="C760" s="7">
        <v>46140.224305555559</v>
      </c>
      <c r="D760" s="7">
        <v>46140.792138321762</v>
      </c>
      <c r="E760" t="s">
        <v>23</v>
      </c>
      <c r="F760" t="s">
        <v>50</v>
      </c>
      <c r="G760" t="s">
        <v>51</v>
      </c>
      <c r="H760" t="s">
        <v>75</v>
      </c>
      <c r="I760" t="s">
        <v>35</v>
      </c>
      <c r="J760" t="s">
        <v>43</v>
      </c>
      <c r="K760" t="s">
        <v>67</v>
      </c>
      <c r="L760" t="s">
        <v>62</v>
      </c>
      <c r="M760">
        <v>85</v>
      </c>
      <c r="N760">
        <v>4</v>
      </c>
      <c r="O760">
        <v>1</v>
      </c>
      <c r="P760">
        <v>12</v>
      </c>
      <c r="Q760" t="s">
        <v>31</v>
      </c>
      <c r="R760">
        <v>120</v>
      </c>
      <c r="S760">
        <v>24</v>
      </c>
      <c r="T760" t="s">
        <v>63</v>
      </c>
      <c r="U760" t="s">
        <v>63</v>
      </c>
      <c r="V760">
        <v>2026</v>
      </c>
      <c r="W760">
        <v>4</v>
      </c>
      <c r="X760" t="s">
        <v>1412</v>
      </c>
      <c r="Y760" s="6">
        <v>46113</v>
      </c>
      <c r="Z760" t="s">
        <v>1413</v>
      </c>
      <c r="AA760" t="s">
        <v>63</v>
      </c>
      <c r="AB760" t="s">
        <v>63</v>
      </c>
      <c r="AC760" t="s">
        <v>23</v>
      </c>
      <c r="AD760">
        <v>1</v>
      </c>
      <c r="AE760">
        <v>0</v>
      </c>
      <c r="AF760">
        <v>1</v>
      </c>
      <c r="AG760">
        <v>1</v>
      </c>
      <c r="AH760">
        <v>0</v>
      </c>
      <c r="AI760">
        <v>1</v>
      </c>
      <c r="AJ760">
        <v>1</v>
      </c>
    </row>
    <row r="761" spans="1:36">
      <c r="A761" t="s">
        <v>915</v>
      </c>
      <c r="B761">
        <v>2.12</v>
      </c>
      <c r="C761" s="7">
        <v>46142.272916666669</v>
      </c>
      <c r="D761" s="7">
        <v>46142.361118159723</v>
      </c>
      <c r="E761" t="s">
        <v>23</v>
      </c>
      <c r="F761" t="s">
        <v>24</v>
      </c>
      <c r="G761" t="s">
        <v>65</v>
      </c>
      <c r="H761" t="s">
        <v>26</v>
      </c>
      <c r="I761" t="s">
        <v>27</v>
      </c>
      <c r="J761" t="s">
        <v>48</v>
      </c>
      <c r="K761" t="s">
        <v>52</v>
      </c>
      <c r="L761" t="s">
        <v>38</v>
      </c>
      <c r="M761">
        <v>17</v>
      </c>
      <c r="N761">
        <v>5</v>
      </c>
      <c r="O761">
        <v>0</v>
      </c>
      <c r="P761">
        <v>4</v>
      </c>
      <c r="Q761" t="s">
        <v>31</v>
      </c>
      <c r="R761">
        <v>15</v>
      </c>
      <c r="S761">
        <v>4</v>
      </c>
      <c r="T761" t="s">
        <v>31</v>
      </c>
      <c r="U761" t="s">
        <v>63</v>
      </c>
      <c r="V761">
        <v>2026</v>
      </c>
      <c r="W761">
        <v>4</v>
      </c>
      <c r="X761" t="s">
        <v>1412</v>
      </c>
      <c r="Y761" s="6">
        <v>46113</v>
      </c>
      <c r="Z761" t="s">
        <v>1413</v>
      </c>
      <c r="AA761" t="s">
        <v>31</v>
      </c>
      <c r="AB761" t="s">
        <v>63</v>
      </c>
      <c r="AC761" t="s">
        <v>23</v>
      </c>
      <c r="AD761">
        <v>1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1</v>
      </c>
    </row>
    <row r="762" spans="1:36">
      <c r="A762" t="s">
        <v>916</v>
      </c>
      <c r="B762">
        <v>20.38</v>
      </c>
      <c r="C762" s="7">
        <v>46257.843055555553</v>
      </c>
      <c r="D762" s="7">
        <v>46258.692060694448</v>
      </c>
      <c r="E762" t="s">
        <v>23</v>
      </c>
      <c r="F762" t="s">
        <v>33</v>
      </c>
      <c r="G762" t="s">
        <v>51</v>
      </c>
      <c r="H762" t="s">
        <v>26</v>
      </c>
      <c r="I762" t="s">
        <v>35</v>
      </c>
      <c r="J762" t="s">
        <v>43</v>
      </c>
      <c r="K762" t="s">
        <v>52</v>
      </c>
      <c r="L762" t="s">
        <v>68</v>
      </c>
      <c r="M762">
        <v>74</v>
      </c>
      <c r="N762">
        <v>4</v>
      </c>
      <c r="O762">
        <v>0</v>
      </c>
      <c r="P762">
        <v>6</v>
      </c>
      <c r="Q762" t="s">
        <v>31</v>
      </c>
      <c r="R762">
        <v>240</v>
      </c>
      <c r="S762">
        <v>48</v>
      </c>
      <c r="T762" t="s">
        <v>63</v>
      </c>
      <c r="U762" t="s">
        <v>63</v>
      </c>
      <c r="V762">
        <v>2026</v>
      </c>
      <c r="W762">
        <v>8</v>
      </c>
      <c r="X762" t="s">
        <v>1417</v>
      </c>
      <c r="Y762" s="6">
        <v>46235</v>
      </c>
      <c r="Z762" t="s">
        <v>1413</v>
      </c>
      <c r="AA762" t="s">
        <v>31</v>
      </c>
      <c r="AB762" t="s">
        <v>63</v>
      </c>
      <c r="AC762" t="s">
        <v>23</v>
      </c>
      <c r="AD762">
        <v>1</v>
      </c>
      <c r="AE762">
        <v>0</v>
      </c>
      <c r="AF762">
        <v>1</v>
      </c>
      <c r="AG762">
        <v>0</v>
      </c>
      <c r="AH762">
        <v>0</v>
      </c>
      <c r="AI762">
        <v>1</v>
      </c>
      <c r="AJ762">
        <v>1</v>
      </c>
    </row>
    <row r="763" spans="1:36">
      <c r="A763" t="s">
        <v>917</v>
      </c>
      <c r="B763">
        <v>8.8000000000000007</v>
      </c>
      <c r="C763" s="7">
        <v>46052.874305555553</v>
      </c>
      <c r="D763" s="7">
        <v>46053.241055682869</v>
      </c>
      <c r="E763" t="s">
        <v>23</v>
      </c>
      <c r="F763" t="s">
        <v>40</v>
      </c>
      <c r="G763" t="s">
        <v>65</v>
      </c>
      <c r="H763" t="s">
        <v>66</v>
      </c>
      <c r="I763" t="s">
        <v>35</v>
      </c>
      <c r="J763" t="s">
        <v>43</v>
      </c>
      <c r="K763" t="s">
        <v>58</v>
      </c>
      <c r="L763" t="s">
        <v>71</v>
      </c>
      <c r="M763">
        <v>32</v>
      </c>
      <c r="N763">
        <v>4</v>
      </c>
      <c r="O763">
        <v>0</v>
      </c>
      <c r="P763">
        <v>5</v>
      </c>
      <c r="Q763" t="s">
        <v>31</v>
      </c>
      <c r="R763">
        <v>30</v>
      </c>
      <c r="S763">
        <v>8</v>
      </c>
      <c r="T763" t="s">
        <v>31</v>
      </c>
      <c r="U763" t="s">
        <v>31</v>
      </c>
      <c r="V763">
        <v>2026</v>
      </c>
      <c r="W763">
        <v>1</v>
      </c>
      <c r="X763" t="s">
        <v>1414</v>
      </c>
      <c r="Y763" s="6">
        <v>46023</v>
      </c>
      <c r="Z763" t="s">
        <v>1413</v>
      </c>
      <c r="AA763" t="s">
        <v>31</v>
      </c>
      <c r="AB763" t="s">
        <v>63</v>
      </c>
      <c r="AC763" t="s">
        <v>23</v>
      </c>
      <c r="AD763">
        <v>1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</row>
    <row r="764" spans="1:36">
      <c r="A764" t="s">
        <v>918</v>
      </c>
      <c r="B764">
        <v>41.49</v>
      </c>
      <c r="C764" s="7">
        <v>46225.613888888889</v>
      </c>
      <c r="D764" s="7">
        <v>46227.342709305558</v>
      </c>
      <c r="E764" t="s">
        <v>23</v>
      </c>
      <c r="F764" t="s">
        <v>50</v>
      </c>
      <c r="G764" t="s">
        <v>51</v>
      </c>
      <c r="H764" t="s">
        <v>34</v>
      </c>
      <c r="I764" t="s">
        <v>42</v>
      </c>
      <c r="J764" t="s">
        <v>28</v>
      </c>
      <c r="K764" t="s">
        <v>76</v>
      </c>
      <c r="L764" t="s">
        <v>38</v>
      </c>
      <c r="M764">
        <v>100</v>
      </c>
      <c r="N764">
        <v>4</v>
      </c>
      <c r="O764">
        <v>0</v>
      </c>
      <c r="P764">
        <v>6</v>
      </c>
      <c r="Q764" t="s">
        <v>31</v>
      </c>
      <c r="R764">
        <v>120</v>
      </c>
      <c r="S764">
        <v>24</v>
      </c>
      <c r="T764" t="s">
        <v>63</v>
      </c>
      <c r="U764" t="s">
        <v>31</v>
      </c>
      <c r="V764">
        <v>2026</v>
      </c>
      <c r="W764">
        <v>7</v>
      </c>
      <c r="X764" t="s">
        <v>1422</v>
      </c>
      <c r="Y764" s="6">
        <v>46204</v>
      </c>
      <c r="Z764" t="s">
        <v>1413</v>
      </c>
      <c r="AA764" t="s">
        <v>31</v>
      </c>
      <c r="AB764" t="s">
        <v>63</v>
      </c>
      <c r="AC764" t="s">
        <v>23</v>
      </c>
      <c r="AD764">
        <v>1</v>
      </c>
      <c r="AE764">
        <v>0</v>
      </c>
      <c r="AF764">
        <v>1</v>
      </c>
      <c r="AG764">
        <v>0</v>
      </c>
      <c r="AH764">
        <v>0</v>
      </c>
      <c r="AI764">
        <v>1</v>
      </c>
      <c r="AJ764">
        <v>0</v>
      </c>
    </row>
    <row r="765" spans="1:36">
      <c r="A765" t="s">
        <v>919</v>
      </c>
      <c r="B765">
        <v>144.66</v>
      </c>
      <c r="C765" s="7">
        <v>46066.707638888889</v>
      </c>
      <c r="D765" s="7">
        <v>46072.735250057871</v>
      </c>
      <c r="E765" t="s">
        <v>23</v>
      </c>
      <c r="F765" t="s">
        <v>33</v>
      </c>
      <c r="G765" t="s">
        <v>51</v>
      </c>
      <c r="H765" t="s">
        <v>54</v>
      </c>
      <c r="I765" t="s">
        <v>42</v>
      </c>
      <c r="J765" t="s">
        <v>43</v>
      </c>
      <c r="K765" t="s">
        <v>76</v>
      </c>
      <c r="L765" t="s">
        <v>85</v>
      </c>
      <c r="M765">
        <v>202</v>
      </c>
      <c r="N765">
        <v>3</v>
      </c>
      <c r="O765">
        <v>0</v>
      </c>
      <c r="P765">
        <v>5</v>
      </c>
      <c r="Q765" t="s">
        <v>31</v>
      </c>
      <c r="R765">
        <v>240</v>
      </c>
      <c r="S765">
        <v>48</v>
      </c>
      <c r="T765" t="s">
        <v>63</v>
      </c>
      <c r="U765" t="s">
        <v>31</v>
      </c>
      <c r="V765">
        <v>2026</v>
      </c>
      <c r="W765">
        <v>2</v>
      </c>
      <c r="X765" t="s">
        <v>1419</v>
      </c>
      <c r="Y765" s="6">
        <v>46054</v>
      </c>
      <c r="Z765" t="s">
        <v>1418</v>
      </c>
      <c r="AA765" t="s">
        <v>31</v>
      </c>
      <c r="AB765" t="s">
        <v>63</v>
      </c>
      <c r="AC765" t="s">
        <v>23</v>
      </c>
      <c r="AD765">
        <v>1</v>
      </c>
      <c r="AE765">
        <v>0</v>
      </c>
      <c r="AF765">
        <v>1</v>
      </c>
      <c r="AG765">
        <v>0</v>
      </c>
      <c r="AH765">
        <v>0</v>
      </c>
      <c r="AI765">
        <v>1</v>
      </c>
      <c r="AJ765">
        <v>0</v>
      </c>
    </row>
    <row r="766" spans="1:36">
      <c r="A766" t="s">
        <v>921</v>
      </c>
      <c r="B766">
        <v>11.79</v>
      </c>
      <c r="C766" s="7">
        <v>46231.921527777777</v>
      </c>
      <c r="D766" s="7">
        <v>46232.412881018521</v>
      </c>
      <c r="E766" t="s">
        <v>23</v>
      </c>
      <c r="F766" t="s">
        <v>50</v>
      </c>
      <c r="G766" t="s">
        <v>25</v>
      </c>
      <c r="H766" t="s">
        <v>66</v>
      </c>
      <c r="I766" t="s">
        <v>42</v>
      </c>
      <c r="J766" t="s">
        <v>43</v>
      </c>
      <c r="K766" t="s">
        <v>29</v>
      </c>
      <c r="L766" t="s">
        <v>44</v>
      </c>
      <c r="M766">
        <v>36</v>
      </c>
      <c r="N766">
        <v>4</v>
      </c>
      <c r="O766">
        <v>0</v>
      </c>
      <c r="P766">
        <v>7</v>
      </c>
      <c r="Q766" t="s">
        <v>31</v>
      </c>
      <c r="R766">
        <v>120</v>
      </c>
      <c r="S766">
        <v>24</v>
      </c>
      <c r="T766" t="s">
        <v>63</v>
      </c>
      <c r="U766" t="s">
        <v>63</v>
      </c>
      <c r="V766">
        <v>2026</v>
      </c>
      <c r="W766">
        <v>7</v>
      </c>
      <c r="X766" t="s">
        <v>1422</v>
      </c>
      <c r="Y766" s="6">
        <v>46204</v>
      </c>
      <c r="Z766" t="s">
        <v>1413</v>
      </c>
      <c r="AA766" t="s">
        <v>31</v>
      </c>
      <c r="AB766" t="s">
        <v>63</v>
      </c>
      <c r="AC766" t="s">
        <v>23</v>
      </c>
      <c r="AD766">
        <v>1</v>
      </c>
      <c r="AE766">
        <v>0</v>
      </c>
      <c r="AF766">
        <v>1</v>
      </c>
      <c r="AG766">
        <v>0</v>
      </c>
      <c r="AH766">
        <v>0</v>
      </c>
      <c r="AI766">
        <v>1</v>
      </c>
      <c r="AJ766">
        <v>1</v>
      </c>
    </row>
    <row r="767" spans="1:36">
      <c r="A767" t="s">
        <v>922</v>
      </c>
      <c r="B767">
        <v>50.18</v>
      </c>
      <c r="C767" s="7">
        <v>46157.669444444444</v>
      </c>
      <c r="D767" s="7">
        <v>46159.760297893517</v>
      </c>
      <c r="E767" t="s">
        <v>23</v>
      </c>
      <c r="F767" t="s">
        <v>33</v>
      </c>
      <c r="G767" t="s">
        <v>65</v>
      </c>
      <c r="H767" t="s">
        <v>66</v>
      </c>
      <c r="I767" t="s">
        <v>42</v>
      </c>
      <c r="J767" t="s">
        <v>28</v>
      </c>
      <c r="K767" t="s">
        <v>58</v>
      </c>
      <c r="L767" t="s">
        <v>85</v>
      </c>
      <c r="M767">
        <v>193</v>
      </c>
      <c r="N767">
        <v>4</v>
      </c>
      <c r="O767">
        <v>0</v>
      </c>
      <c r="P767">
        <v>6</v>
      </c>
      <c r="Q767" t="s">
        <v>31</v>
      </c>
      <c r="R767">
        <v>240</v>
      </c>
      <c r="S767">
        <v>48</v>
      </c>
      <c r="T767" t="s">
        <v>63</v>
      </c>
      <c r="U767" t="s">
        <v>31</v>
      </c>
      <c r="V767">
        <v>2026</v>
      </c>
      <c r="W767">
        <v>5</v>
      </c>
      <c r="X767" t="s">
        <v>1416</v>
      </c>
      <c r="Y767" s="6">
        <v>46143</v>
      </c>
      <c r="Z767" t="s">
        <v>1413</v>
      </c>
      <c r="AA767" t="s">
        <v>31</v>
      </c>
      <c r="AB767" t="s">
        <v>63</v>
      </c>
      <c r="AC767" t="s">
        <v>23</v>
      </c>
      <c r="AD767">
        <v>1</v>
      </c>
      <c r="AE767">
        <v>0</v>
      </c>
      <c r="AF767">
        <v>1</v>
      </c>
      <c r="AG767">
        <v>0</v>
      </c>
      <c r="AH767">
        <v>0</v>
      </c>
      <c r="AI767">
        <v>1</v>
      </c>
      <c r="AJ767">
        <v>0</v>
      </c>
    </row>
    <row r="768" spans="1:36">
      <c r="A768" t="s">
        <v>924</v>
      </c>
      <c r="B768">
        <v>77.5</v>
      </c>
      <c r="C768" s="7">
        <v>46052.902777777781</v>
      </c>
      <c r="D768" s="7">
        <v>46056.131777858798</v>
      </c>
      <c r="E768" t="s">
        <v>23</v>
      </c>
      <c r="F768" t="s">
        <v>33</v>
      </c>
      <c r="G768" t="s">
        <v>65</v>
      </c>
      <c r="H768" t="s">
        <v>26</v>
      </c>
      <c r="I768" t="s">
        <v>42</v>
      </c>
      <c r="J768" t="s">
        <v>28</v>
      </c>
      <c r="K768" t="s">
        <v>37</v>
      </c>
      <c r="L768" t="s">
        <v>62</v>
      </c>
      <c r="M768">
        <v>441</v>
      </c>
      <c r="N768">
        <v>2</v>
      </c>
      <c r="O768">
        <v>0</v>
      </c>
      <c r="P768">
        <v>13</v>
      </c>
      <c r="Q768" t="s">
        <v>63</v>
      </c>
      <c r="R768">
        <v>240</v>
      </c>
      <c r="S768">
        <v>48</v>
      </c>
      <c r="T768" t="s">
        <v>31</v>
      </c>
      <c r="U768" t="s">
        <v>31</v>
      </c>
      <c r="V768">
        <v>2026</v>
      </c>
      <c r="W768">
        <v>1</v>
      </c>
      <c r="X768" t="s">
        <v>1414</v>
      </c>
      <c r="Y768" s="6">
        <v>46023</v>
      </c>
      <c r="Z768" t="s">
        <v>1415</v>
      </c>
      <c r="AA768" t="s">
        <v>31</v>
      </c>
      <c r="AB768" t="s">
        <v>63</v>
      </c>
      <c r="AC768" t="s">
        <v>23</v>
      </c>
      <c r="AD768">
        <v>1</v>
      </c>
      <c r="AE768">
        <v>0</v>
      </c>
      <c r="AF768">
        <v>1</v>
      </c>
      <c r="AG768">
        <v>0</v>
      </c>
      <c r="AH768">
        <v>1</v>
      </c>
      <c r="AI768">
        <v>0</v>
      </c>
      <c r="AJ768">
        <v>0</v>
      </c>
    </row>
    <row r="769" spans="1:36">
      <c r="A769" t="s">
        <v>925</v>
      </c>
      <c r="B769">
        <v>3.64</v>
      </c>
      <c r="C769" s="7">
        <v>46037.268055555556</v>
      </c>
      <c r="D769" s="7">
        <v>46037.419876412037</v>
      </c>
      <c r="E769" t="s">
        <v>23</v>
      </c>
      <c r="F769" t="s">
        <v>24</v>
      </c>
      <c r="G769" t="s">
        <v>65</v>
      </c>
      <c r="H769" t="s">
        <v>54</v>
      </c>
      <c r="I769" t="s">
        <v>35</v>
      </c>
      <c r="J769" t="s">
        <v>48</v>
      </c>
      <c r="K769" t="s">
        <v>58</v>
      </c>
      <c r="L769" t="s">
        <v>71</v>
      </c>
      <c r="M769">
        <v>15</v>
      </c>
      <c r="N769">
        <v>4</v>
      </c>
      <c r="O769">
        <v>1</v>
      </c>
      <c r="P769">
        <v>9</v>
      </c>
      <c r="Q769" t="s">
        <v>31</v>
      </c>
      <c r="R769">
        <v>15</v>
      </c>
      <c r="S769">
        <v>4</v>
      </c>
      <c r="T769" t="s">
        <v>63</v>
      </c>
      <c r="U769" t="s">
        <v>63</v>
      </c>
      <c r="V769">
        <v>2026</v>
      </c>
      <c r="W769">
        <v>1</v>
      </c>
      <c r="X769" t="s">
        <v>1414</v>
      </c>
      <c r="Y769" s="6">
        <v>46023</v>
      </c>
      <c r="Z769" t="s">
        <v>1413</v>
      </c>
      <c r="AA769" t="s">
        <v>63</v>
      </c>
      <c r="AB769" t="s">
        <v>63</v>
      </c>
      <c r="AC769" t="s">
        <v>23</v>
      </c>
      <c r="AD769">
        <v>1</v>
      </c>
      <c r="AE769">
        <v>0</v>
      </c>
      <c r="AF769">
        <v>1</v>
      </c>
      <c r="AG769">
        <v>1</v>
      </c>
      <c r="AH769">
        <v>0</v>
      </c>
      <c r="AI769">
        <v>1</v>
      </c>
      <c r="AJ769">
        <v>1</v>
      </c>
    </row>
    <row r="770" spans="1:36">
      <c r="A770" t="s">
        <v>926</v>
      </c>
      <c r="B770">
        <v>8.4700000000000006</v>
      </c>
      <c r="C770" s="7">
        <v>46116.026388888888</v>
      </c>
      <c r="D770" s="7">
        <v>46116.379433587965</v>
      </c>
      <c r="E770" t="s">
        <v>23</v>
      </c>
      <c r="F770" t="s">
        <v>33</v>
      </c>
      <c r="G770" t="s">
        <v>25</v>
      </c>
      <c r="H770" t="s">
        <v>26</v>
      </c>
      <c r="I770" t="s">
        <v>35</v>
      </c>
      <c r="J770" t="s">
        <v>28</v>
      </c>
      <c r="K770" t="s">
        <v>29</v>
      </c>
      <c r="L770" t="s">
        <v>93</v>
      </c>
      <c r="M770">
        <v>281</v>
      </c>
      <c r="N770">
        <v>4</v>
      </c>
      <c r="O770">
        <v>0</v>
      </c>
      <c r="P770">
        <v>5</v>
      </c>
      <c r="Q770" t="s">
        <v>31</v>
      </c>
      <c r="R770">
        <v>240</v>
      </c>
      <c r="S770">
        <v>48</v>
      </c>
      <c r="T770" t="s">
        <v>31</v>
      </c>
      <c r="U770" t="s">
        <v>63</v>
      </c>
      <c r="V770">
        <v>2026</v>
      </c>
      <c r="W770">
        <v>4</v>
      </c>
      <c r="X770" t="s">
        <v>1412</v>
      </c>
      <c r="Y770" s="6">
        <v>46113</v>
      </c>
      <c r="Z770" t="s">
        <v>1413</v>
      </c>
      <c r="AA770" t="s">
        <v>31</v>
      </c>
      <c r="AB770" t="s">
        <v>63</v>
      </c>
      <c r="AC770" t="s">
        <v>23</v>
      </c>
      <c r="AD770">
        <v>1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1</v>
      </c>
    </row>
    <row r="771" spans="1:36">
      <c r="A771" t="s">
        <v>927</v>
      </c>
      <c r="B771">
        <v>23.85</v>
      </c>
      <c r="C771" s="7">
        <v>46120.675000000003</v>
      </c>
      <c r="D771" s="7">
        <v>46121.668683067131</v>
      </c>
      <c r="E771" t="s">
        <v>23</v>
      </c>
      <c r="F771" t="s">
        <v>50</v>
      </c>
      <c r="G771" t="s">
        <v>41</v>
      </c>
      <c r="H771" t="s">
        <v>66</v>
      </c>
      <c r="I771" t="s">
        <v>35</v>
      </c>
      <c r="J771" t="s">
        <v>28</v>
      </c>
      <c r="K771" t="s">
        <v>37</v>
      </c>
      <c r="L771" t="s">
        <v>62</v>
      </c>
      <c r="M771">
        <v>98</v>
      </c>
      <c r="N771">
        <v>4</v>
      </c>
      <c r="O771">
        <v>0</v>
      </c>
      <c r="P771">
        <v>5</v>
      </c>
      <c r="Q771" t="s">
        <v>31</v>
      </c>
      <c r="R771">
        <v>120</v>
      </c>
      <c r="S771">
        <v>24</v>
      </c>
      <c r="T771" t="s">
        <v>63</v>
      </c>
      <c r="U771" t="s">
        <v>63</v>
      </c>
      <c r="V771">
        <v>2026</v>
      </c>
      <c r="W771">
        <v>4</v>
      </c>
      <c r="X771" t="s">
        <v>1412</v>
      </c>
      <c r="Y771" s="6">
        <v>46113</v>
      </c>
      <c r="Z771" t="s">
        <v>1413</v>
      </c>
      <c r="AA771" t="s">
        <v>31</v>
      </c>
      <c r="AB771" t="s">
        <v>63</v>
      </c>
      <c r="AC771" t="s">
        <v>23</v>
      </c>
      <c r="AD771">
        <v>1</v>
      </c>
      <c r="AE771">
        <v>0</v>
      </c>
      <c r="AF771">
        <v>1</v>
      </c>
      <c r="AG771">
        <v>0</v>
      </c>
      <c r="AH771">
        <v>0</v>
      </c>
      <c r="AI771">
        <v>1</v>
      </c>
      <c r="AJ771">
        <v>1</v>
      </c>
    </row>
    <row r="772" spans="1:36">
      <c r="A772" t="s">
        <v>928</v>
      </c>
      <c r="B772">
        <v>24.68</v>
      </c>
      <c r="C772" s="7">
        <v>46252.637499999997</v>
      </c>
      <c r="D772" s="7">
        <v>46253.665883310183</v>
      </c>
      <c r="E772" t="s">
        <v>23</v>
      </c>
      <c r="F772" t="s">
        <v>33</v>
      </c>
      <c r="G772" t="s">
        <v>51</v>
      </c>
      <c r="H772" t="s">
        <v>75</v>
      </c>
      <c r="I772" t="s">
        <v>42</v>
      </c>
      <c r="J772" t="s">
        <v>43</v>
      </c>
      <c r="K772" t="s">
        <v>37</v>
      </c>
      <c r="L772" t="s">
        <v>71</v>
      </c>
      <c r="M772">
        <v>90</v>
      </c>
      <c r="N772">
        <v>4</v>
      </c>
      <c r="O772">
        <v>0</v>
      </c>
      <c r="P772">
        <v>6</v>
      </c>
      <c r="Q772" t="s">
        <v>31</v>
      </c>
      <c r="R772">
        <v>240</v>
      </c>
      <c r="S772">
        <v>48</v>
      </c>
      <c r="T772" t="s">
        <v>63</v>
      </c>
      <c r="U772" t="s">
        <v>63</v>
      </c>
      <c r="V772">
        <v>2026</v>
      </c>
      <c r="W772">
        <v>8</v>
      </c>
      <c r="X772" t="s">
        <v>1417</v>
      </c>
      <c r="Y772" s="6">
        <v>46235</v>
      </c>
      <c r="Z772" t="s">
        <v>1413</v>
      </c>
      <c r="AA772" t="s">
        <v>31</v>
      </c>
      <c r="AB772" t="s">
        <v>63</v>
      </c>
      <c r="AC772" t="s">
        <v>23</v>
      </c>
      <c r="AD772">
        <v>1</v>
      </c>
      <c r="AE772">
        <v>0</v>
      </c>
      <c r="AF772">
        <v>1</v>
      </c>
      <c r="AG772">
        <v>0</v>
      </c>
      <c r="AH772">
        <v>0</v>
      </c>
      <c r="AI772">
        <v>1</v>
      </c>
      <c r="AJ772">
        <v>1</v>
      </c>
    </row>
    <row r="773" spans="1:36">
      <c r="A773" t="s">
        <v>930</v>
      </c>
      <c r="B773">
        <v>4.28</v>
      </c>
      <c r="C773" s="7">
        <v>46250.321527777778</v>
      </c>
      <c r="D773" s="7">
        <v>46250.499691736113</v>
      </c>
      <c r="E773" t="s">
        <v>23</v>
      </c>
      <c r="F773" t="s">
        <v>50</v>
      </c>
      <c r="G773" t="s">
        <v>25</v>
      </c>
      <c r="H773" t="s">
        <v>26</v>
      </c>
      <c r="I773" t="s">
        <v>35</v>
      </c>
      <c r="J773" t="s">
        <v>36</v>
      </c>
      <c r="K773" t="s">
        <v>52</v>
      </c>
      <c r="L773" t="s">
        <v>30</v>
      </c>
      <c r="M773">
        <v>39</v>
      </c>
      <c r="N773">
        <v>5</v>
      </c>
      <c r="O773">
        <v>0</v>
      </c>
      <c r="P773">
        <v>4</v>
      </c>
      <c r="Q773" t="s">
        <v>31</v>
      </c>
      <c r="R773">
        <v>120</v>
      </c>
      <c r="S773">
        <v>24</v>
      </c>
      <c r="T773" t="s">
        <v>63</v>
      </c>
      <c r="U773" t="s">
        <v>63</v>
      </c>
      <c r="V773">
        <v>2026</v>
      </c>
      <c r="W773">
        <v>8</v>
      </c>
      <c r="X773" t="s">
        <v>1417</v>
      </c>
      <c r="Y773" s="6">
        <v>46235</v>
      </c>
      <c r="Z773" t="s">
        <v>1413</v>
      </c>
      <c r="AA773" t="s">
        <v>31</v>
      </c>
      <c r="AB773" t="s">
        <v>63</v>
      </c>
      <c r="AC773" t="s">
        <v>23</v>
      </c>
      <c r="AD773">
        <v>1</v>
      </c>
      <c r="AE773">
        <v>0</v>
      </c>
      <c r="AF773">
        <v>1</v>
      </c>
      <c r="AG773">
        <v>0</v>
      </c>
      <c r="AH773">
        <v>0</v>
      </c>
      <c r="AI773">
        <v>1</v>
      </c>
      <c r="AJ773">
        <v>1</v>
      </c>
    </row>
    <row r="774" spans="1:36">
      <c r="A774" t="s">
        <v>931</v>
      </c>
      <c r="B774">
        <v>19.510000000000002</v>
      </c>
      <c r="C774" s="7">
        <v>46089.47152777778</v>
      </c>
      <c r="D774" s="7">
        <v>46090.28448761574</v>
      </c>
      <c r="E774" t="s">
        <v>23</v>
      </c>
      <c r="F774" t="s">
        <v>33</v>
      </c>
      <c r="G774" t="s">
        <v>65</v>
      </c>
      <c r="H774" t="s">
        <v>26</v>
      </c>
      <c r="I774" t="s">
        <v>27</v>
      </c>
      <c r="J774" t="s">
        <v>28</v>
      </c>
      <c r="K774" t="s">
        <v>52</v>
      </c>
      <c r="L774" t="s">
        <v>30</v>
      </c>
      <c r="M774">
        <v>272</v>
      </c>
      <c r="N774">
        <v>3</v>
      </c>
      <c r="O774">
        <v>0</v>
      </c>
      <c r="P774">
        <v>5</v>
      </c>
      <c r="Q774" t="s">
        <v>31</v>
      </c>
      <c r="R774">
        <v>240</v>
      </c>
      <c r="S774">
        <v>48</v>
      </c>
      <c r="T774" t="s">
        <v>31</v>
      </c>
      <c r="U774" t="s">
        <v>63</v>
      </c>
      <c r="V774">
        <v>2026</v>
      </c>
      <c r="W774">
        <v>3</v>
      </c>
      <c r="X774" t="s">
        <v>1423</v>
      </c>
      <c r="Y774" s="6">
        <v>46082</v>
      </c>
      <c r="Z774" t="s">
        <v>1418</v>
      </c>
      <c r="AA774" t="s">
        <v>31</v>
      </c>
      <c r="AB774" t="s">
        <v>63</v>
      </c>
      <c r="AC774" t="s">
        <v>23</v>
      </c>
      <c r="AD774">
        <v>1</v>
      </c>
      <c r="AE774">
        <v>0</v>
      </c>
      <c r="AF774">
        <v>1</v>
      </c>
      <c r="AG774">
        <v>0</v>
      </c>
      <c r="AH774">
        <v>0</v>
      </c>
      <c r="AI774">
        <v>0</v>
      </c>
      <c r="AJ774">
        <v>1</v>
      </c>
    </row>
    <row r="775" spans="1:36">
      <c r="A775" t="s">
        <v>932</v>
      </c>
      <c r="B775">
        <v>8.2200000000000006</v>
      </c>
      <c r="C775" s="7">
        <v>46037.87777777778</v>
      </c>
      <c r="D775" s="7">
        <v>46038.220161689816</v>
      </c>
      <c r="E775" t="s">
        <v>23</v>
      </c>
      <c r="F775" t="s">
        <v>33</v>
      </c>
      <c r="G775" t="s">
        <v>51</v>
      </c>
      <c r="H775" t="s">
        <v>66</v>
      </c>
      <c r="I775" t="s">
        <v>42</v>
      </c>
      <c r="J775" t="s">
        <v>48</v>
      </c>
      <c r="K775" t="s">
        <v>29</v>
      </c>
      <c r="L775" t="s">
        <v>44</v>
      </c>
      <c r="M775">
        <v>93</v>
      </c>
      <c r="N775">
        <v>4</v>
      </c>
      <c r="O775">
        <v>0</v>
      </c>
      <c r="P775">
        <v>6</v>
      </c>
      <c r="Q775" t="s">
        <v>31</v>
      </c>
      <c r="R775">
        <v>240</v>
      </c>
      <c r="S775">
        <v>48</v>
      </c>
      <c r="T775" t="s">
        <v>63</v>
      </c>
      <c r="U775" t="s">
        <v>63</v>
      </c>
      <c r="V775">
        <v>2026</v>
      </c>
      <c r="W775">
        <v>1</v>
      </c>
      <c r="X775" t="s">
        <v>1414</v>
      </c>
      <c r="Y775" s="6">
        <v>46023</v>
      </c>
      <c r="Z775" t="s">
        <v>1413</v>
      </c>
      <c r="AA775" t="s">
        <v>31</v>
      </c>
      <c r="AB775" t="s">
        <v>63</v>
      </c>
      <c r="AC775" t="s">
        <v>23</v>
      </c>
      <c r="AD775">
        <v>1</v>
      </c>
      <c r="AE775">
        <v>0</v>
      </c>
      <c r="AF775">
        <v>1</v>
      </c>
      <c r="AG775">
        <v>0</v>
      </c>
      <c r="AH775">
        <v>0</v>
      </c>
      <c r="AI775">
        <v>1</v>
      </c>
      <c r="AJ775">
        <v>1</v>
      </c>
    </row>
    <row r="776" spans="1:36">
      <c r="A776" t="s">
        <v>933</v>
      </c>
      <c r="B776">
        <v>27.24</v>
      </c>
      <c r="C776" s="7">
        <v>46091.054861111108</v>
      </c>
      <c r="D776" s="7">
        <v>46092.189663599536</v>
      </c>
      <c r="E776" t="s">
        <v>23</v>
      </c>
      <c r="F776" t="s">
        <v>33</v>
      </c>
      <c r="G776" t="s">
        <v>65</v>
      </c>
      <c r="H776" t="s">
        <v>26</v>
      </c>
      <c r="I776" t="s">
        <v>35</v>
      </c>
      <c r="J776" t="s">
        <v>28</v>
      </c>
      <c r="K776" t="s">
        <v>52</v>
      </c>
      <c r="L776" t="s">
        <v>71</v>
      </c>
      <c r="M776">
        <v>236</v>
      </c>
      <c r="N776">
        <v>4</v>
      </c>
      <c r="O776">
        <v>0</v>
      </c>
      <c r="P776">
        <v>4</v>
      </c>
      <c r="Q776" t="s">
        <v>31</v>
      </c>
      <c r="R776">
        <v>240</v>
      </c>
      <c r="S776">
        <v>48</v>
      </c>
      <c r="T776" t="s">
        <v>63</v>
      </c>
      <c r="U776" t="s">
        <v>63</v>
      </c>
      <c r="V776">
        <v>2026</v>
      </c>
      <c r="W776">
        <v>3</v>
      </c>
      <c r="X776" t="s">
        <v>1423</v>
      </c>
      <c r="Y776" s="6">
        <v>46082</v>
      </c>
      <c r="Z776" t="s">
        <v>1413</v>
      </c>
      <c r="AA776" t="s">
        <v>31</v>
      </c>
      <c r="AB776" t="s">
        <v>63</v>
      </c>
      <c r="AC776" t="s">
        <v>23</v>
      </c>
      <c r="AD776">
        <v>1</v>
      </c>
      <c r="AE776">
        <v>0</v>
      </c>
      <c r="AF776">
        <v>1</v>
      </c>
      <c r="AG776">
        <v>0</v>
      </c>
      <c r="AH776">
        <v>0</v>
      </c>
      <c r="AI776">
        <v>1</v>
      </c>
      <c r="AJ776">
        <v>1</v>
      </c>
    </row>
    <row r="777" spans="1:36">
      <c r="A777" t="s">
        <v>935</v>
      </c>
      <c r="B777">
        <v>22.37</v>
      </c>
      <c r="C777" s="7">
        <v>46114.839583333334</v>
      </c>
      <c r="D777" s="7">
        <v>46115.771732511574</v>
      </c>
      <c r="E777" t="s">
        <v>23</v>
      </c>
      <c r="F777" t="s">
        <v>33</v>
      </c>
      <c r="G777" t="s">
        <v>51</v>
      </c>
      <c r="H777" t="s">
        <v>66</v>
      </c>
      <c r="I777" t="s">
        <v>35</v>
      </c>
      <c r="J777" t="s">
        <v>48</v>
      </c>
      <c r="K777" t="s">
        <v>37</v>
      </c>
      <c r="L777" t="s">
        <v>93</v>
      </c>
      <c r="M777">
        <v>176</v>
      </c>
      <c r="N777">
        <v>4</v>
      </c>
      <c r="O777">
        <v>0</v>
      </c>
      <c r="P777">
        <v>5</v>
      </c>
      <c r="Q777" t="s">
        <v>31</v>
      </c>
      <c r="R777">
        <v>240</v>
      </c>
      <c r="S777">
        <v>48</v>
      </c>
      <c r="T777" t="s">
        <v>63</v>
      </c>
      <c r="U777" t="s">
        <v>63</v>
      </c>
      <c r="V777">
        <v>2026</v>
      </c>
      <c r="W777">
        <v>4</v>
      </c>
      <c r="X777" t="s">
        <v>1412</v>
      </c>
      <c r="Y777" s="6">
        <v>46113</v>
      </c>
      <c r="Z777" t="s">
        <v>1413</v>
      </c>
      <c r="AA777" t="s">
        <v>31</v>
      </c>
      <c r="AB777" t="s">
        <v>63</v>
      </c>
      <c r="AC777" t="s">
        <v>23</v>
      </c>
      <c r="AD777">
        <v>1</v>
      </c>
      <c r="AE777">
        <v>0</v>
      </c>
      <c r="AF777">
        <v>1</v>
      </c>
      <c r="AG777">
        <v>0</v>
      </c>
      <c r="AH777">
        <v>0</v>
      </c>
      <c r="AI777">
        <v>1</v>
      </c>
      <c r="AJ777">
        <v>1</v>
      </c>
    </row>
    <row r="778" spans="1:36">
      <c r="A778" t="s">
        <v>936</v>
      </c>
      <c r="B778">
        <v>38.18</v>
      </c>
      <c r="C778" s="7">
        <v>46028.892361111109</v>
      </c>
      <c r="D778" s="7">
        <v>46030.483157939816</v>
      </c>
      <c r="E778" t="s">
        <v>23</v>
      </c>
      <c r="F778" t="s">
        <v>33</v>
      </c>
      <c r="G778" t="s">
        <v>25</v>
      </c>
      <c r="H778" t="s">
        <v>34</v>
      </c>
      <c r="I778" t="s">
        <v>42</v>
      </c>
      <c r="J778" t="s">
        <v>28</v>
      </c>
      <c r="K778" t="s">
        <v>67</v>
      </c>
      <c r="L778" t="s">
        <v>101</v>
      </c>
      <c r="M778">
        <v>146</v>
      </c>
      <c r="N778">
        <v>4</v>
      </c>
      <c r="O778">
        <v>0</v>
      </c>
      <c r="P778">
        <v>2</v>
      </c>
      <c r="Q778" t="s">
        <v>31</v>
      </c>
      <c r="R778">
        <v>240</v>
      </c>
      <c r="S778">
        <v>48</v>
      </c>
      <c r="T778" t="s">
        <v>63</v>
      </c>
      <c r="U778" t="s">
        <v>63</v>
      </c>
      <c r="V778">
        <v>2026</v>
      </c>
      <c r="W778">
        <v>1</v>
      </c>
      <c r="X778" t="s">
        <v>1414</v>
      </c>
      <c r="Y778" s="6">
        <v>46023</v>
      </c>
      <c r="Z778" t="s">
        <v>1413</v>
      </c>
      <c r="AA778" t="s">
        <v>31</v>
      </c>
      <c r="AB778" t="s">
        <v>63</v>
      </c>
      <c r="AC778" t="s">
        <v>23</v>
      </c>
      <c r="AD778">
        <v>1</v>
      </c>
      <c r="AE778">
        <v>0</v>
      </c>
      <c r="AF778">
        <v>1</v>
      </c>
      <c r="AG778">
        <v>0</v>
      </c>
      <c r="AH778">
        <v>0</v>
      </c>
      <c r="AI778">
        <v>1</v>
      </c>
      <c r="AJ778">
        <v>1</v>
      </c>
    </row>
    <row r="779" spans="1:36">
      <c r="A779" t="s">
        <v>937</v>
      </c>
      <c r="B779">
        <v>30.47</v>
      </c>
      <c r="C779" s="7">
        <v>46239.815972222219</v>
      </c>
      <c r="D779" s="7">
        <v>46241.085594016207</v>
      </c>
      <c r="E779" t="s">
        <v>23</v>
      </c>
      <c r="F779" t="s">
        <v>50</v>
      </c>
      <c r="G779" t="s">
        <v>41</v>
      </c>
      <c r="H779" t="s">
        <v>26</v>
      </c>
      <c r="I779" t="s">
        <v>35</v>
      </c>
      <c r="J779" t="s">
        <v>28</v>
      </c>
      <c r="K779" t="s">
        <v>52</v>
      </c>
      <c r="L779" t="s">
        <v>30</v>
      </c>
      <c r="M779">
        <v>52</v>
      </c>
      <c r="N779">
        <v>4</v>
      </c>
      <c r="O779">
        <v>0</v>
      </c>
      <c r="P779">
        <v>7</v>
      </c>
      <c r="Q779" t="s">
        <v>31</v>
      </c>
      <c r="R779">
        <v>120</v>
      </c>
      <c r="S779">
        <v>24</v>
      </c>
      <c r="T779" t="s">
        <v>63</v>
      </c>
      <c r="U779" t="s">
        <v>31</v>
      </c>
      <c r="V779">
        <v>2026</v>
      </c>
      <c r="W779">
        <v>8</v>
      </c>
      <c r="X779" t="s">
        <v>1417</v>
      </c>
      <c r="Y779" s="6">
        <v>46235</v>
      </c>
      <c r="Z779" t="s">
        <v>1413</v>
      </c>
      <c r="AA779" t="s">
        <v>31</v>
      </c>
      <c r="AB779" t="s">
        <v>63</v>
      </c>
      <c r="AC779" t="s">
        <v>23</v>
      </c>
      <c r="AD779">
        <v>1</v>
      </c>
      <c r="AE779">
        <v>0</v>
      </c>
      <c r="AF779">
        <v>1</v>
      </c>
      <c r="AG779">
        <v>0</v>
      </c>
      <c r="AH779">
        <v>0</v>
      </c>
      <c r="AI779">
        <v>1</v>
      </c>
      <c r="AJ779">
        <v>0</v>
      </c>
    </row>
    <row r="780" spans="1:36">
      <c r="A780" t="s">
        <v>938</v>
      </c>
      <c r="B780">
        <v>12.65</v>
      </c>
      <c r="C780" s="7">
        <v>46149.62222222222</v>
      </c>
      <c r="D780" s="7">
        <v>46150.14928633102</v>
      </c>
      <c r="E780" t="s">
        <v>23</v>
      </c>
      <c r="F780" t="s">
        <v>50</v>
      </c>
      <c r="G780" t="s">
        <v>51</v>
      </c>
      <c r="H780" t="s">
        <v>26</v>
      </c>
      <c r="I780" t="s">
        <v>27</v>
      </c>
      <c r="J780" t="s">
        <v>28</v>
      </c>
      <c r="K780" t="s">
        <v>29</v>
      </c>
      <c r="L780" t="s">
        <v>55</v>
      </c>
      <c r="M780">
        <v>60</v>
      </c>
      <c r="N780">
        <v>4</v>
      </c>
      <c r="O780">
        <v>0</v>
      </c>
      <c r="P780">
        <v>4</v>
      </c>
      <c r="Q780" t="s">
        <v>31</v>
      </c>
      <c r="R780">
        <v>120</v>
      </c>
      <c r="S780">
        <v>24</v>
      </c>
      <c r="T780" t="s">
        <v>63</v>
      </c>
      <c r="U780" t="s">
        <v>63</v>
      </c>
      <c r="V780">
        <v>2026</v>
      </c>
      <c r="W780">
        <v>5</v>
      </c>
      <c r="X780" t="s">
        <v>1416</v>
      </c>
      <c r="Y780" s="6">
        <v>46143</v>
      </c>
      <c r="Z780" t="s">
        <v>1413</v>
      </c>
      <c r="AA780" t="s">
        <v>31</v>
      </c>
      <c r="AB780" t="s">
        <v>63</v>
      </c>
      <c r="AC780" t="s">
        <v>23</v>
      </c>
      <c r="AD780">
        <v>1</v>
      </c>
      <c r="AE780">
        <v>0</v>
      </c>
      <c r="AF780">
        <v>1</v>
      </c>
      <c r="AG780">
        <v>0</v>
      </c>
      <c r="AH780">
        <v>0</v>
      </c>
      <c r="AI780">
        <v>1</v>
      </c>
      <c r="AJ780">
        <v>1</v>
      </c>
    </row>
    <row r="781" spans="1:36">
      <c r="A781" t="s">
        <v>939</v>
      </c>
      <c r="B781">
        <v>7.7</v>
      </c>
      <c r="C781" s="7">
        <v>46099.950694444444</v>
      </c>
      <c r="D781" s="7">
        <v>46100.271319918982</v>
      </c>
      <c r="E781" t="s">
        <v>23</v>
      </c>
      <c r="F781" t="s">
        <v>40</v>
      </c>
      <c r="G781" t="s">
        <v>25</v>
      </c>
      <c r="H781" t="s">
        <v>66</v>
      </c>
      <c r="I781" t="s">
        <v>27</v>
      </c>
      <c r="J781" t="s">
        <v>28</v>
      </c>
      <c r="K781" t="s">
        <v>52</v>
      </c>
      <c r="L781" t="s">
        <v>101</v>
      </c>
      <c r="M781">
        <v>55</v>
      </c>
      <c r="N781">
        <v>5</v>
      </c>
      <c r="O781">
        <v>0</v>
      </c>
      <c r="P781">
        <v>5</v>
      </c>
      <c r="Q781" t="s">
        <v>31</v>
      </c>
      <c r="R781">
        <v>30</v>
      </c>
      <c r="S781">
        <v>8</v>
      </c>
      <c r="T781" t="s">
        <v>31</v>
      </c>
      <c r="U781" t="s">
        <v>63</v>
      </c>
      <c r="V781">
        <v>2026</v>
      </c>
      <c r="W781">
        <v>3</v>
      </c>
      <c r="X781" t="s">
        <v>1423</v>
      </c>
      <c r="Y781" s="6">
        <v>46082</v>
      </c>
      <c r="Z781" t="s">
        <v>1413</v>
      </c>
      <c r="AA781" t="s">
        <v>31</v>
      </c>
      <c r="AB781" t="s">
        <v>63</v>
      </c>
      <c r="AC781" t="s">
        <v>23</v>
      </c>
      <c r="AD781">
        <v>1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1</v>
      </c>
    </row>
    <row r="782" spans="1:36">
      <c r="A782" t="s">
        <v>940</v>
      </c>
      <c r="B782">
        <v>5.21</v>
      </c>
      <c r="C782" s="7">
        <v>46212.715277777781</v>
      </c>
      <c r="D782" s="7">
        <v>46212.932542800925</v>
      </c>
      <c r="E782" t="s">
        <v>23</v>
      </c>
      <c r="F782" t="s">
        <v>24</v>
      </c>
      <c r="G782" t="s">
        <v>25</v>
      </c>
      <c r="H782" t="s">
        <v>66</v>
      </c>
      <c r="I782" t="s">
        <v>27</v>
      </c>
      <c r="J782" t="s">
        <v>36</v>
      </c>
      <c r="K782" t="s">
        <v>37</v>
      </c>
      <c r="L782" t="s">
        <v>93</v>
      </c>
      <c r="M782">
        <v>12</v>
      </c>
      <c r="N782">
        <v>4</v>
      </c>
      <c r="O782">
        <v>2</v>
      </c>
      <c r="P782">
        <v>8</v>
      </c>
      <c r="Q782" t="s">
        <v>31</v>
      </c>
      <c r="R782">
        <v>15</v>
      </c>
      <c r="S782">
        <v>4</v>
      </c>
      <c r="T782" t="s">
        <v>63</v>
      </c>
      <c r="U782" t="s">
        <v>31</v>
      </c>
      <c r="V782">
        <v>2026</v>
      </c>
      <c r="W782">
        <v>7</v>
      </c>
      <c r="X782" t="s">
        <v>1422</v>
      </c>
      <c r="Y782" s="6">
        <v>46204</v>
      </c>
      <c r="Z782" t="s">
        <v>1413</v>
      </c>
      <c r="AA782" t="s">
        <v>63</v>
      </c>
      <c r="AB782" t="s">
        <v>63</v>
      </c>
      <c r="AC782" t="s">
        <v>23</v>
      </c>
      <c r="AD782">
        <v>1</v>
      </c>
      <c r="AE782">
        <v>0</v>
      </c>
      <c r="AF782">
        <v>1</v>
      </c>
      <c r="AG782">
        <v>1</v>
      </c>
      <c r="AH782">
        <v>0</v>
      </c>
      <c r="AI782">
        <v>1</v>
      </c>
      <c r="AJ782">
        <v>0</v>
      </c>
    </row>
    <row r="783" spans="1:36">
      <c r="A783" t="s">
        <v>941</v>
      </c>
      <c r="B783">
        <v>6.74</v>
      </c>
      <c r="C783" s="7">
        <v>46215.449305555558</v>
      </c>
      <c r="D783" s="7">
        <v>46215.730034699074</v>
      </c>
      <c r="E783" t="s">
        <v>23</v>
      </c>
      <c r="F783" t="s">
        <v>40</v>
      </c>
      <c r="G783" t="s">
        <v>25</v>
      </c>
      <c r="H783" t="s">
        <v>54</v>
      </c>
      <c r="I783" t="s">
        <v>35</v>
      </c>
      <c r="J783" t="s">
        <v>48</v>
      </c>
      <c r="K783" t="s">
        <v>52</v>
      </c>
      <c r="L783" t="s">
        <v>71</v>
      </c>
      <c r="M783">
        <v>55</v>
      </c>
      <c r="N783">
        <v>4</v>
      </c>
      <c r="O783">
        <v>1</v>
      </c>
      <c r="P783">
        <v>11</v>
      </c>
      <c r="Q783" t="s">
        <v>31</v>
      </c>
      <c r="R783">
        <v>30</v>
      </c>
      <c r="S783">
        <v>8</v>
      </c>
      <c r="T783" t="s">
        <v>31</v>
      </c>
      <c r="U783" t="s">
        <v>63</v>
      </c>
      <c r="V783">
        <v>2026</v>
      </c>
      <c r="W783">
        <v>7</v>
      </c>
      <c r="X783" t="s">
        <v>1422</v>
      </c>
      <c r="Y783" s="6">
        <v>46204</v>
      </c>
      <c r="Z783" t="s">
        <v>1413</v>
      </c>
      <c r="AA783" t="s">
        <v>63</v>
      </c>
      <c r="AB783" t="s">
        <v>63</v>
      </c>
      <c r="AC783" t="s">
        <v>23</v>
      </c>
      <c r="AD783">
        <v>1</v>
      </c>
      <c r="AE783">
        <v>0</v>
      </c>
      <c r="AF783">
        <v>1</v>
      </c>
      <c r="AG783">
        <v>1</v>
      </c>
      <c r="AH783">
        <v>0</v>
      </c>
      <c r="AI783">
        <v>0</v>
      </c>
      <c r="AJ783">
        <v>1</v>
      </c>
    </row>
    <row r="784" spans="1:36">
      <c r="A784" t="s">
        <v>942</v>
      </c>
      <c r="B784">
        <v>11.54</v>
      </c>
      <c r="C784" s="7">
        <v>46251.297222222223</v>
      </c>
      <c r="D784" s="7">
        <v>46251.778098935189</v>
      </c>
      <c r="E784" t="s">
        <v>23</v>
      </c>
      <c r="F784" t="s">
        <v>50</v>
      </c>
      <c r="G784" t="s">
        <v>41</v>
      </c>
      <c r="H784" t="s">
        <v>26</v>
      </c>
      <c r="I784" t="s">
        <v>42</v>
      </c>
      <c r="J784" t="s">
        <v>36</v>
      </c>
      <c r="K784" t="s">
        <v>29</v>
      </c>
      <c r="L784" t="s">
        <v>68</v>
      </c>
      <c r="M784">
        <v>149</v>
      </c>
      <c r="N784">
        <v>4</v>
      </c>
      <c r="O784">
        <v>0</v>
      </c>
      <c r="P784">
        <v>2</v>
      </c>
      <c r="Q784" t="s">
        <v>31</v>
      </c>
      <c r="R784">
        <v>120</v>
      </c>
      <c r="S784">
        <v>24</v>
      </c>
      <c r="T784" t="s">
        <v>31</v>
      </c>
      <c r="U784" t="s">
        <v>63</v>
      </c>
      <c r="V784">
        <v>2026</v>
      </c>
      <c r="W784">
        <v>8</v>
      </c>
      <c r="X784" t="s">
        <v>1417</v>
      </c>
      <c r="Y784" s="6">
        <v>46235</v>
      </c>
      <c r="Z784" t="s">
        <v>1413</v>
      </c>
      <c r="AA784" t="s">
        <v>31</v>
      </c>
      <c r="AB784" t="s">
        <v>63</v>
      </c>
      <c r="AC784" t="s">
        <v>23</v>
      </c>
      <c r="AD784">
        <v>1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1</v>
      </c>
    </row>
    <row r="785" spans="1:36">
      <c r="A785" t="s">
        <v>943</v>
      </c>
      <c r="B785">
        <v>26.45</v>
      </c>
      <c r="C785" s="7">
        <v>46256.098611111112</v>
      </c>
      <c r="D785" s="7">
        <v>46257.200522870371</v>
      </c>
      <c r="E785" t="s">
        <v>23</v>
      </c>
      <c r="F785" t="s">
        <v>33</v>
      </c>
      <c r="G785" t="s">
        <v>65</v>
      </c>
      <c r="H785" t="s">
        <v>26</v>
      </c>
      <c r="I785" t="s">
        <v>27</v>
      </c>
      <c r="J785" t="s">
        <v>48</v>
      </c>
      <c r="K785" t="s">
        <v>37</v>
      </c>
      <c r="L785" t="s">
        <v>85</v>
      </c>
      <c r="M785">
        <v>129</v>
      </c>
      <c r="N785">
        <v>4</v>
      </c>
      <c r="O785">
        <v>0</v>
      </c>
      <c r="P785">
        <v>4</v>
      </c>
      <c r="Q785" t="s">
        <v>31</v>
      </c>
      <c r="R785">
        <v>240</v>
      </c>
      <c r="S785">
        <v>48</v>
      </c>
      <c r="T785" t="s">
        <v>63</v>
      </c>
      <c r="U785" t="s">
        <v>63</v>
      </c>
      <c r="V785">
        <v>2026</v>
      </c>
      <c r="W785">
        <v>8</v>
      </c>
      <c r="X785" t="s">
        <v>1417</v>
      </c>
      <c r="Y785" s="6">
        <v>46235</v>
      </c>
      <c r="Z785" t="s">
        <v>1413</v>
      </c>
      <c r="AA785" t="s">
        <v>31</v>
      </c>
      <c r="AB785" t="s">
        <v>63</v>
      </c>
      <c r="AC785" t="s">
        <v>23</v>
      </c>
      <c r="AD785">
        <v>1</v>
      </c>
      <c r="AE785">
        <v>0</v>
      </c>
      <c r="AF785">
        <v>1</v>
      </c>
      <c r="AG785">
        <v>0</v>
      </c>
      <c r="AH785">
        <v>0</v>
      </c>
      <c r="AI785">
        <v>1</v>
      </c>
      <c r="AJ785">
        <v>1</v>
      </c>
    </row>
    <row r="786" spans="1:36">
      <c r="A786" t="s">
        <v>944</v>
      </c>
      <c r="B786">
        <v>5.18</v>
      </c>
      <c r="C786" s="7">
        <v>46174.03125</v>
      </c>
      <c r="D786" s="7">
        <v>46174.247044166666</v>
      </c>
      <c r="E786" t="s">
        <v>23</v>
      </c>
      <c r="F786" t="s">
        <v>50</v>
      </c>
      <c r="G786" t="s">
        <v>25</v>
      </c>
      <c r="H786" t="s">
        <v>66</v>
      </c>
      <c r="I786" t="s">
        <v>42</v>
      </c>
      <c r="J786" t="s">
        <v>43</v>
      </c>
      <c r="K786" t="s">
        <v>52</v>
      </c>
      <c r="L786" t="s">
        <v>55</v>
      </c>
      <c r="M786">
        <v>72</v>
      </c>
      <c r="N786">
        <v>4</v>
      </c>
      <c r="O786">
        <v>1</v>
      </c>
      <c r="P786">
        <v>7</v>
      </c>
      <c r="Q786" t="s">
        <v>31</v>
      </c>
      <c r="R786">
        <v>120</v>
      </c>
      <c r="S786">
        <v>24</v>
      </c>
      <c r="T786" t="s">
        <v>63</v>
      </c>
      <c r="U786" t="s">
        <v>63</v>
      </c>
      <c r="V786">
        <v>2026</v>
      </c>
      <c r="W786">
        <v>6</v>
      </c>
      <c r="X786" t="s">
        <v>1421</v>
      </c>
      <c r="Y786" s="6">
        <v>46174</v>
      </c>
      <c r="Z786" t="s">
        <v>1413</v>
      </c>
      <c r="AA786" t="s">
        <v>63</v>
      </c>
      <c r="AB786" t="s">
        <v>63</v>
      </c>
      <c r="AC786" t="s">
        <v>23</v>
      </c>
      <c r="AD786">
        <v>1</v>
      </c>
      <c r="AE786">
        <v>0</v>
      </c>
      <c r="AF786">
        <v>1</v>
      </c>
      <c r="AG786">
        <v>1</v>
      </c>
      <c r="AH786">
        <v>0</v>
      </c>
      <c r="AI786">
        <v>1</v>
      </c>
      <c r="AJ786">
        <v>1</v>
      </c>
    </row>
    <row r="787" spans="1:36">
      <c r="A787" t="s">
        <v>945</v>
      </c>
      <c r="B787">
        <v>31.51</v>
      </c>
      <c r="C787" s="7">
        <v>46239.612500000003</v>
      </c>
      <c r="D787" s="7">
        <v>46240.925214733797</v>
      </c>
      <c r="E787" t="s">
        <v>23</v>
      </c>
      <c r="F787" t="s">
        <v>40</v>
      </c>
      <c r="G787" t="s">
        <v>51</v>
      </c>
      <c r="H787" t="s">
        <v>26</v>
      </c>
      <c r="I787" t="s">
        <v>27</v>
      </c>
      <c r="J787" t="s">
        <v>28</v>
      </c>
      <c r="K787" t="s">
        <v>37</v>
      </c>
      <c r="L787" t="s">
        <v>44</v>
      </c>
      <c r="M787">
        <v>33</v>
      </c>
      <c r="N787">
        <v>4</v>
      </c>
      <c r="O787">
        <v>0</v>
      </c>
      <c r="P787">
        <v>5</v>
      </c>
      <c r="Q787" t="s">
        <v>63</v>
      </c>
      <c r="R787">
        <v>30</v>
      </c>
      <c r="S787">
        <v>8</v>
      </c>
      <c r="T787" t="s">
        <v>31</v>
      </c>
      <c r="U787" t="s">
        <v>31</v>
      </c>
      <c r="V787">
        <v>2026</v>
      </c>
      <c r="W787">
        <v>8</v>
      </c>
      <c r="X787" t="s">
        <v>1417</v>
      </c>
      <c r="Y787" s="6">
        <v>46235</v>
      </c>
      <c r="Z787" t="s">
        <v>1413</v>
      </c>
      <c r="AA787" t="s">
        <v>31</v>
      </c>
      <c r="AB787" t="s">
        <v>63</v>
      </c>
      <c r="AC787" t="s">
        <v>23</v>
      </c>
      <c r="AD787">
        <v>1</v>
      </c>
      <c r="AE787">
        <v>0</v>
      </c>
      <c r="AF787">
        <v>1</v>
      </c>
      <c r="AG787">
        <v>0</v>
      </c>
      <c r="AH787">
        <v>1</v>
      </c>
      <c r="AI787">
        <v>0</v>
      </c>
      <c r="AJ787">
        <v>0</v>
      </c>
    </row>
    <row r="788" spans="1:36">
      <c r="A788" t="s">
        <v>946</v>
      </c>
      <c r="B788">
        <v>19.03</v>
      </c>
      <c r="C788" s="7">
        <v>46060.883333333331</v>
      </c>
      <c r="D788" s="7">
        <v>46061.676274826386</v>
      </c>
      <c r="E788" t="s">
        <v>23</v>
      </c>
      <c r="F788" t="s">
        <v>50</v>
      </c>
      <c r="G788" t="s">
        <v>51</v>
      </c>
      <c r="H788" t="s">
        <v>75</v>
      </c>
      <c r="I788" t="s">
        <v>35</v>
      </c>
      <c r="J788" t="s">
        <v>48</v>
      </c>
      <c r="K788" t="s">
        <v>52</v>
      </c>
      <c r="L788" t="s">
        <v>30</v>
      </c>
      <c r="M788">
        <v>181</v>
      </c>
      <c r="N788">
        <v>4</v>
      </c>
      <c r="O788">
        <v>0</v>
      </c>
      <c r="P788">
        <v>6</v>
      </c>
      <c r="Q788" t="s">
        <v>31</v>
      </c>
      <c r="R788">
        <v>120</v>
      </c>
      <c r="S788">
        <v>24</v>
      </c>
      <c r="T788" t="s">
        <v>31</v>
      </c>
      <c r="U788" t="s">
        <v>63</v>
      </c>
      <c r="V788">
        <v>2026</v>
      </c>
      <c r="W788">
        <v>2</v>
      </c>
      <c r="X788" t="s">
        <v>1419</v>
      </c>
      <c r="Y788" s="6">
        <v>46054</v>
      </c>
      <c r="Z788" t="s">
        <v>1413</v>
      </c>
      <c r="AA788" t="s">
        <v>31</v>
      </c>
      <c r="AB788" t="s">
        <v>63</v>
      </c>
      <c r="AC788" t="s">
        <v>23</v>
      </c>
      <c r="AD788">
        <v>1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1</v>
      </c>
    </row>
    <row r="789" spans="1:36">
      <c r="A789" t="s">
        <v>947</v>
      </c>
      <c r="B789">
        <v>15.67</v>
      </c>
      <c r="C789" s="7">
        <v>46070.372916666667</v>
      </c>
      <c r="D789" s="7">
        <v>46071.025945752313</v>
      </c>
      <c r="E789" t="s">
        <v>23</v>
      </c>
      <c r="F789" t="s">
        <v>50</v>
      </c>
      <c r="G789" t="s">
        <v>41</v>
      </c>
      <c r="H789" t="s">
        <v>66</v>
      </c>
      <c r="I789" t="s">
        <v>35</v>
      </c>
      <c r="J789" t="s">
        <v>43</v>
      </c>
      <c r="K789" t="s">
        <v>37</v>
      </c>
      <c r="L789" t="s">
        <v>101</v>
      </c>
      <c r="M789">
        <v>308</v>
      </c>
      <c r="N789">
        <v>4</v>
      </c>
      <c r="O789">
        <v>0</v>
      </c>
      <c r="P789">
        <v>7</v>
      </c>
      <c r="Q789" t="s">
        <v>31</v>
      </c>
      <c r="R789">
        <v>120</v>
      </c>
      <c r="S789">
        <v>24</v>
      </c>
      <c r="T789" t="s">
        <v>31</v>
      </c>
      <c r="U789" t="s">
        <v>63</v>
      </c>
      <c r="V789">
        <v>2026</v>
      </c>
      <c r="W789">
        <v>2</v>
      </c>
      <c r="X789" t="s">
        <v>1419</v>
      </c>
      <c r="Y789" s="6">
        <v>46054</v>
      </c>
      <c r="Z789" t="s">
        <v>1413</v>
      </c>
      <c r="AA789" t="s">
        <v>31</v>
      </c>
      <c r="AB789" t="s">
        <v>63</v>
      </c>
      <c r="AC789" t="s">
        <v>23</v>
      </c>
      <c r="AD789">
        <v>1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1</v>
      </c>
    </row>
    <row r="790" spans="1:36">
      <c r="A790" t="s">
        <v>948</v>
      </c>
      <c r="C790" s="7">
        <v>46039.756249999999</v>
      </c>
      <c r="D790" s="7"/>
      <c r="E790" t="s">
        <v>57</v>
      </c>
      <c r="F790" t="s">
        <v>50</v>
      </c>
      <c r="G790" t="s">
        <v>65</v>
      </c>
      <c r="H790" t="s">
        <v>66</v>
      </c>
      <c r="I790" t="s">
        <v>42</v>
      </c>
      <c r="J790" t="s">
        <v>36</v>
      </c>
      <c r="K790" t="s">
        <v>37</v>
      </c>
      <c r="L790" t="s">
        <v>30</v>
      </c>
      <c r="M790">
        <v>67</v>
      </c>
      <c r="O790">
        <v>0</v>
      </c>
      <c r="P790">
        <v>3</v>
      </c>
      <c r="Q790" t="s">
        <v>31</v>
      </c>
      <c r="R790">
        <v>120</v>
      </c>
      <c r="S790">
        <v>24</v>
      </c>
      <c r="T790" t="s">
        <v>63</v>
      </c>
      <c r="U790" t="s">
        <v>74</v>
      </c>
      <c r="V790">
        <v>2026</v>
      </c>
      <c r="W790">
        <v>1</v>
      </c>
      <c r="X790" t="s">
        <v>1414</v>
      </c>
      <c r="Y790" s="6">
        <v>46023</v>
      </c>
      <c r="Z790" t="s">
        <v>1420</v>
      </c>
      <c r="AA790" t="s">
        <v>31</v>
      </c>
      <c r="AB790" t="s">
        <v>31</v>
      </c>
      <c r="AC790" t="s">
        <v>57</v>
      </c>
      <c r="AD790">
        <v>1</v>
      </c>
      <c r="AE790">
        <v>1</v>
      </c>
      <c r="AF790">
        <v>0</v>
      </c>
      <c r="AG790">
        <v>0</v>
      </c>
      <c r="AH790">
        <v>0</v>
      </c>
      <c r="AI790">
        <v>1</v>
      </c>
    </row>
    <row r="791" spans="1:36">
      <c r="A791" t="s">
        <v>949</v>
      </c>
      <c r="B791">
        <v>3.96</v>
      </c>
      <c r="C791" s="7">
        <v>46173.588888888888</v>
      </c>
      <c r="D791" s="7">
        <v>46173.753974409723</v>
      </c>
      <c r="E791" t="s">
        <v>23</v>
      </c>
      <c r="F791" t="s">
        <v>40</v>
      </c>
      <c r="G791" t="s">
        <v>41</v>
      </c>
      <c r="H791" t="s">
        <v>26</v>
      </c>
      <c r="I791" t="s">
        <v>27</v>
      </c>
      <c r="J791" t="s">
        <v>36</v>
      </c>
      <c r="K791" t="s">
        <v>52</v>
      </c>
      <c r="L791" t="s">
        <v>38</v>
      </c>
      <c r="M791">
        <v>37</v>
      </c>
      <c r="N791">
        <v>4</v>
      </c>
      <c r="O791">
        <v>1</v>
      </c>
      <c r="P791">
        <v>8</v>
      </c>
      <c r="Q791" t="s">
        <v>31</v>
      </c>
      <c r="R791">
        <v>30</v>
      </c>
      <c r="S791">
        <v>8</v>
      </c>
      <c r="T791" t="s">
        <v>31</v>
      </c>
      <c r="U791" t="s">
        <v>63</v>
      </c>
      <c r="V791">
        <v>2026</v>
      </c>
      <c r="W791">
        <v>5</v>
      </c>
      <c r="X791" t="s">
        <v>1416</v>
      </c>
      <c r="Y791" s="6">
        <v>46143</v>
      </c>
      <c r="Z791" t="s">
        <v>1413</v>
      </c>
      <c r="AA791" t="s">
        <v>63</v>
      </c>
      <c r="AB791" t="s">
        <v>63</v>
      </c>
      <c r="AC791" t="s">
        <v>23</v>
      </c>
      <c r="AD791">
        <v>1</v>
      </c>
      <c r="AE791">
        <v>0</v>
      </c>
      <c r="AF791">
        <v>1</v>
      </c>
      <c r="AG791">
        <v>1</v>
      </c>
      <c r="AH791">
        <v>0</v>
      </c>
      <c r="AI791">
        <v>0</v>
      </c>
      <c r="AJ791">
        <v>1</v>
      </c>
    </row>
    <row r="792" spans="1:36">
      <c r="A792" t="s">
        <v>950</v>
      </c>
      <c r="B792">
        <v>13.19</v>
      </c>
      <c r="C792" s="7">
        <v>46225.200694444444</v>
      </c>
      <c r="D792" s="7">
        <v>46225.750278900465</v>
      </c>
      <c r="E792" t="s">
        <v>23</v>
      </c>
      <c r="F792" t="s">
        <v>50</v>
      </c>
      <c r="G792" t="s">
        <v>41</v>
      </c>
      <c r="H792" t="s">
        <v>26</v>
      </c>
      <c r="I792" t="s">
        <v>35</v>
      </c>
      <c r="J792" t="s">
        <v>48</v>
      </c>
      <c r="K792" t="s">
        <v>37</v>
      </c>
      <c r="L792" t="s">
        <v>38</v>
      </c>
      <c r="M792">
        <v>146</v>
      </c>
      <c r="N792">
        <v>4</v>
      </c>
      <c r="O792">
        <v>0</v>
      </c>
      <c r="P792">
        <v>6</v>
      </c>
      <c r="Q792" t="s">
        <v>31</v>
      </c>
      <c r="R792">
        <v>120</v>
      </c>
      <c r="S792">
        <v>24</v>
      </c>
      <c r="T792" t="s">
        <v>31</v>
      </c>
      <c r="U792" t="s">
        <v>63</v>
      </c>
      <c r="V792">
        <v>2026</v>
      </c>
      <c r="W792">
        <v>7</v>
      </c>
      <c r="X792" t="s">
        <v>1422</v>
      </c>
      <c r="Y792" s="6">
        <v>46204</v>
      </c>
      <c r="Z792" t="s">
        <v>1413</v>
      </c>
      <c r="AA792" t="s">
        <v>31</v>
      </c>
      <c r="AB792" t="s">
        <v>63</v>
      </c>
      <c r="AC792" t="s">
        <v>23</v>
      </c>
      <c r="AD792">
        <v>1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1</v>
      </c>
    </row>
    <row r="793" spans="1:36">
      <c r="A793" t="s">
        <v>951</v>
      </c>
      <c r="B793">
        <v>5.93</v>
      </c>
      <c r="C793" s="7">
        <v>46155.659722222219</v>
      </c>
      <c r="D793" s="7">
        <v>46155.906737777776</v>
      </c>
      <c r="E793" t="s">
        <v>23</v>
      </c>
      <c r="F793" t="s">
        <v>40</v>
      </c>
      <c r="G793" t="s">
        <v>51</v>
      </c>
      <c r="H793" t="s">
        <v>26</v>
      </c>
      <c r="I793" t="s">
        <v>35</v>
      </c>
      <c r="J793" t="s">
        <v>28</v>
      </c>
      <c r="K793" t="s">
        <v>29</v>
      </c>
      <c r="L793" t="s">
        <v>101</v>
      </c>
      <c r="M793">
        <v>54</v>
      </c>
      <c r="N793">
        <v>4</v>
      </c>
      <c r="O793">
        <v>1</v>
      </c>
      <c r="P793">
        <v>9</v>
      </c>
      <c r="Q793" t="s">
        <v>31</v>
      </c>
      <c r="R793">
        <v>30</v>
      </c>
      <c r="S793">
        <v>8</v>
      </c>
      <c r="T793" t="s">
        <v>31</v>
      </c>
      <c r="U793" t="s">
        <v>63</v>
      </c>
      <c r="V793">
        <v>2026</v>
      </c>
      <c r="W793">
        <v>5</v>
      </c>
      <c r="X793" t="s">
        <v>1416</v>
      </c>
      <c r="Y793" s="6">
        <v>46143</v>
      </c>
      <c r="Z793" t="s">
        <v>1413</v>
      </c>
      <c r="AA793" t="s">
        <v>63</v>
      </c>
      <c r="AB793" t="s">
        <v>63</v>
      </c>
      <c r="AC793" t="s">
        <v>23</v>
      </c>
      <c r="AD793">
        <v>1</v>
      </c>
      <c r="AE793">
        <v>0</v>
      </c>
      <c r="AF793">
        <v>1</v>
      </c>
      <c r="AG793">
        <v>1</v>
      </c>
      <c r="AH793">
        <v>0</v>
      </c>
      <c r="AI793">
        <v>0</v>
      </c>
      <c r="AJ793">
        <v>1</v>
      </c>
    </row>
    <row r="794" spans="1:36">
      <c r="A794" t="s">
        <v>952</v>
      </c>
      <c r="B794">
        <v>46.98</v>
      </c>
      <c r="C794" s="7">
        <v>46047.477777777778</v>
      </c>
      <c r="D794" s="7">
        <v>46049.435478495368</v>
      </c>
      <c r="E794" t="s">
        <v>23</v>
      </c>
      <c r="F794" t="s">
        <v>33</v>
      </c>
      <c r="G794" t="s">
        <v>25</v>
      </c>
      <c r="H794" t="s">
        <v>54</v>
      </c>
      <c r="I794" t="s">
        <v>42</v>
      </c>
      <c r="J794" t="s">
        <v>43</v>
      </c>
      <c r="K794" t="s">
        <v>76</v>
      </c>
      <c r="L794" t="s">
        <v>101</v>
      </c>
      <c r="M794">
        <v>339</v>
      </c>
      <c r="N794">
        <v>2</v>
      </c>
      <c r="O794">
        <v>1</v>
      </c>
      <c r="P794">
        <v>7</v>
      </c>
      <c r="Q794" t="s">
        <v>31</v>
      </c>
      <c r="R794">
        <v>240</v>
      </c>
      <c r="S794">
        <v>48</v>
      </c>
      <c r="T794" t="s">
        <v>31</v>
      </c>
      <c r="U794" t="s">
        <v>63</v>
      </c>
      <c r="V794">
        <v>2026</v>
      </c>
      <c r="W794">
        <v>1</v>
      </c>
      <c r="X794" t="s">
        <v>1414</v>
      </c>
      <c r="Y794" s="6">
        <v>46023</v>
      </c>
      <c r="Z794" t="s">
        <v>1415</v>
      </c>
      <c r="AA794" t="s">
        <v>63</v>
      </c>
      <c r="AB794" t="s">
        <v>63</v>
      </c>
      <c r="AC794" t="s">
        <v>23</v>
      </c>
      <c r="AD794">
        <v>1</v>
      </c>
      <c r="AE794">
        <v>0</v>
      </c>
      <c r="AF794">
        <v>1</v>
      </c>
      <c r="AG794">
        <v>1</v>
      </c>
      <c r="AH794">
        <v>0</v>
      </c>
      <c r="AI794">
        <v>0</v>
      </c>
      <c r="AJ794">
        <v>1</v>
      </c>
    </row>
    <row r="795" spans="1:36">
      <c r="A795" t="s">
        <v>953</v>
      </c>
      <c r="B795">
        <v>23.11</v>
      </c>
      <c r="C795" s="7">
        <v>46230.133333333331</v>
      </c>
      <c r="D795" s="7">
        <v>46231.096341944445</v>
      </c>
      <c r="E795" t="s">
        <v>23</v>
      </c>
      <c r="F795" t="s">
        <v>33</v>
      </c>
      <c r="G795" t="s">
        <v>25</v>
      </c>
      <c r="H795" t="s">
        <v>54</v>
      </c>
      <c r="I795" t="s">
        <v>42</v>
      </c>
      <c r="J795" t="s">
        <v>43</v>
      </c>
      <c r="K795" t="s">
        <v>37</v>
      </c>
      <c r="L795" t="s">
        <v>71</v>
      </c>
      <c r="M795">
        <v>176</v>
      </c>
      <c r="N795">
        <v>4</v>
      </c>
      <c r="O795">
        <v>0</v>
      </c>
      <c r="P795">
        <v>3</v>
      </c>
      <c r="Q795" t="s">
        <v>31</v>
      </c>
      <c r="R795">
        <v>240</v>
      </c>
      <c r="S795">
        <v>48</v>
      </c>
      <c r="T795" t="s">
        <v>63</v>
      </c>
      <c r="U795" t="s">
        <v>63</v>
      </c>
      <c r="V795">
        <v>2026</v>
      </c>
      <c r="W795">
        <v>7</v>
      </c>
      <c r="X795" t="s">
        <v>1422</v>
      </c>
      <c r="Y795" s="6">
        <v>46204</v>
      </c>
      <c r="Z795" t="s">
        <v>1413</v>
      </c>
      <c r="AA795" t="s">
        <v>31</v>
      </c>
      <c r="AB795" t="s">
        <v>63</v>
      </c>
      <c r="AC795" t="s">
        <v>23</v>
      </c>
      <c r="AD795">
        <v>1</v>
      </c>
      <c r="AE795">
        <v>0</v>
      </c>
      <c r="AF795">
        <v>1</v>
      </c>
      <c r="AG795">
        <v>0</v>
      </c>
      <c r="AH795">
        <v>0</v>
      </c>
      <c r="AI795">
        <v>1</v>
      </c>
      <c r="AJ795">
        <v>1</v>
      </c>
    </row>
    <row r="796" spans="1:36">
      <c r="A796" t="s">
        <v>954</v>
      </c>
      <c r="B796">
        <v>29.2</v>
      </c>
      <c r="C796" s="7">
        <v>46052.613888888889</v>
      </c>
      <c r="D796" s="7">
        <v>46053.830587511577</v>
      </c>
      <c r="E796" t="s">
        <v>23</v>
      </c>
      <c r="F796" t="s">
        <v>50</v>
      </c>
      <c r="G796" t="s">
        <v>41</v>
      </c>
      <c r="H796" t="s">
        <v>34</v>
      </c>
      <c r="I796" t="s">
        <v>42</v>
      </c>
      <c r="J796" t="s">
        <v>36</v>
      </c>
      <c r="K796" t="s">
        <v>58</v>
      </c>
      <c r="L796" t="s">
        <v>101</v>
      </c>
      <c r="M796">
        <v>155</v>
      </c>
      <c r="N796">
        <v>3</v>
      </c>
      <c r="O796">
        <v>0</v>
      </c>
      <c r="P796">
        <v>2</v>
      </c>
      <c r="Q796" t="s">
        <v>31</v>
      </c>
      <c r="R796">
        <v>120</v>
      </c>
      <c r="S796">
        <v>24</v>
      </c>
      <c r="T796" t="s">
        <v>31</v>
      </c>
      <c r="U796" t="s">
        <v>31</v>
      </c>
      <c r="V796">
        <v>2026</v>
      </c>
      <c r="W796">
        <v>1</v>
      </c>
      <c r="X796" t="s">
        <v>1414</v>
      </c>
      <c r="Y796" s="6">
        <v>46023</v>
      </c>
      <c r="Z796" t="s">
        <v>1418</v>
      </c>
      <c r="AA796" t="s">
        <v>31</v>
      </c>
      <c r="AB796" t="s">
        <v>63</v>
      </c>
      <c r="AC796" t="s">
        <v>23</v>
      </c>
      <c r="AD796">
        <v>1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</row>
    <row r="797" spans="1:36">
      <c r="A797" t="s">
        <v>955</v>
      </c>
      <c r="B797">
        <v>19.12</v>
      </c>
      <c r="C797" s="7">
        <v>46153.993055555555</v>
      </c>
      <c r="D797" s="7">
        <v>46154.789560474535</v>
      </c>
      <c r="E797" t="s">
        <v>23</v>
      </c>
      <c r="F797" t="s">
        <v>50</v>
      </c>
      <c r="G797" t="s">
        <v>51</v>
      </c>
      <c r="H797" t="s">
        <v>66</v>
      </c>
      <c r="I797" t="s">
        <v>42</v>
      </c>
      <c r="J797" t="s">
        <v>36</v>
      </c>
      <c r="K797" t="s">
        <v>37</v>
      </c>
      <c r="L797" t="s">
        <v>38</v>
      </c>
      <c r="M797">
        <v>103</v>
      </c>
      <c r="N797">
        <v>3</v>
      </c>
      <c r="O797">
        <v>1</v>
      </c>
      <c r="P797">
        <v>10</v>
      </c>
      <c r="Q797" t="s">
        <v>31</v>
      </c>
      <c r="R797">
        <v>120</v>
      </c>
      <c r="S797">
        <v>24</v>
      </c>
      <c r="T797" t="s">
        <v>63</v>
      </c>
      <c r="U797" t="s">
        <v>63</v>
      </c>
      <c r="V797">
        <v>2026</v>
      </c>
      <c r="W797">
        <v>5</v>
      </c>
      <c r="X797" t="s">
        <v>1416</v>
      </c>
      <c r="Y797" s="6">
        <v>46143</v>
      </c>
      <c r="Z797" t="s">
        <v>1418</v>
      </c>
      <c r="AA797" t="s">
        <v>63</v>
      </c>
      <c r="AB797" t="s">
        <v>63</v>
      </c>
      <c r="AC797" t="s">
        <v>23</v>
      </c>
      <c r="AD797">
        <v>1</v>
      </c>
      <c r="AE797">
        <v>0</v>
      </c>
      <c r="AF797">
        <v>1</v>
      </c>
      <c r="AG797">
        <v>1</v>
      </c>
      <c r="AH797">
        <v>0</v>
      </c>
      <c r="AI797">
        <v>1</v>
      </c>
      <c r="AJ797">
        <v>1</v>
      </c>
    </row>
    <row r="798" spans="1:36">
      <c r="A798" t="s">
        <v>956</v>
      </c>
      <c r="B798">
        <v>39.270000000000003</v>
      </c>
      <c r="C798" s="7">
        <v>46154.304166666669</v>
      </c>
      <c r="D798" s="7">
        <v>46155.940396655089</v>
      </c>
      <c r="E798" t="s">
        <v>23</v>
      </c>
      <c r="F798" t="s">
        <v>50</v>
      </c>
      <c r="G798" t="s">
        <v>25</v>
      </c>
      <c r="H798" t="s">
        <v>26</v>
      </c>
      <c r="I798" t="s">
        <v>35</v>
      </c>
      <c r="J798" t="s">
        <v>36</v>
      </c>
      <c r="K798" t="s">
        <v>37</v>
      </c>
      <c r="L798" t="s">
        <v>30</v>
      </c>
      <c r="M798">
        <v>239</v>
      </c>
      <c r="N798">
        <v>3</v>
      </c>
      <c r="O798">
        <v>1</v>
      </c>
      <c r="P798">
        <v>8</v>
      </c>
      <c r="Q798" t="s">
        <v>31</v>
      </c>
      <c r="R798">
        <v>120</v>
      </c>
      <c r="S798">
        <v>24</v>
      </c>
      <c r="T798" t="s">
        <v>31</v>
      </c>
      <c r="U798" t="s">
        <v>31</v>
      </c>
      <c r="V798">
        <v>2026</v>
      </c>
      <c r="W798">
        <v>5</v>
      </c>
      <c r="X798" t="s">
        <v>1416</v>
      </c>
      <c r="Y798" s="6">
        <v>46143</v>
      </c>
      <c r="Z798" t="s">
        <v>1418</v>
      </c>
      <c r="AA798" t="s">
        <v>63</v>
      </c>
      <c r="AB798" t="s">
        <v>63</v>
      </c>
      <c r="AC798" t="s">
        <v>23</v>
      </c>
      <c r="AD798">
        <v>1</v>
      </c>
      <c r="AE798">
        <v>0</v>
      </c>
      <c r="AF798">
        <v>1</v>
      </c>
      <c r="AG798">
        <v>1</v>
      </c>
      <c r="AH798">
        <v>0</v>
      </c>
      <c r="AI798">
        <v>0</v>
      </c>
      <c r="AJ798">
        <v>0</v>
      </c>
    </row>
    <row r="799" spans="1:36">
      <c r="A799" t="s">
        <v>957</v>
      </c>
      <c r="B799">
        <v>64.38</v>
      </c>
      <c r="C799" s="7">
        <v>46123.991666666669</v>
      </c>
      <c r="D799" s="7">
        <v>46126.674312048614</v>
      </c>
      <c r="E799" t="s">
        <v>23</v>
      </c>
      <c r="F799" t="s">
        <v>33</v>
      </c>
      <c r="G799" t="s">
        <v>51</v>
      </c>
      <c r="H799" t="s">
        <v>75</v>
      </c>
      <c r="I799" t="s">
        <v>35</v>
      </c>
      <c r="J799" t="s">
        <v>48</v>
      </c>
      <c r="K799" t="s">
        <v>76</v>
      </c>
      <c r="L799" t="s">
        <v>93</v>
      </c>
      <c r="M799">
        <v>244</v>
      </c>
      <c r="N799">
        <v>3</v>
      </c>
      <c r="O799">
        <v>0</v>
      </c>
      <c r="P799">
        <v>7</v>
      </c>
      <c r="Q799" t="s">
        <v>31</v>
      </c>
      <c r="R799">
        <v>240</v>
      </c>
      <c r="S799">
        <v>48</v>
      </c>
      <c r="T799" t="s">
        <v>31</v>
      </c>
      <c r="U799" t="s">
        <v>31</v>
      </c>
      <c r="V799">
        <v>2026</v>
      </c>
      <c r="W799">
        <v>4</v>
      </c>
      <c r="X799" t="s">
        <v>1412</v>
      </c>
      <c r="Y799" s="6">
        <v>46113</v>
      </c>
      <c r="Z799" t="s">
        <v>1418</v>
      </c>
      <c r="AA799" t="s">
        <v>31</v>
      </c>
      <c r="AB799" t="s">
        <v>63</v>
      </c>
      <c r="AC799" t="s">
        <v>23</v>
      </c>
      <c r="AD799">
        <v>1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</row>
    <row r="800" spans="1:36">
      <c r="A800" t="s">
        <v>958</v>
      </c>
      <c r="B800">
        <v>253.6</v>
      </c>
      <c r="C800" s="7">
        <v>46030.842361111114</v>
      </c>
      <c r="D800" s="7">
        <v>46041.408900740738</v>
      </c>
      <c r="E800" t="s">
        <v>23</v>
      </c>
      <c r="F800" t="s">
        <v>33</v>
      </c>
      <c r="G800" t="s">
        <v>25</v>
      </c>
      <c r="H800" t="s">
        <v>26</v>
      </c>
      <c r="I800" t="s">
        <v>35</v>
      </c>
      <c r="J800" t="s">
        <v>36</v>
      </c>
      <c r="K800" t="s">
        <v>76</v>
      </c>
      <c r="L800" t="s">
        <v>38</v>
      </c>
      <c r="M800">
        <v>101</v>
      </c>
      <c r="N800">
        <v>4</v>
      </c>
      <c r="O800">
        <v>0</v>
      </c>
      <c r="P800">
        <v>4</v>
      </c>
      <c r="Q800" t="s">
        <v>31</v>
      </c>
      <c r="R800">
        <v>240</v>
      </c>
      <c r="S800">
        <v>48</v>
      </c>
      <c r="T800" t="s">
        <v>63</v>
      </c>
      <c r="U800" t="s">
        <v>31</v>
      </c>
      <c r="V800">
        <v>2026</v>
      </c>
      <c r="W800">
        <v>1</v>
      </c>
      <c r="X800" t="s">
        <v>1414</v>
      </c>
      <c r="Y800" s="6">
        <v>46023</v>
      </c>
      <c r="Z800" t="s">
        <v>1413</v>
      </c>
      <c r="AA800" t="s">
        <v>31</v>
      </c>
      <c r="AB800" t="s">
        <v>63</v>
      </c>
      <c r="AC800" t="s">
        <v>23</v>
      </c>
      <c r="AD800">
        <v>1</v>
      </c>
      <c r="AE800">
        <v>0</v>
      </c>
      <c r="AF800">
        <v>1</v>
      </c>
      <c r="AG800">
        <v>0</v>
      </c>
      <c r="AH800">
        <v>0</v>
      </c>
      <c r="AI800">
        <v>1</v>
      </c>
      <c r="AJ800">
        <v>0</v>
      </c>
    </row>
    <row r="801" spans="1:36">
      <c r="A801" t="s">
        <v>959</v>
      </c>
      <c r="B801">
        <v>19.46</v>
      </c>
      <c r="C801" s="7">
        <v>46187.1</v>
      </c>
      <c r="D801" s="7">
        <v>46187.9106516088</v>
      </c>
      <c r="E801" t="s">
        <v>23</v>
      </c>
      <c r="F801" t="s">
        <v>33</v>
      </c>
      <c r="G801" t="s">
        <v>41</v>
      </c>
      <c r="H801" t="s">
        <v>54</v>
      </c>
      <c r="I801" t="s">
        <v>42</v>
      </c>
      <c r="J801" t="s">
        <v>28</v>
      </c>
      <c r="K801" t="s">
        <v>29</v>
      </c>
      <c r="L801" t="s">
        <v>101</v>
      </c>
      <c r="M801">
        <v>198</v>
      </c>
      <c r="N801">
        <v>3</v>
      </c>
      <c r="O801">
        <v>0</v>
      </c>
      <c r="P801">
        <v>6</v>
      </c>
      <c r="Q801" t="s">
        <v>31</v>
      </c>
      <c r="R801">
        <v>240</v>
      </c>
      <c r="S801">
        <v>48</v>
      </c>
      <c r="T801" t="s">
        <v>63</v>
      </c>
      <c r="U801" t="s">
        <v>63</v>
      </c>
      <c r="V801">
        <v>2026</v>
      </c>
      <c r="W801">
        <v>6</v>
      </c>
      <c r="X801" t="s">
        <v>1421</v>
      </c>
      <c r="Y801" s="6">
        <v>46174</v>
      </c>
      <c r="Z801" t="s">
        <v>1418</v>
      </c>
      <c r="AA801" t="s">
        <v>31</v>
      </c>
      <c r="AB801" t="s">
        <v>63</v>
      </c>
      <c r="AC801" t="s">
        <v>23</v>
      </c>
      <c r="AD801">
        <v>1</v>
      </c>
      <c r="AE801">
        <v>0</v>
      </c>
      <c r="AF801">
        <v>1</v>
      </c>
      <c r="AG801">
        <v>0</v>
      </c>
      <c r="AH801">
        <v>0</v>
      </c>
      <c r="AI801">
        <v>1</v>
      </c>
      <c r="AJ801">
        <v>1</v>
      </c>
    </row>
    <row r="802" spans="1:36">
      <c r="A802" t="s">
        <v>960</v>
      </c>
      <c r="B802">
        <v>42.51</v>
      </c>
      <c r="C802" s="7">
        <v>46180.13958333333</v>
      </c>
      <c r="D802" s="7">
        <v>46181.910796388889</v>
      </c>
      <c r="E802" t="s">
        <v>23</v>
      </c>
      <c r="F802" t="s">
        <v>50</v>
      </c>
      <c r="G802" t="s">
        <v>25</v>
      </c>
      <c r="H802" t="s">
        <v>75</v>
      </c>
      <c r="I802" t="s">
        <v>35</v>
      </c>
      <c r="J802" t="s">
        <v>43</v>
      </c>
      <c r="K802" t="s">
        <v>58</v>
      </c>
      <c r="L802" t="s">
        <v>101</v>
      </c>
      <c r="M802">
        <v>54</v>
      </c>
      <c r="N802">
        <v>4</v>
      </c>
      <c r="O802">
        <v>0</v>
      </c>
      <c r="P802">
        <v>2</v>
      </c>
      <c r="Q802" t="s">
        <v>31</v>
      </c>
      <c r="R802">
        <v>120</v>
      </c>
      <c r="S802">
        <v>24</v>
      </c>
      <c r="T802" t="s">
        <v>63</v>
      </c>
      <c r="U802" t="s">
        <v>31</v>
      </c>
      <c r="V802">
        <v>2026</v>
      </c>
      <c r="W802">
        <v>6</v>
      </c>
      <c r="X802" t="s">
        <v>1421</v>
      </c>
      <c r="Y802" s="6">
        <v>46174</v>
      </c>
      <c r="Z802" t="s">
        <v>1413</v>
      </c>
      <c r="AA802" t="s">
        <v>31</v>
      </c>
      <c r="AB802" t="s">
        <v>63</v>
      </c>
      <c r="AC802" t="s">
        <v>23</v>
      </c>
      <c r="AD802">
        <v>1</v>
      </c>
      <c r="AE802">
        <v>0</v>
      </c>
      <c r="AF802">
        <v>1</v>
      </c>
      <c r="AG802">
        <v>0</v>
      </c>
      <c r="AH802">
        <v>0</v>
      </c>
      <c r="AI802">
        <v>1</v>
      </c>
      <c r="AJ802">
        <v>0</v>
      </c>
    </row>
    <row r="803" spans="1:36">
      <c r="A803" t="s">
        <v>962</v>
      </c>
      <c r="B803">
        <v>10.42</v>
      </c>
      <c r="C803" s="7">
        <v>46114.154861111114</v>
      </c>
      <c r="D803" s="7">
        <v>46114.589168055558</v>
      </c>
      <c r="E803" t="s">
        <v>23</v>
      </c>
      <c r="F803" t="s">
        <v>40</v>
      </c>
      <c r="G803" t="s">
        <v>25</v>
      </c>
      <c r="H803" t="s">
        <v>54</v>
      </c>
      <c r="I803" t="s">
        <v>27</v>
      </c>
      <c r="J803" t="s">
        <v>48</v>
      </c>
      <c r="K803" t="s">
        <v>37</v>
      </c>
      <c r="L803" t="s">
        <v>44</v>
      </c>
      <c r="M803">
        <v>38</v>
      </c>
      <c r="N803">
        <v>4</v>
      </c>
      <c r="O803">
        <v>0</v>
      </c>
      <c r="P803">
        <v>7</v>
      </c>
      <c r="Q803" t="s">
        <v>31</v>
      </c>
      <c r="R803">
        <v>30</v>
      </c>
      <c r="S803">
        <v>8</v>
      </c>
      <c r="T803" t="s">
        <v>31</v>
      </c>
      <c r="U803" t="s">
        <v>31</v>
      </c>
      <c r="V803">
        <v>2026</v>
      </c>
      <c r="W803">
        <v>4</v>
      </c>
      <c r="X803" t="s">
        <v>1412</v>
      </c>
      <c r="Y803" s="6">
        <v>46113</v>
      </c>
      <c r="Z803" t="s">
        <v>1413</v>
      </c>
      <c r="AA803" t="s">
        <v>31</v>
      </c>
      <c r="AB803" t="s">
        <v>63</v>
      </c>
      <c r="AC803" t="s">
        <v>23</v>
      </c>
      <c r="AD803">
        <v>1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</row>
    <row r="804" spans="1:36">
      <c r="A804" t="s">
        <v>963</v>
      </c>
      <c r="B804">
        <v>12.35</v>
      </c>
      <c r="C804" s="7">
        <v>46257.343055555553</v>
      </c>
      <c r="D804" s="7">
        <v>46257.857801076389</v>
      </c>
      <c r="E804" t="s">
        <v>23</v>
      </c>
      <c r="F804" t="s">
        <v>40</v>
      </c>
      <c r="G804" t="s">
        <v>51</v>
      </c>
      <c r="H804" t="s">
        <v>54</v>
      </c>
      <c r="I804" t="s">
        <v>27</v>
      </c>
      <c r="J804" t="s">
        <v>43</v>
      </c>
      <c r="K804" t="s">
        <v>37</v>
      </c>
      <c r="L804" t="s">
        <v>101</v>
      </c>
      <c r="M804">
        <v>51</v>
      </c>
      <c r="N804">
        <v>4</v>
      </c>
      <c r="O804">
        <v>0</v>
      </c>
      <c r="P804">
        <v>9</v>
      </c>
      <c r="Q804" t="s">
        <v>63</v>
      </c>
      <c r="R804">
        <v>30</v>
      </c>
      <c r="S804">
        <v>8</v>
      </c>
      <c r="T804" t="s">
        <v>31</v>
      </c>
      <c r="U804" t="s">
        <v>31</v>
      </c>
      <c r="V804">
        <v>2026</v>
      </c>
      <c r="W804">
        <v>8</v>
      </c>
      <c r="X804" t="s">
        <v>1417</v>
      </c>
      <c r="Y804" s="6">
        <v>46235</v>
      </c>
      <c r="Z804" t="s">
        <v>1413</v>
      </c>
      <c r="AA804" t="s">
        <v>31</v>
      </c>
      <c r="AB804" t="s">
        <v>63</v>
      </c>
      <c r="AC804" t="s">
        <v>23</v>
      </c>
      <c r="AD804">
        <v>1</v>
      </c>
      <c r="AE804">
        <v>0</v>
      </c>
      <c r="AF804">
        <v>1</v>
      </c>
      <c r="AG804">
        <v>0</v>
      </c>
      <c r="AH804">
        <v>1</v>
      </c>
      <c r="AI804">
        <v>0</v>
      </c>
      <c r="AJ804">
        <v>0</v>
      </c>
    </row>
    <row r="805" spans="1:36">
      <c r="A805" t="s">
        <v>964</v>
      </c>
      <c r="B805">
        <v>22.72</v>
      </c>
      <c r="C805" s="7">
        <v>46111.28402777778</v>
      </c>
      <c r="D805" s="7">
        <v>46112.230522083337</v>
      </c>
      <c r="E805" t="s">
        <v>23</v>
      </c>
      <c r="F805" t="s">
        <v>50</v>
      </c>
      <c r="G805" t="s">
        <v>65</v>
      </c>
      <c r="H805" t="s">
        <v>66</v>
      </c>
      <c r="I805" t="s">
        <v>35</v>
      </c>
      <c r="J805" t="s">
        <v>43</v>
      </c>
      <c r="K805" t="s">
        <v>37</v>
      </c>
      <c r="L805" t="s">
        <v>44</v>
      </c>
      <c r="M805">
        <v>57</v>
      </c>
      <c r="N805">
        <v>4</v>
      </c>
      <c r="O805">
        <v>1</v>
      </c>
      <c r="P805">
        <v>12</v>
      </c>
      <c r="Q805" t="s">
        <v>31</v>
      </c>
      <c r="R805">
        <v>120</v>
      </c>
      <c r="S805">
        <v>24</v>
      </c>
      <c r="T805" t="s">
        <v>63</v>
      </c>
      <c r="U805" t="s">
        <v>63</v>
      </c>
      <c r="V805">
        <v>2026</v>
      </c>
      <c r="W805">
        <v>3</v>
      </c>
      <c r="X805" t="s">
        <v>1423</v>
      </c>
      <c r="Y805" s="6">
        <v>46082</v>
      </c>
      <c r="Z805" t="s">
        <v>1413</v>
      </c>
      <c r="AA805" t="s">
        <v>63</v>
      </c>
      <c r="AB805" t="s">
        <v>63</v>
      </c>
      <c r="AC805" t="s">
        <v>23</v>
      </c>
      <c r="AD805">
        <v>1</v>
      </c>
      <c r="AE805">
        <v>0</v>
      </c>
      <c r="AF805">
        <v>1</v>
      </c>
      <c r="AG805">
        <v>1</v>
      </c>
      <c r="AH805">
        <v>0</v>
      </c>
      <c r="AI805">
        <v>1</v>
      </c>
      <c r="AJ805">
        <v>1</v>
      </c>
    </row>
    <row r="806" spans="1:36">
      <c r="A806" t="s">
        <v>965</v>
      </c>
      <c r="B806">
        <v>28.08</v>
      </c>
      <c r="C806" s="7">
        <v>46178.344444444447</v>
      </c>
      <c r="D806" s="7">
        <v>46179.51441275463</v>
      </c>
      <c r="E806" t="s">
        <v>23</v>
      </c>
      <c r="F806" t="s">
        <v>33</v>
      </c>
      <c r="G806" t="s">
        <v>25</v>
      </c>
      <c r="H806" t="s">
        <v>66</v>
      </c>
      <c r="I806" t="s">
        <v>42</v>
      </c>
      <c r="J806" t="s">
        <v>43</v>
      </c>
      <c r="K806" t="s">
        <v>67</v>
      </c>
      <c r="L806" t="s">
        <v>38</v>
      </c>
      <c r="M806">
        <v>200</v>
      </c>
      <c r="N806">
        <v>4</v>
      </c>
      <c r="O806">
        <v>0</v>
      </c>
      <c r="P806">
        <v>6</v>
      </c>
      <c r="Q806" t="s">
        <v>31</v>
      </c>
      <c r="R806">
        <v>240</v>
      </c>
      <c r="S806">
        <v>48</v>
      </c>
      <c r="T806" t="s">
        <v>63</v>
      </c>
      <c r="U806" t="s">
        <v>63</v>
      </c>
      <c r="V806">
        <v>2026</v>
      </c>
      <c r="W806">
        <v>6</v>
      </c>
      <c r="X806" t="s">
        <v>1421</v>
      </c>
      <c r="Y806" s="6">
        <v>46174</v>
      </c>
      <c r="Z806" t="s">
        <v>1413</v>
      </c>
      <c r="AA806" t="s">
        <v>31</v>
      </c>
      <c r="AB806" t="s">
        <v>63</v>
      </c>
      <c r="AC806" t="s">
        <v>23</v>
      </c>
      <c r="AD806">
        <v>1</v>
      </c>
      <c r="AE806">
        <v>0</v>
      </c>
      <c r="AF806">
        <v>1</v>
      </c>
      <c r="AG806">
        <v>0</v>
      </c>
      <c r="AH806">
        <v>0</v>
      </c>
      <c r="AI806">
        <v>1</v>
      </c>
      <c r="AJ806">
        <v>1</v>
      </c>
    </row>
    <row r="807" spans="1:36">
      <c r="A807" t="s">
        <v>966</v>
      </c>
      <c r="B807">
        <v>46.36</v>
      </c>
      <c r="C807" s="7">
        <v>46166.905555555553</v>
      </c>
      <c r="D807" s="7">
        <v>46168.837395740738</v>
      </c>
      <c r="E807" t="s">
        <v>23</v>
      </c>
      <c r="F807" t="s">
        <v>33</v>
      </c>
      <c r="G807" t="s">
        <v>41</v>
      </c>
      <c r="H807" t="s">
        <v>66</v>
      </c>
      <c r="I807" t="s">
        <v>27</v>
      </c>
      <c r="J807" t="s">
        <v>43</v>
      </c>
      <c r="K807" t="s">
        <v>67</v>
      </c>
      <c r="L807" t="s">
        <v>44</v>
      </c>
      <c r="M807">
        <v>93</v>
      </c>
      <c r="N807">
        <v>3</v>
      </c>
      <c r="O807">
        <v>0</v>
      </c>
      <c r="P807">
        <v>2</v>
      </c>
      <c r="Q807" t="s">
        <v>31</v>
      </c>
      <c r="R807">
        <v>240</v>
      </c>
      <c r="S807">
        <v>48</v>
      </c>
      <c r="T807" t="s">
        <v>63</v>
      </c>
      <c r="U807" t="s">
        <v>63</v>
      </c>
      <c r="V807">
        <v>2026</v>
      </c>
      <c r="W807">
        <v>5</v>
      </c>
      <c r="X807" t="s">
        <v>1416</v>
      </c>
      <c r="Y807" s="6">
        <v>46143</v>
      </c>
      <c r="Z807" t="s">
        <v>1418</v>
      </c>
      <c r="AA807" t="s">
        <v>31</v>
      </c>
      <c r="AB807" t="s">
        <v>63</v>
      </c>
      <c r="AC807" t="s">
        <v>23</v>
      </c>
      <c r="AD807">
        <v>1</v>
      </c>
      <c r="AE807">
        <v>0</v>
      </c>
      <c r="AF807">
        <v>1</v>
      </c>
      <c r="AG807">
        <v>0</v>
      </c>
      <c r="AH807">
        <v>0</v>
      </c>
      <c r="AI807">
        <v>1</v>
      </c>
      <c r="AJ807">
        <v>1</v>
      </c>
    </row>
    <row r="808" spans="1:36">
      <c r="A808" t="s">
        <v>967</v>
      </c>
      <c r="B808">
        <v>50.84</v>
      </c>
      <c r="C808" s="7">
        <v>46147.643055555556</v>
      </c>
      <c r="D808" s="7">
        <v>46149.761371018518</v>
      </c>
      <c r="E808" t="s">
        <v>23</v>
      </c>
      <c r="F808" t="s">
        <v>50</v>
      </c>
      <c r="G808" t="s">
        <v>65</v>
      </c>
      <c r="H808" t="s">
        <v>54</v>
      </c>
      <c r="I808" t="s">
        <v>35</v>
      </c>
      <c r="J808" t="s">
        <v>36</v>
      </c>
      <c r="K808" t="s">
        <v>67</v>
      </c>
      <c r="L808" t="s">
        <v>44</v>
      </c>
      <c r="M808">
        <v>124</v>
      </c>
      <c r="N808">
        <v>3</v>
      </c>
      <c r="O808">
        <v>0</v>
      </c>
      <c r="P808">
        <v>6</v>
      </c>
      <c r="Q808" t="s">
        <v>63</v>
      </c>
      <c r="R808">
        <v>120</v>
      </c>
      <c r="S808">
        <v>24</v>
      </c>
      <c r="T808" t="s">
        <v>31</v>
      </c>
      <c r="U808" t="s">
        <v>31</v>
      </c>
      <c r="V808">
        <v>2026</v>
      </c>
      <c r="W808">
        <v>5</v>
      </c>
      <c r="X808" t="s">
        <v>1416</v>
      </c>
      <c r="Y808" s="6">
        <v>46143</v>
      </c>
      <c r="Z808" t="s">
        <v>1418</v>
      </c>
      <c r="AA808" t="s">
        <v>31</v>
      </c>
      <c r="AB808" t="s">
        <v>63</v>
      </c>
      <c r="AC808" t="s">
        <v>23</v>
      </c>
      <c r="AD808">
        <v>1</v>
      </c>
      <c r="AE808">
        <v>0</v>
      </c>
      <c r="AF808">
        <v>1</v>
      </c>
      <c r="AG808">
        <v>0</v>
      </c>
      <c r="AH808">
        <v>1</v>
      </c>
      <c r="AI808">
        <v>0</v>
      </c>
      <c r="AJ808">
        <v>0</v>
      </c>
    </row>
    <row r="809" spans="1:36">
      <c r="A809" t="s">
        <v>968</v>
      </c>
      <c r="B809">
        <v>17.95</v>
      </c>
      <c r="C809" s="7">
        <v>46160.719444444447</v>
      </c>
      <c r="D809" s="7">
        <v>46161.467399918984</v>
      </c>
      <c r="E809" t="s">
        <v>23</v>
      </c>
      <c r="F809" t="s">
        <v>40</v>
      </c>
      <c r="G809" t="s">
        <v>41</v>
      </c>
      <c r="H809" t="s">
        <v>54</v>
      </c>
      <c r="I809" t="s">
        <v>42</v>
      </c>
      <c r="J809" t="s">
        <v>43</v>
      </c>
      <c r="K809" t="s">
        <v>58</v>
      </c>
      <c r="L809" t="s">
        <v>30</v>
      </c>
      <c r="M809">
        <v>50</v>
      </c>
      <c r="N809">
        <v>4</v>
      </c>
      <c r="O809">
        <v>0</v>
      </c>
      <c r="P809">
        <v>7</v>
      </c>
      <c r="Q809" t="s">
        <v>31</v>
      </c>
      <c r="R809">
        <v>30</v>
      </c>
      <c r="S809">
        <v>8</v>
      </c>
      <c r="T809" t="s">
        <v>31</v>
      </c>
      <c r="U809" t="s">
        <v>31</v>
      </c>
      <c r="V809">
        <v>2026</v>
      </c>
      <c r="W809">
        <v>5</v>
      </c>
      <c r="X809" t="s">
        <v>1416</v>
      </c>
      <c r="Y809" s="6">
        <v>46143</v>
      </c>
      <c r="Z809" t="s">
        <v>1413</v>
      </c>
      <c r="AA809" t="s">
        <v>31</v>
      </c>
      <c r="AB809" t="s">
        <v>63</v>
      </c>
      <c r="AC809" t="s">
        <v>23</v>
      </c>
      <c r="AD809">
        <v>1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</row>
    <row r="810" spans="1:36">
      <c r="A810" t="s">
        <v>969</v>
      </c>
      <c r="B810">
        <v>9.1199999999999992</v>
      </c>
      <c r="C810" s="7">
        <v>46090.547222222223</v>
      </c>
      <c r="D810" s="7">
        <v>46090.927181770836</v>
      </c>
      <c r="E810" t="s">
        <v>23</v>
      </c>
      <c r="F810" t="s">
        <v>40</v>
      </c>
      <c r="G810" t="s">
        <v>65</v>
      </c>
      <c r="H810" t="s">
        <v>54</v>
      </c>
      <c r="I810" t="s">
        <v>27</v>
      </c>
      <c r="J810" t="s">
        <v>48</v>
      </c>
      <c r="K810" t="s">
        <v>67</v>
      </c>
      <c r="L810" t="s">
        <v>55</v>
      </c>
      <c r="M810">
        <v>32</v>
      </c>
      <c r="N810">
        <v>4</v>
      </c>
      <c r="O810">
        <v>1</v>
      </c>
      <c r="P810">
        <v>6</v>
      </c>
      <c r="Q810" t="s">
        <v>31</v>
      </c>
      <c r="R810">
        <v>30</v>
      </c>
      <c r="S810">
        <v>8</v>
      </c>
      <c r="T810" t="s">
        <v>31</v>
      </c>
      <c r="U810" t="s">
        <v>31</v>
      </c>
      <c r="V810">
        <v>2026</v>
      </c>
      <c r="W810">
        <v>3</v>
      </c>
      <c r="X810" t="s">
        <v>1423</v>
      </c>
      <c r="Y810" s="6">
        <v>46082</v>
      </c>
      <c r="Z810" t="s">
        <v>1413</v>
      </c>
      <c r="AA810" t="s">
        <v>63</v>
      </c>
      <c r="AB810" t="s">
        <v>63</v>
      </c>
      <c r="AC810" t="s">
        <v>23</v>
      </c>
      <c r="AD810">
        <v>1</v>
      </c>
      <c r="AE810">
        <v>0</v>
      </c>
      <c r="AF810">
        <v>1</v>
      </c>
      <c r="AG810">
        <v>1</v>
      </c>
      <c r="AH810">
        <v>0</v>
      </c>
      <c r="AI810">
        <v>0</v>
      </c>
      <c r="AJ810">
        <v>0</v>
      </c>
    </row>
    <row r="811" spans="1:36">
      <c r="A811" t="s">
        <v>970</v>
      </c>
      <c r="B811">
        <v>26.65</v>
      </c>
      <c r="C811" s="7">
        <v>46226.204861111109</v>
      </c>
      <c r="D811" s="7">
        <v>46227.315259340277</v>
      </c>
      <c r="E811" t="s">
        <v>23</v>
      </c>
      <c r="F811" t="s">
        <v>50</v>
      </c>
      <c r="G811" t="s">
        <v>51</v>
      </c>
      <c r="H811" t="s">
        <v>75</v>
      </c>
      <c r="I811" t="s">
        <v>35</v>
      </c>
      <c r="J811" t="s">
        <v>43</v>
      </c>
      <c r="K811" t="s">
        <v>29</v>
      </c>
      <c r="L811" t="s">
        <v>62</v>
      </c>
      <c r="M811">
        <v>53</v>
      </c>
      <c r="N811">
        <v>4</v>
      </c>
      <c r="O811">
        <v>0</v>
      </c>
      <c r="P811">
        <v>5</v>
      </c>
      <c r="Q811" t="s">
        <v>31</v>
      </c>
      <c r="R811">
        <v>120</v>
      </c>
      <c r="S811">
        <v>24</v>
      </c>
      <c r="T811" t="s">
        <v>63</v>
      </c>
      <c r="U811" t="s">
        <v>31</v>
      </c>
      <c r="V811">
        <v>2026</v>
      </c>
      <c r="W811">
        <v>7</v>
      </c>
      <c r="X811" t="s">
        <v>1422</v>
      </c>
      <c r="Y811" s="6">
        <v>46204</v>
      </c>
      <c r="Z811" t="s">
        <v>1413</v>
      </c>
      <c r="AA811" t="s">
        <v>31</v>
      </c>
      <c r="AB811" t="s">
        <v>63</v>
      </c>
      <c r="AC811" t="s">
        <v>23</v>
      </c>
      <c r="AD811">
        <v>1</v>
      </c>
      <c r="AE811">
        <v>0</v>
      </c>
      <c r="AF811">
        <v>1</v>
      </c>
      <c r="AG811">
        <v>0</v>
      </c>
      <c r="AH811">
        <v>0</v>
      </c>
      <c r="AI811">
        <v>1</v>
      </c>
      <c r="AJ811">
        <v>0</v>
      </c>
    </row>
    <row r="812" spans="1:36">
      <c r="A812" t="s">
        <v>971</v>
      </c>
      <c r="B812">
        <v>10.029999999999999</v>
      </c>
      <c r="C812" s="7">
        <v>46024.606944444444</v>
      </c>
      <c r="D812" s="7">
        <v>46025.024946886573</v>
      </c>
      <c r="E812" t="s">
        <v>23</v>
      </c>
      <c r="F812" t="s">
        <v>50</v>
      </c>
      <c r="G812" t="s">
        <v>65</v>
      </c>
      <c r="H812" t="s">
        <v>26</v>
      </c>
      <c r="I812" t="s">
        <v>27</v>
      </c>
      <c r="J812" t="s">
        <v>36</v>
      </c>
      <c r="K812" t="s">
        <v>29</v>
      </c>
      <c r="L812" t="s">
        <v>71</v>
      </c>
      <c r="M812">
        <v>82</v>
      </c>
      <c r="N812">
        <v>4</v>
      </c>
      <c r="O812">
        <v>0</v>
      </c>
      <c r="P812">
        <v>7</v>
      </c>
      <c r="Q812" t="s">
        <v>31</v>
      </c>
      <c r="R812">
        <v>120</v>
      </c>
      <c r="S812">
        <v>24</v>
      </c>
      <c r="T812" t="s">
        <v>63</v>
      </c>
      <c r="U812" t="s">
        <v>63</v>
      </c>
      <c r="V812">
        <v>2026</v>
      </c>
      <c r="W812">
        <v>1</v>
      </c>
      <c r="X812" t="s">
        <v>1414</v>
      </c>
      <c r="Y812" s="6">
        <v>46023</v>
      </c>
      <c r="Z812" t="s">
        <v>1413</v>
      </c>
      <c r="AA812" t="s">
        <v>31</v>
      </c>
      <c r="AB812" t="s">
        <v>63</v>
      </c>
      <c r="AC812" t="s">
        <v>23</v>
      </c>
      <c r="AD812">
        <v>1</v>
      </c>
      <c r="AE812">
        <v>0</v>
      </c>
      <c r="AF812">
        <v>1</v>
      </c>
      <c r="AG812">
        <v>0</v>
      </c>
      <c r="AH812">
        <v>0</v>
      </c>
      <c r="AI812">
        <v>1</v>
      </c>
      <c r="AJ812">
        <v>1</v>
      </c>
    </row>
    <row r="813" spans="1:36">
      <c r="A813" t="s">
        <v>972</v>
      </c>
      <c r="B813">
        <v>16</v>
      </c>
      <c r="C813" s="7">
        <v>46223.356249999997</v>
      </c>
      <c r="D813" s="7">
        <v>46224.022979328707</v>
      </c>
      <c r="E813" t="s">
        <v>23</v>
      </c>
      <c r="F813" t="s">
        <v>50</v>
      </c>
      <c r="G813" t="s">
        <v>51</v>
      </c>
      <c r="H813" t="s">
        <v>66</v>
      </c>
      <c r="I813" t="s">
        <v>42</v>
      </c>
      <c r="J813" t="s">
        <v>48</v>
      </c>
      <c r="K813" t="s">
        <v>29</v>
      </c>
      <c r="L813" t="s">
        <v>85</v>
      </c>
      <c r="M813">
        <v>44</v>
      </c>
      <c r="N813">
        <v>4</v>
      </c>
      <c r="O813">
        <v>0</v>
      </c>
      <c r="P813">
        <v>11</v>
      </c>
      <c r="Q813" t="s">
        <v>63</v>
      </c>
      <c r="R813">
        <v>120</v>
      </c>
      <c r="S813">
        <v>24</v>
      </c>
      <c r="T813" t="s">
        <v>63</v>
      </c>
      <c r="U813" t="s">
        <v>63</v>
      </c>
      <c r="V813">
        <v>2026</v>
      </c>
      <c r="W813">
        <v>7</v>
      </c>
      <c r="X813" t="s">
        <v>1422</v>
      </c>
      <c r="Y813" s="6">
        <v>46204</v>
      </c>
      <c r="Z813" t="s">
        <v>1413</v>
      </c>
      <c r="AA813" t="s">
        <v>31</v>
      </c>
      <c r="AB813" t="s">
        <v>63</v>
      </c>
      <c r="AC813" t="s">
        <v>23</v>
      </c>
      <c r="AD813">
        <v>1</v>
      </c>
      <c r="AE813">
        <v>0</v>
      </c>
      <c r="AF813">
        <v>1</v>
      </c>
      <c r="AG813">
        <v>0</v>
      </c>
      <c r="AH813">
        <v>1</v>
      </c>
      <c r="AI813">
        <v>1</v>
      </c>
      <c r="AJ813">
        <v>1</v>
      </c>
    </row>
    <row r="814" spans="1:36">
      <c r="A814" t="s">
        <v>973</v>
      </c>
      <c r="B814">
        <v>21.42</v>
      </c>
      <c r="C814" s="7">
        <v>46247.13958333333</v>
      </c>
      <c r="D814" s="7">
        <v>46248.032124710648</v>
      </c>
      <c r="E814" t="s">
        <v>23</v>
      </c>
      <c r="F814" t="s">
        <v>50</v>
      </c>
      <c r="G814" t="s">
        <v>51</v>
      </c>
      <c r="H814" t="s">
        <v>54</v>
      </c>
      <c r="I814" t="s">
        <v>42</v>
      </c>
      <c r="J814" t="s">
        <v>43</v>
      </c>
      <c r="K814" t="s">
        <v>52</v>
      </c>
      <c r="L814" t="s">
        <v>62</v>
      </c>
      <c r="M814">
        <v>115</v>
      </c>
      <c r="N814">
        <v>4</v>
      </c>
      <c r="O814">
        <v>0</v>
      </c>
      <c r="P814">
        <v>7</v>
      </c>
      <c r="Q814" t="s">
        <v>31</v>
      </c>
      <c r="R814">
        <v>120</v>
      </c>
      <c r="S814">
        <v>24</v>
      </c>
      <c r="T814" t="s">
        <v>63</v>
      </c>
      <c r="U814" t="s">
        <v>63</v>
      </c>
      <c r="V814">
        <v>2026</v>
      </c>
      <c r="W814">
        <v>8</v>
      </c>
      <c r="X814" t="s">
        <v>1417</v>
      </c>
      <c r="Y814" s="6">
        <v>46235</v>
      </c>
      <c r="Z814" t="s">
        <v>1413</v>
      </c>
      <c r="AA814" t="s">
        <v>31</v>
      </c>
      <c r="AB814" t="s">
        <v>63</v>
      </c>
      <c r="AC814" t="s">
        <v>23</v>
      </c>
      <c r="AD814">
        <v>1</v>
      </c>
      <c r="AE814">
        <v>0</v>
      </c>
      <c r="AF814">
        <v>1</v>
      </c>
      <c r="AG814">
        <v>0</v>
      </c>
      <c r="AH814">
        <v>0</v>
      </c>
      <c r="AI814">
        <v>1</v>
      </c>
      <c r="AJ814">
        <v>1</v>
      </c>
    </row>
    <row r="815" spans="1:36">
      <c r="A815" t="s">
        <v>974</v>
      </c>
      <c r="B815">
        <v>6</v>
      </c>
      <c r="C815" s="7">
        <v>46112.121527777781</v>
      </c>
      <c r="D815" s="7">
        <v>46112.371479965281</v>
      </c>
      <c r="E815" t="s">
        <v>23</v>
      </c>
      <c r="F815" t="s">
        <v>50</v>
      </c>
      <c r="G815" t="s">
        <v>51</v>
      </c>
      <c r="H815" t="s">
        <v>26</v>
      </c>
      <c r="I815" t="s">
        <v>35</v>
      </c>
      <c r="J815" t="s">
        <v>36</v>
      </c>
      <c r="K815" t="s">
        <v>29</v>
      </c>
      <c r="L815" t="s">
        <v>85</v>
      </c>
      <c r="M815">
        <v>102</v>
      </c>
      <c r="N815">
        <v>4</v>
      </c>
      <c r="O815">
        <v>1</v>
      </c>
      <c r="P815">
        <v>7</v>
      </c>
      <c r="Q815" t="s">
        <v>31</v>
      </c>
      <c r="R815">
        <v>120</v>
      </c>
      <c r="S815">
        <v>24</v>
      </c>
      <c r="T815" t="s">
        <v>63</v>
      </c>
      <c r="U815" t="s">
        <v>63</v>
      </c>
      <c r="V815">
        <v>2026</v>
      </c>
      <c r="W815">
        <v>3</v>
      </c>
      <c r="X815" t="s">
        <v>1423</v>
      </c>
      <c r="Y815" s="6">
        <v>46082</v>
      </c>
      <c r="Z815" t="s">
        <v>1413</v>
      </c>
      <c r="AA815" t="s">
        <v>63</v>
      </c>
      <c r="AB815" t="s">
        <v>63</v>
      </c>
      <c r="AC815" t="s">
        <v>23</v>
      </c>
      <c r="AD815">
        <v>1</v>
      </c>
      <c r="AE815">
        <v>0</v>
      </c>
      <c r="AF815">
        <v>1</v>
      </c>
      <c r="AG815">
        <v>1</v>
      </c>
      <c r="AH815">
        <v>0</v>
      </c>
      <c r="AI815">
        <v>1</v>
      </c>
      <c r="AJ815">
        <v>1</v>
      </c>
    </row>
    <row r="816" spans="1:36">
      <c r="A816" t="s">
        <v>975</v>
      </c>
      <c r="B816">
        <v>17.29</v>
      </c>
      <c r="C816" s="7">
        <v>46053.558333333334</v>
      </c>
      <c r="D816" s="7">
        <v>46054.278755185187</v>
      </c>
      <c r="E816" t="s">
        <v>23</v>
      </c>
      <c r="F816" t="s">
        <v>33</v>
      </c>
      <c r="G816" t="s">
        <v>25</v>
      </c>
      <c r="H816" t="s">
        <v>34</v>
      </c>
      <c r="I816" t="s">
        <v>42</v>
      </c>
      <c r="J816" t="s">
        <v>36</v>
      </c>
      <c r="K816" t="s">
        <v>37</v>
      </c>
      <c r="L816" t="s">
        <v>55</v>
      </c>
      <c r="M816">
        <v>242</v>
      </c>
      <c r="N816">
        <v>4</v>
      </c>
      <c r="O816">
        <v>0</v>
      </c>
      <c r="P816">
        <v>5</v>
      </c>
      <c r="Q816" t="s">
        <v>31</v>
      </c>
      <c r="R816">
        <v>240</v>
      </c>
      <c r="S816">
        <v>48</v>
      </c>
      <c r="T816" t="s">
        <v>31</v>
      </c>
      <c r="U816" t="s">
        <v>63</v>
      </c>
      <c r="V816">
        <v>2026</v>
      </c>
      <c r="W816">
        <v>1</v>
      </c>
      <c r="X816" t="s">
        <v>1414</v>
      </c>
      <c r="Y816" s="6">
        <v>46023</v>
      </c>
      <c r="Z816" t="s">
        <v>1413</v>
      </c>
      <c r="AA816" t="s">
        <v>31</v>
      </c>
      <c r="AB816" t="s">
        <v>63</v>
      </c>
      <c r="AC816" t="s">
        <v>23</v>
      </c>
      <c r="AD816">
        <v>1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1</v>
      </c>
    </row>
    <row r="817" spans="1:36">
      <c r="A817" t="s">
        <v>976</v>
      </c>
      <c r="B817">
        <v>20.79</v>
      </c>
      <c r="C817" s="7">
        <v>46171.393055555556</v>
      </c>
      <c r="D817" s="7">
        <v>46172.259480659719</v>
      </c>
      <c r="E817" t="s">
        <v>23</v>
      </c>
      <c r="F817" t="s">
        <v>50</v>
      </c>
      <c r="G817" t="s">
        <v>51</v>
      </c>
      <c r="H817" t="s">
        <v>26</v>
      </c>
      <c r="I817" t="s">
        <v>42</v>
      </c>
      <c r="J817" t="s">
        <v>48</v>
      </c>
      <c r="K817" t="s">
        <v>67</v>
      </c>
      <c r="L817" t="s">
        <v>62</v>
      </c>
      <c r="M817">
        <v>59</v>
      </c>
      <c r="N817">
        <v>4</v>
      </c>
      <c r="O817">
        <v>0</v>
      </c>
      <c r="P817">
        <v>6</v>
      </c>
      <c r="Q817" t="s">
        <v>31</v>
      </c>
      <c r="R817">
        <v>120</v>
      </c>
      <c r="S817">
        <v>24</v>
      </c>
      <c r="T817" t="s">
        <v>63</v>
      </c>
      <c r="U817" t="s">
        <v>63</v>
      </c>
      <c r="V817">
        <v>2026</v>
      </c>
      <c r="W817">
        <v>5</v>
      </c>
      <c r="X817" t="s">
        <v>1416</v>
      </c>
      <c r="Y817" s="6">
        <v>46143</v>
      </c>
      <c r="Z817" t="s">
        <v>1413</v>
      </c>
      <c r="AA817" t="s">
        <v>31</v>
      </c>
      <c r="AB817" t="s">
        <v>63</v>
      </c>
      <c r="AC817" t="s">
        <v>23</v>
      </c>
      <c r="AD817">
        <v>1</v>
      </c>
      <c r="AE817">
        <v>0</v>
      </c>
      <c r="AF817">
        <v>1</v>
      </c>
      <c r="AG817">
        <v>0</v>
      </c>
      <c r="AH817">
        <v>0</v>
      </c>
      <c r="AI817">
        <v>1</v>
      </c>
      <c r="AJ817">
        <v>1</v>
      </c>
    </row>
    <row r="818" spans="1:36">
      <c r="A818" t="s">
        <v>977</v>
      </c>
      <c r="B818">
        <v>21.97</v>
      </c>
      <c r="C818" s="7">
        <v>46220.459722222222</v>
      </c>
      <c r="D818" s="7">
        <v>46221.375045486115</v>
      </c>
      <c r="E818" t="s">
        <v>23</v>
      </c>
      <c r="F818" t="s">
        <v>40</v>
      </c>
      <c r="G818" t="s">
        <v>51</v>
      </c>
      <c r="H818" t="s">
        <v>54</v>
      </c>
      <c r="I818" t="s">
        <v>35</v>
      </c>
      <c r="J818" t="s">
        <v>36</v>
      </c>
      <c r="K818" t="s">
        <v>37</v>
      </c>
      <c r="L818" t="s">
        <v>68</v>
      </c>
      <c r="M818">
        <v>49</v>
      </c>
      <c r="N818">
        <v>4</v>
      </c>
      <c r="O818">
        <v>0</v>
      </c>
      <c r="P818">
        <v>5</v>
      </c>
      <c r="Q818" t="s">
        <v>31</v>
      </c>
      <c r="R818">
        <v>30</v>
      </c>
      <c r="S818">
        <v>8</v>
      </c>
      <c r="T818" t="s">
        <v>31</v>
      </c>
      <c r="U818" t="s">
        <v>31</v>
      </c>
      <c r="V818">
        <v>2026</v>
      </c>
      <c r="W818">
        <v>7</v>
      </c>
      <c r="X818" t="s">
        <v>1422</v>
      </c>
      <c r="Y818" s="6">
        <v>46204</v>
      </c>
      <c r="Z818" t="s">
        <v>1413</v>
      </c>
      <c r="AA818" t="s">
        <v>31</v>
      </c>
      <c r="AB818" t="s">
        <v>63</v>
      </c>
      <c r="AC818" t="s">
        <v>23</v>
      </c>
      <c r="AD818">
        <v>1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0</v>
      </c>
    </row>
    <row r="819" spans="1:36">
      <c r="A819" t="s">
        <v>978</v>
      </c>
      <c r="B819">
        <v>31.98</v>
      </c>
      <c r="C819" s="7">
        <v>46138.677083333336</v>
      </c>
      <c r="D819" s="7">
        <v>46140.009560185186</v>
      </c>
      <c r="E819" t="s">
        <v>23</v>
      </c>
      <c r="F819" t="s">
        <v>50</v>
      </c>
      <c r="G819" t="s">
        <v>41</v>
      </c>
      <c r="H819" t="s">
        <v>26</v>
      </c>
      <c r="I819" t="s">
        <v>42</v>
      </c>
      <c r="J819" t="s">
        <v>43</v>
      </c>
      <c r="K819" t="s">
        <v>76</v>
      </c>
      <c r="L819" t="s">
        <v>30</v>
      </c>
      <c r="M819">
        <v>106</v>
      </c>
      <c r="N819">
        <v>4</v>
      </c>
      <c r="O819">
        <v>0</v>
      </c>
      <c r="P819">
        <v>2</v>
      </c>
      <c r="Q819" t="s">
        <v>31</v>
      </c>
      <c r="R819">
        <v>120</v>
      </c>
      <c r="S819">
        <v>24</v>
      </c>
      <c r="T819" t="s">
        <v>63</v>
      </c>
      <c r="U819" t="s">
        <v>31</v>
      </c>
      <c r="V819">
        <v>2026</v>
      </c>
      <c r="W819">
        <v>4</v>
      </c>
      <c r="X819" t="s">
        <v>1412</v>
      </c>
      <c r="Y819" s="6">
        <v>46113</v>
      </c>
      <c r="Z819" t="s">
        <v>1413</v>
      </c>
      <c r="AA819" t="s">
        <v>31</v>
      </c>
      <c r="AB819" t="s">
        <v>63</v>
      </c>
      <c r="AC819" t="s">
        <v>23</v>
      </c>
      <c r="AD819">
        <v>1</v>
      </c>
      <c r="AE819">
        <v>0</v>
      </c>
      <c r="AF819">
        <v>1</v>
      </c>
      <c r="AG819">
        <v>0</v>
      </c>
      <c r="AH819">
        <v>0</v>
      </c>
      <c r="AI819">
        <v>1</v>
      </c>
      <c r="AJ819">
        <v>0</v>
      </c>
    </row>
    <row r="820" spans="1:36">
      <c r="A820" t="s">
        <v>979</v>
      </c>
      <c r="B820">
        <v>51</v>
      </c>
      <c r="C820" s="7">
        <v>46260.347222222219</v>
      </c>
      <c r="D820" s="7">
        <v>46262.472055578706</v>
      </c>
      <c r="E820" t="s">
        <v>23</v>
      </c>
      <c r="F820" t="s">
        <v>33</v>
      </c>
      <c r="G820" t="s">
        <v>41</v>
      </c>
      <c r="H820" t="s">
        <v>34</v>
      </c>
      <c r="I820" t="s">
        <v>27</v>
      </c>
      <c r="J820" t="s">
        <v>36</v>
      </c>
      <c r="K820" t="s">
        <v>67</v>
      </c>
      <c r="L820" t="s">
        <v>30</v>
      </c>
      <c r="M820">
        <v>204</v>
      </c>
      <c r="N820">
        <v>3</v>
      </c>
      <c r="O820">
        <v>0</v>
      </c>
      <c r="P820">
        <v>7</v>
      </c>
      <c r="Q820" t="s">
        <v>63</v>
      </c>
      <c r="R820">
        <v>240</v>
      </c>
      <c r="S820">
        <v>48</v>
      </c>
      <c r="T820" t="s">
        <v>63</v>
      </c>
      <c r="U820" t="s">
        <v>31</v>
      </c>
      <c r="V820">
        <v>2026</v>
      </c>
      <c r="W820">
        <v>8</v>
      </c>
      <c r="X820" t="s">
        <v>1417</v>
      </c>
      <c r="Y820" s="6">
        <v>46235</v>
      </c>
      <c r="Z820" t="s">
        <v>1418</v>
      </c>
      <c r="AA820" t="s">
        <v>31</v>
      </c>
      <c r="AB820" t="s">
        <v>63</v>
      </c>
      <c r="AC820" t="s">
        <v>23</v>
      </c>
      <c r="AD820">
        <v>1</v>
      </c>
      <c r="AE820">
        <v>0</v>
      </c>
      <c r="AF820">
        <v>1</v>
      </c>
      <c r="AG820">
        <v>0</v>
      </c>
      <c r="AH820">
        <v>1</v>
      </c>
      <c r="AI820">
        <v>1</v>
      </c>
      <c r="AJ820">
        <v>0</v>
      </c>
    </row>
    <row r="821" spans="1:36">
      <c r="A821" t="s">
        <v>980</v>
      </c>
      <c r="B821">
        <v>57.01</v>
      </c>
      <c r="C821" s="7">
        <v>46051.861805555556</v>
      </c>
      <c r="D821" s="7">
        <v>46054.237337233797</v>
      </c>
      <c r="E821" t="s">
        <v>23</v>
      </c>
      <c r="F821" t="s">
        <v>33</v>
      </c>
      <c r="G821" t="s">
        <v>51</v>
      </c>
      <c r="H821" t="s">
        <v>34</v>
      </c>
      <c r="I821" t="s">
        <v>35</v>
      </c>
      <c r="J821" t="s">
        <v>28</v>
      </c>
      <c r="K821" t="s">
        <v>67</v>
      </c>
      <c r="L821" t="s">
        <v>93</v>
      </c>
      <c r="M821">
        <v>143</v>
      </c>
      <c r="N821">
        <v>3</v>
      </c>
      <c r="O821">
        <v>1</v>
      </c>
      <c r="P821">
        <v>5</v>
      </c>
      <c r="Q821" t="s">
        <v>31</v>
      </c>
      <c r="R821">
        <v>240</v>
      </c>
      <c r="S821">
        <v>48</v>
      </c>
      <c r="T821" t="s">
        <v>63</v>
      </c>
      <c r="U821" t="s">
        <v>31</v>
      </c>
      <c r="V821">
        <v>2026</v>
      </c>
      <c r="W821">
        <v>1</v>
      </c>
      <c r="X821" t="s">
        <v>1414</v>
      </c>
      <c r="Y821" s="6">
        <v>46023</v>
      </c>
      <c r="Z821" t="s">
        <v>1418</v>
      </c>
      <c r="AA821" t="s">
        <v>63</v>
      </c>
      <c r="AB821" t="s">
        <v>63</v>
      </c>
      <c r="AC821" t="s">
        <v>23</v>
      </c>
      <c r="AD821">
        <v>1</v>
      </c>
      <c r="AE821">
        <v>0</v>
      </c>
      <c r="AF821">
        <v>1</v>
      </c>
      <c r="AG821">
        <v>1</v>
      </c>
      <c r="AH821">
        <v>0</v>
      </c>
      <c r="AI821">
        <v>1</v>
      </c>
      <c r="AJ821">
        <v>0</v>
      </c>
    </row>
    <row r="822" spans="1:36">
      <c r="A822" t="s">
        <v>981</v>
      </c>
      <c r="B822">
        <v>10.53</v>
      </c>
      <c r="C822" s="7">
        <v>46063.438194444447</v>
      </c>
      <c r="D822" s="7">
        <v>46063.876967766206</v>
      </c>
      <c r="E822" t="s">
        <v>23</v>
      </c>
      <c r="F822" t="s">
        <v>50</v>
      </c>
      <c r="G822" t="s">
        <v>51</v>
      </c>
      <c r="H822" t="s">
        <v>54</v>
      </c>
      <c r="I822" t="s">
        <v>35</v>
      </c>
      <c r="J822" t="s">
        <v>36</v>
      </c>
      <c r="K822" t="s">
        <v>52</v>
      </c>
      <c r="L822" t="s">
        <v>71</v>
      </c>
      <c r="M822">
        <v>152</v>
      </c>
      <c r="N822">
        <v>4</v>
      </c>
      <c r="O822">
        <v>0</v>
      </c>
      <c r="P822">
        <v>4</v>
      </c>
      <c r="Q822" t="s">
        <v>31</v>
      </c>
      <c r="R822">
        <v>120</v>
      </c>
      <c r="S822">
        <v>24</v>
      </c>
      <c r="T822" t="s">
        <v>31</v>
      </c>
      <c r="U822" t="s">
        <v>63</v>
      </c>
      <c r="V822">
        <v>2026</v>
      </c>
      <c r="W822">
        <v>2</v>
      </c>
      <c r="X822" t="s">
        <v>1419</v>
      </c>
      <c r="Y822" s="6">
        <v>46054</v>
      </c>
      <c r="Z822" t="s">
        <v>1413</v>
      </c>
      <c r="AA822" t="s">
        <v>31</v>
      </c>
      <c r="AB822" t="s">
        <v>63</v>
      </c>
      <c r="AC822" t="s">
        <v>23</v>
      </c>
      <c r="AD822">
        <v>1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1</v>
      </c>
    </row>
    <row r="823" spans="1:36">
      <c r="A823" t="s">
        <v>982</v>
      </c>
      <c r="B823">
        <v>10.71</v>
      </c>
      <c r="C823" s="7">
        <v>46143.007638888892</v>
      </c>
      <c r="D823" s="7">
        <v>46143.453916979168</v>
      </c>
      <c r="E823" t="s">
        <v>23</v>
      </c>
      <c r="F823" t="s">
        <v>40</v>
      </c>
      <c r="G823" t="s">
        <v>51</v>
      </c>
      <c r="H823" t="s">
        <v>26</v>
      </c>
      <c r="I823" t="s">
        <v>35</v>
      </c>
      <c r="J823" t="s">
        <v>36</v>
      </c>
      <c r="K823" t="s">
        <v>76</v>
      </c>
      <c r="L823" t="s">
        <v>44</v>
      </c>
      <c r="M823">
        <v>55</v>
      </c>
      <c r="N823">
        <v>5</v>
      </c>
      <c r="O823">
        <v>0</v>
      </c>
      <c r="P823">
        <v>5</v>
      </c>
      <c r="Q823" t="s">
        <v>31</v>
      </c>
      <c r="R823">
        <v>30</v>
      </c>
      <c r="S823">
        <v>8</v>
      </c>
      <c r="T823" t="s">
        <v>31</v>
      </c>
      <c r="U823" t="s">
        <v>31</v>
      </c>
      <c r="V823">
        <v>2026</v>
      </c>
      <c r="W823">
        <v>5</v>
      </c>
      <c r="X823" t="s">
        <v>1416</v>
      </c>
      <c r="Y823" s="6">
        <v>46143</v>
      </c>
      <c r="Z823" t="s">
        <v>1413</v>
      </c>
      <c r="AA823" t="s">
        <v>31</v>
      </c>
      <c r="AB823" t="s">
        <v>63</v>
      </c>
      <c r="AC823" t="s">
        <v>23</v>
      </c>
      <c r="AD823">
        <v>1</v>
      </c>
      <c r="AE823">
        <v>0</v>
      </c>
      <c r="AF823">
        <v>1</v>
      </c>
      <c r="AG823">
        <v>0</v>
      </c>
      <c r="AH823">
        <v>0</v>
      </c>
      <c r="AI823">
        <v>0</v>
      </c>
      <c r="AJ823">
        <v>0</v>
      </c>
    </row>
    <row r="824" spans="1:36">
      <c r="A824" t="s">
        <v>984</v>
      </c>
      <c r="B824">
        <v>13.75</v>
      </c>
      <c r="C824" s="7">
        <v>46158.197916666664</v>
      </c>
      <c r="D824" s="7">
        <v>46158.770913541666</v>
      </c>
      <c r="E824" t="s">
        <v>23</v>
      </c>
      <c r="F824" t="s">
        <v>50</v>
      </c>
      <c r="G824" t="s">
        <v>51</v>
      </c>
      <c r="H824" t="s">
        <v>34</v>
      </c>
      <c r="I824" t="s">
        <v>35</v>
      </c>
      <c r="J824" t="s">
        <v>43</v>
      </c>
      <c r="K824" t="s">
        <v>52</v>
      </c>
      <c r="L824" t="s">
        <v>93</v>
      </c>
      <c r="M824">
        <v>38</v>
      </c>
      <c r="N824">
        <v>4</v>
      </c>
      <c r="O824">
        <v>0</v>
      </c>
      <c r="P824">
        <v>5</v>
      </c>
      <c r="Q824" t="s">
        <v>31</v>
      </c>
      <c r="R824">
        <v>120</v>
      </c>
      <c r="S824">
        <v>24</v>
      </c>
      <c r="T824" t="s">
        <v>63</v>
      </c>
      <c r="U824" t="s">
        <v>63</v>
      </c>
      <c r="V824">
        <v>2026</v>
      </c>
      <c r="W824">
        <v>5</v>
      </c>
      <c r="X824" t="s">
        <v>1416</v>
      </c>
      <c r="Y824" s="6">
        <v>46143</v>
      </c>
      <c r="Z824" t="s">
        <v>1413</v>
      </c>
      <c r="AA824" t="s">
        <v>31</v>
      </c>
      <c r="AB824" t="s">
        <v>63</v>
      </c>
      <c r="AC824" t="s">
        <v>23</v>
      </c>
      <c r="AD824">
        <v>1</v>
      </c>
      <c r="AE824">
        <v>0</v>
      </c>
      <c r="AF824">
        <v>1</v>
      </c>
      <c r="AG824">
        <v>0</v>
      </c>
      <c r="AH824">
        <v>0</v>
      </c>
      <c r="AI824">
        <v>1</v>
      </c>
      <c r="AJ824">
        <v>1</v>
      </c>
    </row>
    <row r="825" spans="1:36">
      <c r="A825" t="s">
        <v>985</v>
      </c>
      <c r="B825">
        <v>35.9</v>
      </c>
      <c r="C825" s="7">
        <v>46053.313194444447</v>
      </c>
      <c r="D825" s="7">
        <v>46054.808963240743</v>
      </c>
      <c r="E825" t="s">
        <v>23</v>
      </c>
      <c r="F825" t="s">
        <v>50</v>
      </c>
      <c r="G825" t="s">
        <v>25</v>
      </c>
      <c r="H825" t="s">
        <v>66</v>
      </c>
      <c r="I825" t="s">
        <v>42</v>
      </c>
      <c r="J825" t="s">
        <v>48</v>
      </c>
      <c r="K825" t="s">
        <v>37</v>
      </c>
      <c r="L825" t="s">
        <v>85</v>
      </c>
      <c r="M825">
        <v>63</v>
      </c>
      <c r="N825">
        <v>4</v>
      </c>
      <c r="O825">
        <v>0</v>
      </c>
      <c r="P825">
        <v>3</v>
      </c>
      <c r="Q825" t="s">
        <v>31</v>
      </c>
      <c r="R825">
        <v>120</v>
      </c>
      <c r="S825">
        <v>24</v>
      </c>
      <c r="T825" t="s">
        <v>63</v>
      </c>
      <c r="U825" t="s">
        <v>31</v>
      </c>
      <c r="V825">
        <v>2026</v>
      </c>
      <c r="W825">
        <v>1</v>
      </c>
      <c r="X825" t="s">
        <v>1414</v>
      </c>
      <c r="Y825" s="6">
        <v>46023</v>
      </c>
      <c r="Z825" t="s">
        <v>1413</v>
      </c>
      <c r="AA825" t="s">
        <v>31</v>
      </c>
      <c r="AB825" t="s">
        <v>63</v>
      </c>
      <c r="AC825" t="s">
        <v>23</v>
      </c>
      <c r="AD825">
        <v>1</v>
      </c>
      <c r="AE825">
        <v>0</v>
      </c>
      <c r="AF825">
        <v>1</v>
      </c>
      <c r="AG825">
        <v>0</v>
      </c>
      <c r="AH825">
        <v>0</v>
      </c>
      <c r="AI825">
        <v>1</v>
      </c>
      <c r="AJ825">
        <v>0</v>
      </c>
    </row>
    <row r="826" spans="1:36">
      <c r="A826" t="s">
        <v>986</v>
      </c>
      <c r="B826">
        <v>31.61</v>
      </c>
      <c r="C826" s="7">
        <v>46091.354861111111</v>
      </c>
      <c r="D826" s="7">
        <v>46092.672050289351</v>
      </c>
      <c r="E826" t="s">
        <v>23</v>
      </c>
      <c r="F826" t="s">
        <v>33</v>
      </c>
      <c r="G826" t="s">
        <v>41</v>
      </c>
      <c r="H826" t="s">
        <v>26</v>
      </c>
      <c r="I826" t="s">
        <v>42</v>
      </c>
      <c r="J826" t="s">
        <v>48</v>
      </c>
      <c r="K826" t="s">
        <v>37</v>
      </c>
      <c r="L826" t="s">
        <v>68</v>
      </c>
      <c r="M826">
        <v>197</v>
      </c>
      <c r="N826">
        <v>3</v>
      </c>
      <c r="O826">
        <v>0</v>
      </c>
      <c r="P826">
        <v>6</v>
      </c>
      <c r="Q826" t="s">
        <v>31</v>
      </c>
      <c r="R826">
        <v>240</v>
      </c>
      <c r="S826">
        <v>48</v>
      </c>
      <c r="T826" t="s">
        <v>63</v>
      </c>
      <c r="U826" t="s">
        <v>63</v>
      </c>
      <c r="V826">
        <v>2026</v>
      </c>
      <c r="W826">
        <v>3</v>
      </c>
      <c r="X826" t="s">
        <v>1423</v>
      </c>
      <c r="Y826" s="6">
        <v>46082</v>
      </c>
      <c r="Z826" t="s">
        <v>1418</v>
      </c>
      <c r="AA826" t="s">
        <v>31</v>
      </c>
      <c r="AB826" t="s">
        <v>63</v>
      </c>
      <c r="AC826" t="s">
        <v>23</v>
      </c>
      <c r="AD826">
        <v>1</v>
      </c>
      <c r="AE826">
        <v>0</v>
      </c>
      <c r="AF826">
        <v>1</v>
      </c>
      <c r="AG826">
        <v>0</v>
      </c>
      <c r="AH826">
        <v>0</v>
      </c>
      <c r="AI826">
        <v>1</v>
      </c>
      <c r="AJ826">
        <v>1</v>
      </c>
    </row>
    <row r="827" spans="1:36">
      <c r="A827" t="s">
        <v>987</v>
      </c>
      <c r="B827">
        <v>19.03</v>
      </c>
      <c r="C827" s="7">
        <v>46144.519444444442</v>
      </c>
      <c r="D827" s="7">
        <v>46145.312508263887</v>
      </c>
      <c r="E827" t="s">
        <v>23</v>
      </c>
      <c r="F827" t="s">
        <v>33</v>
      </c>
      <c r="G827" t="s">
        <v>65</v>
      </c>
      <c r="H827" t="s">
        <v>66</v>
      </c>
      <c r="I827" t="s">
        <v>27</v>
      </c>
      <c r="J827" t="s">
        <v>28</v>
      </c>
      <c r="K827" t="s">
        <v>29</v>
      </c>
      <c r="L827" t="s">
        <v>101</v>
      </c>
      <c r="M827">
        <v>296</v>
      </c>
      <c r="N827">
        <v>3</v>
      </c>
      <c r="O827">
        <v>0</v>
      </c>
      <c r="P827">
        <v>6</v>
      </c>
      <c r="Q827" t="s">
        <v>31</v>
      </c>
      <c r="R827">
        <v>240</v>
      </c>
      <c r="S827">
        <v>48</v>
      </c>
      <c r="T827" t="s">
        <v>31</v>
      </c>
      <c r="U827" t="s">
        <v>63</v>
      </c>
      <c r="V827">
        <v>2026</v>
      </c>
      <c r="W827">
        <v>5</v>
      </c>
      <c r="X827" t="s">
        <v>1416</v>
      </c>
      <c r="Y827" s="6">
        <v>46143</v>
      </c>
      <c r="Z827" t="s">
        <v>1418</v>
      </c>
      <c r="AA827" t="s">
        <v>31</v>
      </c>
      <c r="AB827" t="s">
        <v>63</v>
      </c>
      <c r="AC827" t="s">
        <v>23</v>
      </c>
      <c r="AD827">
        <v>1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1</v>
      </c>
    </row>
    <row r="828" spans="1:36">
      <c r="A828" t="s">
        <v>988</v>
      </c>
      <c r="B828">
        <v>63.98</v>
      </c>
      <c r="C828" s="7">
        <v>46171.165972222225</v>
      </c>
      <c r="D828" s="7">
        <v>46173.831902962964</v>
      </c>
      <c r="E828" t="s">
        <v>23</v>
      </c>
      <c r="F828" t="s">
        <v>50</v>
      </c>
      <c r="G828" t="s">
        <v>51</v>
      </c>
      <c r="H828" t="s">
        <v>54</v>
      </c>
      <c r="I828" t="s">
        <v>42</v>
      </c>
      <c r="J828" t="s">
        <v>28</v>
      </c>
      <c r="K828" t="s">
        <v>58</v>
      </c>
      <c r="L828" t="s">
        <v>68</v>
      </c>
      <c r="M828">
        <v>62</v>
      </c>
      <c r="N828">
        <v>3</v>
      </c>
      <c r="O828">
        <v>1</v>
      </c>
      <c r="P828">
        <v>6</v>
      </c>
      <c r="Q828" t="s">
        <v>31</v>
      </c>
      <c r="R828">
        <v>120</v>
      </c>
      <c r="S828">
        <v>24</v>
      </c>
      <c r="T828" t="s">
        <v>63</v>
      </c>
      <c r="U828" t="s">
        <v>31</v>
      </c>
      <c r="V828">
        <v>2026</v>
      </c>
      <c r="W828">
        <v>5</v>
      </c>
      <c r="X828" t="s">
        <v>1416</v>
      </c>
      <c r="Y828" s="6">
        <v>46143</v>
      </c>
      <c r="Z828" t="s">
        <v>1418</v>
      </c>
      <c r="AA828" t="s">
        <v>63</v>
      </c>
      <c r="AB828" t="s">
        <v>63</v>
      </c>
      <c r="AC828" t="s">
        <v>23</v>
      </c>
      <c r="AD828">
        <v>1</v>
      </c>
      <c r="AE828">
        <v>0</v>
      </c>
      <c r="AF828">
        <v>1</v>
      </c>
      <c r="AG828">
        <v>1</v>
      </c>
      <c r="AH828">
        <v>0</v>
      </c>
      <c r="AI828">
        <v>1</v>
      </c>
      <c r="AJ828">
        <v>0</v>
      </c>
    </row>
    <row r="829" spans="1:36">
      <c r="A829" t="s">
        <v>989</v>
      </c>
      <c r="B829">
        <v>12.97</v>
      </c>
      <c r="C829" s="7">
        <v>46231.277777777781</v>
      </c>
      <c r="D829" s="7">
        <v>46231.81803224537</v>
      </c>
      <c r="E829" t="s">
        <v>23</v>
      </c>
      <c r="F829" t="s">
        <v>50</v>
      </c>
      <c r="G829" t="s">
        <v>51</v>
      </c>
      <c r="H829" t="s">
        <v>54</v>
      </c>
      <c r="I829" t="s">
        <v>27</v>
      </c>
      <c r="J829" t="s">
        <v>48</v>
      </c>
      <c r="K829" t="s">
        <v>29</v>
      </c>
      <c r="L829" t="s">
        <v>68</v>
      </c>
      <c r="M829">
        <v>153</v>
      </c>
      <c r="N829">
        <v>4</v>
      </c>
      <c r="O829">
        <v>0</v>
      </c>
      <c r="P829">
        <v>7</v>
      </c>
      <c r="Q829" t="s">
        <v>31</v>
      </c>
      <c r="R829">
        <v>120</v>
      </c>
      <c r="S829">
        <v>24</v>
      </c>
      <c r="T829" t="s">
        <v>31</v>
      </c>
      <c r="U829" t="s">
        <v>63</v>
      </c>
      <c r="V829">
        <v>2026</v>
      </c>
      <c r="W829">
        <v>7</v>
      </c>
      <c r="X829" t="s">
        <v>1422</v>
      </c>
      <c r="Y829" s="6">
        <v>46204</v>
      </c>
      <c r="Z829" t="s">
        <v>1413</v>
      </c>
      <c r="AA829" t="s">
        <v>31</v>
      </c>
      <c r="AB829" t="s">
        <v>63</v>
      </c>
      <c r="AC829" t="s">
        <v>23</v>
      </c>
      <c r="AD829">
        <v>1</v>
      </c>
      <c r="AE829">
        <v>0</v>
      </c>
      <c r="AF829">
        <v>1</v>
      </c>
      <c r="AG829">
        <v>0</v>
      </c>
      <c r="AH829">
        <v>0</v>
      </c>
      <c r="AI829">
        <v>0</v>
      </c>
      <c r="AJ829">
        <v>1</v>
      </c>
    </row>
    <row r="830" spans="1:36">
      <c r="A830" t="s">
        <v>990</v>
      </c>
      <c r="B830">
        <v>16.28</v>
      </c>
      <c r="C830" s="7">
        <v>46052.651388888888</v>
      </c>
      <c r="D830" s="7">
        <v>46053.329856840275</v>
      </c>
      <c r="E830" t="s">
        <v>23</v>
      </c>
      <c r="F830" t="s">
        <v>40</v>
      </c>
      <c r="G830" t="s">
        <v>65</v>
      </c>
      <c r="H830" t="s">
        <v>26</v>
      </c>
      <c r="I830" t="s">
        <v>35</v>
      </c>
      <c r="J830" t="s">
        <v>48</v>
      </c>
      <c r="K830" t="s">
        <v>67</v>
      </c>
      <c r="L830" t="s">
        <v>55</v>
      </c>
      <c r="M830">
        <v>41</v>
      </c>
      <c r="N830">
        <v>5</v>
      </c>
      <c r="O830">
        <v>0</v>
      </c>
      <c r="P830">
        <v>5</v>
      </c>
      <c r="Q830" t="s">
        <v>31</v>
      </c>
      <c r="R830">
        <v>30</v>
      </c>
      <c r="S830">
        <v>8</v>
      </c>
      <c r="T830" t="s">
        <v>31</v>
      </c>
      <c r="U830" t="s">
        <v>31</v>
      </c>
      <c r="V830">
        <v>2026</v>
      </c>
      <c r="W830">
        <v>1</v>
      </c>
      <c r="X830" t="s">
        <v>1414</v>
      </c>
      <c r="Y830" s="6">
        <v>46023</v>
      </c>
      <c r="Z830" t="s">
        <v>1413</v>
      </c>
      <c r="AA830" t="s">
        <v>31</v>
      </c>
      <c r="AB830" t="s">
        <v>63</v>
      </c>
      <c r="AC830" t="s">
        <v>23</v>
      </c>
      <c r="AD830">
        <v>1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0</v>
      </c>
    </row>
    <row r="831" spans="1:36">
      <c r="A831" t="s">
        <v>991</v>
      </c>
      <c r="B831">
        <v>50.3</v>
      </c>
      <c r="C831" s="7">
        <v>46061.663888888892</v>
      </c>
      <c r="D831" s="7">
        <v>46063.759833425924</v>
      </c>
      <c r="E831" t="s">
        <v>23</v>
      </c>
      <c r="F831" t="s">
        <v>33</v>
      </c>
      <c r="G831" t="s">
        <v>25</v>
      </c>
      <c r="H831" t="s">
        <v>26</v>
      </c>
      <c r="I831" t="s">
        <v>42</v>
      </c>
      <c r="J831" t="s">
        <v>36</v>
      </c>
      <c r="K831" t="s">
        <v>52</v>
      </c>
      <c r="L831" t="s">
        <v>71</v>
      </c>
      <c r="M831">
        <v>104</v>
      </c>
      <c r="N831">
        <v>3</v>
      </c>
      <c r="O831">
        <v>0</v>
      </c>
      <c r="P831">
        <v>2</v>
      </c>
      <c r="Q831" t="s">
        <v>31</v>
      </c>
      <c r="R831">
        <v>240</v>
      </c>
      <c r="S831">
        <v>48</v>
      </c>
      <c r="T831" t="s">
        <v>63</v>
      </c>
      <c r="U831" t="s">
        <v>31</v>
      </c>
      <c r="V831">
        <v>2026</v>
      </c>
      <c r="W831">
        <v>2</v>
      </c>
      <c r="X831" t="s">
        <v>1419</v>
      </c>
      <c r="Y831" s="6">
        <v>46054</v>
      </c>
      <c r="Z831" t="s">
        <v>1418</v>
      </c>
      <c r="AA831" t="s">
        <v>31</v>
      </c>
      <c r="AB831" t="s">
        <v>63</v>
      </c>
      <c r="AC831" t="s">
        <v>23</v>
      </c>
      <c r="AD831">
        <v>1</v>
      </c>
      <c r="AE831">
        <v>0</v>
      </c>
      <c r="AF831">
        <v>1</v>
      </c>
      <c r="AG831">
        <v>0</v>
      </c>
      <c r="AH831">
        <v>0</v>
      </c>
      <c r="AI831">
        <v>1</v>
      </c>
      <c r="AJ831">
        <v>0</v>
      </c>
    </row>
    <row r="832" spans="1:36">
      <c r="A832" t="s">
        <v>992</v>
      </c>
      <c r="B832">
        <v>19.38</v>
      </c>
      <c r="C832" s="7">
        <v>46128.469444444447</v>
      </c>
      <c r="D832" s="7">
        <v>46129.277062789355</v>
      </c>
      <c r="E832" t="s">
        <v>23</v>
      </c>
      <c r="F832" t="s">
        <v>50</v>
      </c>
      <c r="G832" t="s">
        <v>25</v>
      </c>
      <c r="H832" t="s">
        <v>26</v>
      </c>
      <c r="I832" t="s">
        <v>35</v>
      </c>
      <c r="J832" t="s">
        <v>36</v>
      </c>
      <c r="K832" t="s">
        <v>37</v>
      </c>
      <c r="L832" t="s">
        <v>55</v>
      </c>
      <c r="M832">
        <v>93</v>
      </c>
      <c r="N832">
        <v>4</v>
      </c>
      <c r="O832">
        <v>0</v>
      </c>
      <c r="P832">
        <v>6</v>
      </c>
      <c r="Q832" t="s">
        <v>31</v>
      </c>
      <c r="R832">
        <v>120</v>
      </c>
      <c r="S832">
        <v>24</v>
      </c>
      <c r="T832" t="s">
        <v>63</v>
      </c>
      <c r="U832" t="s">
        <v>63</v>
      </c>
      <c r="V832">
        <v>2026</v>
      </c>
      <c r="W832">
        <v>4</v>
      </c>
      <c r="X832" t="s">
        <v>1412</v>
      </c>
      <c r="Y832" s="6">
        <v>46113</v>
      </c>
      <c r="Z832" t="s">
        <v>1413</v>
      </c>
      <c r="AA832" t="s">
        <v>31</v>
      </c>
      <c r="AB832" t="s">
        <v>63</v>
      </c>
      <c r="AC832" t="s">
        <v>23</v>
      </c>
      <c r="AD832">
        <v>1</v>
      </c>
      <c r="AE832">
        <v>0</v>
      </c>
      <c r="AF832">
        <v>1</v>
      </c>
      <c r="AG832">
        <v>0</v>
      </c>
      <c r="AH832">
        <v>0</v>
      </c>
      <c r="AI832">
        <v>1</v>
      </c>
      <c r="AJ832">
        <v>1</v>
      </c>
    </row>
    <row r="833" spans="1:36">
      <c r="A833" t="s">
        <v>993</v>
      </c>
      <c r="B833">
        <v>17.03</v>
      </c>
      <c r="C833" s="7">
        <v>46224.583333333336</v>
      </c>
      <c r="D833" s="7">
        <v>46225.29303872685</v>
      </c>
      <c r="E833" t="s">
        <v>23</v>
      </c>
      <c r="F833" t="s">
        <v>50</v>
      </c>
      <c r="G833" t="s">
        <v>51</v>
      </c>
      <c r="H833" t="s">
        <v>26</v>
      </c>
      <c r="I833" t="s">
        <v>42</v>
      </c>
      <c r="J833" t="s">
        <v>43</v>
      </c>
      <c r="K833" t="s">
        <v>52</v>
      </c>
      <c r="L833" t="s">
        <v>93</v>
      </c>
      <c r="M833">
        <v>99</v>
      </c>
      <c r="N833">
        <v>4</v>
      </c>
      <c r="O833">
        <v>0</v>
      </c>
      <c r="P833">
        <v>4</v>
      </c>
      <c r="Q833" t="s">
        <v>31</v>
      </c>
      <c r="R833">
        <v>120</v>
      </c>
      <c r="S833">
        <v>24</v>
      </c>
      <c r="T833" t="s">
        <v>63</v>
      </c>
      <c r="U833" t="s">
        <v>63</v>
      </c>
      <c r="V833">
        <v>2026</v>
      </c>
      <c r="W833">
        <v>7</v>
      </c>
      <c r="X833" t="s">
        <v>1422</v>
      </c>
      <c r="Y833" s="6">
        <v>46204</v>
      </c>
      <c r="Z833" t="s">
        <v>1413</v>
      </c>
      <c r="AA833" t="s">
        <v>31</v>
      </c>
      <c r="AB833" t="s">
        <v>63</v>
      </c>
      <c r="AC833" t="s">
        <v>23</v>
      </c>
      <c r="AD833">
        <v>1</v>
      </c>
      <c r="AE833">
        <v>0</v>
      </c>
      <c r="AF833">
        <v>1</v>
      </c>
      <c r="AG833">
        <v>0</v>
      </c>
      <c r="AH833">
        <v>0</v>
      </c>
      <c r="AI833">
        <v>1</v>
      </c>
      <c r="AJ833">
        <v>1</v>
      </c>
    </row>
    <row r="834" spans="1:36">
      <c r="A834" t="s">
        <v>994</v>
      </c>
      <c r="B834">
        <v>31.43</v>
      </c>
      <c r="C834" s="7">
        <v>46138.152083333334</v>
      </c>
      <c r="D834" s="7">
        <v>46139.461739027778</v>
      </c>
      <c r="E834" t="s">
        <v>23</v>
      </c>
      <c r="F834" t="s">
        <v>50</v>
      </c>
      <c r="G834" t="s">
        <v>51</v>
      </c>
      <c r="H834" t="s">
        <v>75</v>
      </c>
      <c r="I834" t="s">
        <v>27</v>
      </c>
      <c r="J834" t="s">
        <v>36</v>
      </c>
      <c r="K834" t="s">
        <v>29</v>
      </c>
      <c r="L834" t="s">
        <v>71</v>
      </c>
      <c r="M834">
        <v>89</v>
      </c>
      <c r="N834">
        <v>4</v>
      </c>
      <c r="O834">
        <v>0</v>
      </c>
      <c r="P834">
        <v>3</v>
      </c>
      <c r="Q834" t="s">
        <v>31</v>
      </c>
      <c r="R834">
        <v>120</v>
      </c>
      <c r="S834">
        <v>24</v>
      </c>
      <c r="T834" t="s">
        <v>63</v>
      </c>
      <c r="U834" t="s">
        <v>31</v>
      </c>
      <c r="V834">
        <v>2026</v>
      </c>
      <c r="W834">
        <v>4</v>
      </c>
      <c r="X834" t="s">
        <v>1412</v>
      </c>
      <c r="Y834" s="6">
        <v>46113</v>
      </c>
      <c r="Z834" t="s">
        <v>1413</v>
      </c>
      <c r="AA834" t="s">
        <v>31</v>
      </c>
      <c r="AB834" t="s">
        <v>63</v>
      </c>
      <c r="AC834" t="s">
        <v>23</v>
      </c>
      <c r="AD834">
        <v>1</v>
      </c>
      <c r="AE834">
        <v>0</v>
      </c>
      <c r="AF834">
        <v>1</v>
      </c>
      <c r="AG834">
        <v>0</v>
      </c>
      <c r="AH834">
        <v>0</v>
      </c>
      <c r="AI834">
        <v>1</v>
      </c>
      <c r="AJ834">
        <v>0</v>
      </c>
    </row>
    <row r="835" spans="1:36">
      <c r="A835" t="s">
        <v>996</v>
      </c>
      <c r="C835" s="7">
        <v>46176.864583333336</v>
      </c>
      <c r="D835" s="7"/>
      <c r="E835" t="s">
        <v>74</v>
      </c>
      <c r="F835" t="s">
        <v>50</v>
      </c>
      <c r="G835" t="s">
        <v>41</v>
      </c>
      <c r="H835" t="s">
        <v>54</v>
      </c>
      <c r="I835" t="s">
        <v>27</v>
      </c>
      <c r="J835" t="s">
        <v>36</v>
      </c>
      <c r="K835" t="s">
        <v>52</v>
      </c>
      <c r="L835" t="s">
        <v>62</v>
      </c>
      <c r="M835">
        <v>66</v>
      </c>
      <c r="O835">
        <v>0</v>
      </c>
      <c r="P835">
        <v>6</v>
      </c>
      <c r="Q835" t="s">
        <v>31</v>
      </c>
      <c r="R835">
        <v>120</v>
      </c>
      <c r="S835">
        <v>24</v>
      </c>
      <c r="T835" t="s">
        <v>63</v>
      </c>
      <c r="U835" t="s">
        <v>74</v>
      </c>
      <c r="V835">
        <v>2026</v>
      </c>
      <c r="W835">
        <v>6</v>
      </c>
      <c r="X835" t="s">
        <v>1421</v>
      </c>
      <c r="Y835" s="6">
        <v>46174</v>
      </c>
      <c r="Z835" t="s">
        <v>1420</v>
      </c>
      <c r="AA835" t="s">
        <v>31</v>
      </c>
      <c r="AB835" t="s">
        <v>31</v>
      </c>
      <c r="AC835" t="s">
        <v>74</v>
      </c>
      <c r="AD835">
        <v>1</v>
      </c>
      <c r="AE835">
        <v>1</v>
      </c>
      <c r="AF835">
        <v>0</v>
      </c>
      <c r="AG835">
        <v>0</v>
      </c>
      <c r="AH835">
        <v>0</v>
      </c>
      <c r="AI835">
        <v>1</v>
      </c>
    </row>
    <row r="836" spans="1:36">
      <c r="A836" t="s">
        <v>997</v>
      </c>
      <c r="B836">
        <v>58.4</v>
      </c>
      <c r="C836" s="7">
        <v>46141.434027777781</v>
      </c>
      <c r="D836" s="7">
        <v>46143.86753236111</v>
      </c>
      <c r="E836" t="s">
        <v>23</v>
      </c>
      <c r="F836" t="s">
        <v>50</v>
      </c>
      <c r="G836" t="s">
        <v>41</v>
      </c>
      <c r="H836" t="s">
        <v>54</v>
      </c>
      <c r="I836" t="s">
        <v>35</v>
      </c>
      <c r="J836" t="s">
        <v>36</v>
      </c>
      <c r="K836" t="s">
        <v>37</v>
      </c>
      <c r="L836" t="s">
        <v>101</v>
      </c>
      <c r="M836">
        <v>142</v>
      </c>
      <c r="N836">
        <v>4</v>
      </c>
      <c r="O836">
        <v>0</v>
      </c>
      <c r="P836">
        <v>6</v>
      </c>
      <c r="Q836" t="s">
        <v>31</v>
      </c>
      <c r="R836">
        <v>120</v>
      </c>
      <c r="S836">
        <v>24</v>
      </c>
      <c r="T836" t="s">
        <v>31</v>
      </c>
      <c r="U836" t="s">
        <v>31</v>
      </c>
      <c r="V836">
        <v>2026</v>
      </c>
      <c r="W836">
        <v>4</v>
      </c>
      <c r="X836" t="s">
        <v>1412</v>
      </c>
      <c r="Y836" s="6">
        <v>46113</v>
      </c>
      <c r="Z836" t="s">
        <v>1413</v>
      </c>
      <c r="AA836" t="s">
        <v>31</v>
      </c>
      <c r="AB836" t="s">
        <v>63</v>
      </c>
      <c r="AC836" t="s">
        <v>23</v>
      </c>
      <c r="AD836">
        <v>1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0</v>
      </c>
    </row>
    <row r="837" spans="1:36">
      <c r="A837" t="s">
        <v>998</v>
      </c>
      <c r="B837">
        <v>30.51</v>
      </c>
      <c r="C837" s="7">
        <v>46239.947222222225</v>
      </c>
      <c r="D837" s="7">
        <v>46241.218360046296</v>
      </c>
      <c r="E837" t="s">
        <v>23</v>
      </c>
      <c r="F837" t="s">
        <v>33</v>
      </c>
      <c r="G837" t="s">
        <v>51</v>
      </c>
      <c r="H837" t="s">
        <v>26</v>
      </c>
      <c r="I837" t="s">
        <v>35</v>
      </c>
      <c r="J837" t="s">
        <v>48</v>
      </c>
      <c r="K837" t="s">
        <v>67</v>
      </c>
      <c r="L837" t="s">
        <v>38</v>
      </c>
      <c r="M837">
        <v>177</v>
      </c>
      <c r="N837">
        <v>4</v>
      </c>
      <c r="O837">
        <v>0</v>
      </c>
      <c r="P837">
        <v>6</v>
      </c>
      <c r="Q837" t="s">
        <v>31</v>
      </c>
      <c r="R837">
        <v>240</v>
      </c>
      <c r="S837">
        <v>48</v>
      </c>
      <c r="T837" t="s">
        <v>63</v>
      </c>
      <c r="U837" t="s">
        <v>63</v>
      </c>
      <c r="V837">
        <v>2026</v>
      </c>
      <c r="W837">
        <v>8</v>
      </c>
      <c r="X837" t="s">
        <v>1417</v>
      </c>
      <c r="Y837" s="6">
        <v>46235</v>
      </c>
      <c r="Z837" t="s">
        <v>1413</v>
      </c>
      <c r="AA837" t="s">
        <v>31</v>
      </c>
      <c r="AB837" t="s">
        <v>63</v>
      </c>
      <c r="AC837" t="s">
        <v>23</v>
      </c>
      <c r="AD837">
        <v>1</v>
      </c>
      <c r="AE837">
        <v>0</v>
      </c>
      <c r="AF837">
        <v>1</v>
      </c>
      <c r="AG837">
        <v>0</v>
      </c>
      <c r="AH837">
        <v>0</v>
      </c>
      <c r="AI837">
        <v>1</v>
      </c>
      <c r="AJ837">
        <v>1</v>
      </c>
    </row>
    <row r="838" spans="1:36">
      <c r="A838" t="s">
        <v>999</v>
      </c>
      <c r="B838">
        <v>12.57</v>
      </c>
      <c r="C838" s="7">
        <v>46197.678472222222</v>
      </c>
      <c r="D838" s="7">
        <v>46198.202238020836</v>
      </c>
      <c r="E838" t="s">
        <v>23</v>
      </c>
      <c r="F838" t="s">
        <v>50</v>
      </c>
      <c r="G838" t="s">
        <v>25</v>
      </c>
      <c r="H838" t="s">
        <v>66</v>
      </c>
      <c r="I838" t="s">
        <v>42</v>
      </c>
      <c r="J838" t="s">
        <v>48</v>
      </c>
      <c r="K838" t="s">
        <v>37</v>
      </c>
      <c r="L838" t="s">
        <v>71</v>
      </c>
      <c r="M838">
        <v>153</v>
      </c>
      <c r="N838">
        <v>4</v>
      </c>
      <c r="O838">
        <v>0</v>
      </c>
      <c r="P838">
        <v>7</v>
      </c>
      <c r="Q838" t="s">
        <v>31</v>
      </c>
      <c r="R838">
        <v>120</v>
      </c>
      <c r="S838">
        <v>24</v>
      </c>
      <c r="T838" t="s">
        <v>31</v>
      </c>
      <c r="U838" t="s">
        <v>63</v>
      </c>
      <c r="V838">
        <v>2026</v>
      </c>
      <c r="W838">
        <v>6</v>
      </c>
      <c r="X838" t="s">
        <v>1421</v>
      </c>
      <c r="Y838" s="6">
        <v>46174</v>
      </c>
      <c r="Z838" t="s">
        <v>1413</v>
      </c>
      <c r="AA838" t="s">
        <v>31</v>
      </c>
      <c r="AB838" t="s">
        <v>63</v>
      </c>
      <c r="AC838" t="s">
        <v>23</v>
      </c>
      <c r="AD838">
        <v>1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1</v>
      </c>
    </row>
    <row r="839" spans="1:36">
      <c r="A839" t="s">
        <v>1000</v>
      </c>
      <c r="B839">
        <v>66.2</v>
      </c>
      <c r="C839" s="7">
        <v>46075.189583333333</v>
      </c>
      <c r="D839" s="7">
        <v>46077.948021226854</v>
      </c>
      <c r="E839" t="s">
        <v>23</v>
      </c>
      <c r="F839" t="s">
        <v>33</v>
      </c>
      <c r="G839" t="s">
        <v>25</v>
      </c>
      <c r="H839" t="s">
        <v>75</v>
      </c>
      <c r="I839" t="s">
        <v>42</v>
      </c>
      <c r="J839" t="s">
        <v>28</v>
      </c>
      <c r="K839" t="s">
        <v>58</v>
      </c>
      <c r="L839" t="s">
        <v>101</v>
      </c>
      <c r="M839">
        <v>95</v>
      </c>
      <c r="N839">
        <v>3</v>
      </c>
      <c r="O839">
        <v>1</v>
      </c>
      <c r="P839">
        <v>10</v>
      </c>
      <c r="Q839" t="s">
        <v>31</v>
      </c>
      <c r="R839">
        <v>240</v>
      </c>
      <c r="S839">
        <v>48</v>
      </c>
      <c r="T839" t="s">
        <v>63</v>
      </c>
      <c r="U839" t="s">
        <v>31</v>
      </c>
      <c r="V839">
        <v>2026</v>
      </c>
      <c r="W839">
        <v>2</v>
      </c>
      <c r="X839" t="s">
        <v>1419</v>
      </c>
      <c r="Y839" s="6">
        <v>46054</v>
      </c>
      <c r="Z839" t="s">
        <v>1418</v>
      </c>
      <c r="AA839" t="s">
        <v>63</v>
      </c>
      <c r="AB839" t="s">
        <v>63</v>
      </c>
      <c r="AC839" t="s">
        <v>23</v>
      </c>
      <c r="AD839">
        <v>1</v>
      </c>
      <c r="AE839">
        <v>0</v>
      </c>
      <c r="AF839">
        <v>1</v>
      </c>
      <c r="AG839">
        <v>1</v>
      </c>
      <c r="AH839">
        <v>0</v>
      </c>
      <c r="AI839">
        <v>1</v>
      </c>
      <c r="AJ839">
        <v>0</v>
      </c>
    </row>
    <row r="840" spans="1:36">
      <c r="A840" t="s">
        <v>1001</v>
      </c>
      <c r="B840">
        <v>54.87</v>
      </c>
      <c r="C840" s="7">
        <v>46092.138194444444</v>
      </c>
      <c r="D840" s="7">
        <v>46094.424574513891</v>
      </c>
      <c r="E840" t="s">
        <v>23</v>
      </c>
      <c r="F840" t="s">
        <v>33</v>
      </c>
      <c r="G840" t="s">
        <v>65</v>
      </c>
      <c r="H840" t="s">
        <v>75</v>
      </c>
      <c r="I840" t="s">
        <v>42</v>
      </c>
      <c r="J840" t="s">
        <v>36</v>
      </c>
      <c r="K840" t="s">
        <v>58</v>
      </c>
      <c r="L840" t="s">
        <v>30</v>
      </c>
      <c r="M840">
        <v>232</v>
      </c>
      <c r="N840">
        <v>3</v>
      </c>
      <c r="O840">
        <v>0</v>
      </c>
      <c r="P840">
        <v>7</v>
      </c>
      <c r="Q840" t="s">
        <v>31</v>
      </c>
      <c r="R840">
        <v>240</v>
      </c>
      <c r="S840">
        <v>48</v>
      </c>
      <c r="T840" t="s">
        <v>63</v>
      </c>
      <c r="U840" t="s">
        <v>31</v>
      </c>
      <c r="V840">
        <v>2026</v>
      </c>
      <c r="W840">
        <v>3</v>
      </c>
      <c r="X840" t="s">
        <v>1423</v>
      </c>
      <c r="Y840" s="6">
        <v>46082</v>
      </c>
      <c r="Z840" t="s">
        <v>1418</v>
      </c>
      <c r="AA840" t="s">
        <v>31</v>
      </c>
      <c r="AB840" t="s">
        <v>63</v>
      </c>
      <c r="AC840" t="s">
        <v>23</v>
      </c>
      <c r="AD840">
        <v>1</v>
      </c>
      <c r="AE840">
        <v>0</v>
      </c>
      <c r="AF840">
        <v>1</v>
      </c>
      <c r="AG840">
        <v>0</v>
      </c>
      <c r="AH840">
        <v>0</v>
      </c>
      <c r="AI840">
        <v>1</v>
      </c>
      <c r="AJ840">
        <v>0</v>
      </c>
    </row>
    <row r="841" spans="1:36">
      <c r="A841" t="s">
        <v>1002</v>
      </c>
      <c r="B841">
        <v>28.47</v>
      </c>
      <c r="C841" s="7">
        <v>46129.95</v>
      </c>
      <c r="D841" s="7">
        <v>46131.136105138889</v>
      </c>
      <c r="E841" t="s">
        <v>23</v>
      </c>
      <c r="F841" t="s">
        <v>33</v>
      </c>
      <c r="G841" t="s">
        <v>51</v>
      </c>
      <c r="H841" t="s">
        <v>75</v>
      </c>
      <c r="I841" t="s">
        <v>42</v>
      </c>
      <c r="J841" t="s">
        <v>36</v>
      </c>
      <c r="K841" t="s">
        <v>29</v>
      </c>
      <c r="L841" t="s">
        <v>93</v>
      </c>
      <c r="M841">
        <v>374</v>
      </c>
      <c r="N841">
        <v>3</v>
      </c>
      <c r="O841">
        <v>0</v>
      </c>
      <c r="P841">
        <v>7</v>
      </c>
      <c r="Q841" t="s">
        <v>31</v>
      </c>
      <c r="R841">
        <v>240</v>
      </c>
      <c r="S841">
        <v>48</v>
      </c>
      <c r="T841" t="s">
        <v>31</v>
      </c>
      <c r="U841" t="s">
        <v>63</v>
      </c>
      <c r="V841">
        <v>2026</v>
      </c>
      <c r="W841">
        <v>4</v>
      </c>
      <c r="X841" t="s">
        <v>1412</v>
      </c>
      <c r="Y841" s="6">
        <v>46113</v>
      </c>
      <c r="Z841" t="s">
        <v>1418</v>
      </c>
      <c r="AA841" t="s">
        <v>31</v>
      </c>
      <c r="AB841" t="s">
        <v>63</v>
      </c>
      <c r="AC841" t="s">
        <v>23</v>
      </c>
      <c r="AD841">
        <v>1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1</v>
      </c>
    </row>
    <row r="842" spans="1:36">
      <c r="A842" t="s">
        <v>1003</v>
      </c>
      <c r="B842">
        <v>18.62</v>
      </c>
      <c r="C842" s="7">
        <v>46087.176388888889</v>
      </c>
      <c r="D842" s="7">
        <v>46087.952038738425</v>
      </c>
      <c r="E842" t="s">
        <v>23</v>
      </c>
      <c r="F842" t="s">
        <v>50</v>
      </c>
      <c r="G842" t="s">
        <v>41</v>
      </c>
      <c r="H842" t="s">
        <v>54</v>
      </c>
      <c r="I842" t="s">
        <v>35</v>
      </c>
      <c r="J842" t="s">
        <v>36</v>
      </c>
      <c r="K842" t="s">
        <v>37</v>
      </c>
      <c r="L842" t="s">
        <v>93</v>
      </c>
      <c r="M842">
        <v>52</v>
      </c>
      <c r="N842">
        <v>4</v>
      </c>
      <c r="O842">
        <v>0</v>
      </c>
      <c r="P842">
        <v>6</v>
      </c>
      <c r="Q842" t="s">
        <v>31</v>
      </c>
      <c r="R842">
        <v>120</v>
      </c>
      <c r="S842">
        <v>24</v>
      </c>
      <c r="T842" t="s">
        <v>63</v>
      </c>
      <c r="U842" t="s">
        <v>63</v>
      </c>
      <c r="V842">
        <v>2026</v>
      </c>
      <c r="W842">
        <v>3</v>
      </c>
      <c r="X842" t="s">
        <v>1423</v>
      </c>
      <c r="Y842" s="6">
        <v>46082</v>
      </c>
      <c r="Z842" t="s">
        <v>1413</v>
      </c>
      <c r="AA842" t="s">
        <v>31</v>
      </c>
      <c r="AB842" t="s">
        <v>63</v>
      </c>
      <c r="AC842" t="s">
        <v>23</v>
      </c>
      <c r="AD842">
        <v>1</v>
      </c>
      <c r="AE842">
        <v>0</v>
      </c>
      <c r="AF842">
        <v>1</v>
      </c>
      <c r="AG842">
        <v>0</v>
      </c>
      <c r="AH842">
        <v>0</v>
      </c>
      <c r="AI842">
        <v>1</v>
      </c>
      <c r="AJ842">
        <v>1</v>
      </c>
    </row>
    <row r="843" spans="1:36">
      <c r="A843" t="s">
        <v>1004</v>
      </c>
      <c r="B843">
        <v>28.84</v>
      </c>
      <c r="C843" s="7">
        <v>46141.593055555553</v>
      </c>
      <c r="D843" s="7">
        <v>46142.794767465275</v>
      </c>
      <c r="E843" t="s">
        <v>23</v>
      </c>
      <c r="F843" t="s">
        <v>1402</v>
      </c>
      <c r="G843" t="s">
        <v>51</v>
      </c>
      <c r="H843" t="s">
        <v>54</v>
      </c>
      <c r="I843" t="s">
        <v>42</v>
      </c>
      <c r="J843" t="s">
        <v>28</v>
      </c>
      <c r="K843" t="s">
        <v>58</v>
      </c>
      <c r="L843" t="s">
        <v>55</v>
      </c>
      <c r="M843">
        <v>341</v>
      </c>
      <c r="N843">
        <v>3</v>
      </c>
      <c r="O843">
        <v>0</v>
      </c>
      <c r="P843">
        <v>5</v>
      </c>
      <c r="Q843" t="s">
        <v>31</v>
      </c>
      <c r="V843">
        <v>2026</v>
      </c>
      <c r="W843">
        <v>4</v>
      </c>
      <c r="X843" t="s">
        <v>1412</v>
      </c>
      <c r="Y843" s="6">
        <v>46113</v>
      </c>
      <c r="Z843" t="s">
        <v>1418</v>
      </c>
      <c r="AA843" t="s">
        <v>31</v>
      </c>
      <c r="AB843" t="s">
        <v>63</v>
      </c>
      <c r="AC843" t="s">
        <v>23</v>
      </c>
      <c r="AD843">
        <v>1</v>
      </c>
      <c r="AE843">
        <v>0</v>
      </c>
      <c r="AF843">
        <v>1</v>
      </c>
      <c r="AG843">
        <v>0</v>
      </c>
      <c r="AH843">
        <v>0</v>
      </c>
    </row>
    <row r="844" spans="1:36">
      <c r="A844" t="s">
        <v>1005</v>
      </c>
      <c r="B844">
        <v>15.25</v>
      </c>
      <c r="C844" s="7">
        <v>46216.790277777778</v>
      </c>
      <c r="D844" s="7">
        <v>46217.425807129628</v>
      </c>
      <c r="E844" t="s">
        <v>23</v>
      </c>
      <c r="F844" t="s">
        <v>50</v>
      </c>
      <c r="G844" t="s">
        <v>25</v>
      </c>
      <c r="H844" t="s">
        <v>26</v>
      </c>
      <c r="I844" t="s">
        <v>42</v>
      </c>
      <c r="J844" t="s">
        <v>48</v>
      </c>
      <c r="K844" t="s">
        <v>37</v>
      </c>
      <c r="L844" t="s">
        <v>44</v>
      </c>
      <c r="M844">
        <v>105</v>
      </c>
      <c r="N844">
        <v>4</v>
      </c>
      <c r="O844">
        <v>0</v>
      </c>
      <c r="P844">
        <v>7</v>
      </c>
      <c r="Q844" t="s">
        <v>31</v>
      </c>
      <c r="R844">
        <v>120</v>
      </c>
      <c r="S844">
        <v>24</v>
      </c>
      <c r="T844" t="s">
        <v>63</v>
      </c>
      <c r="U844" t="s">
        <v>63</v>
      </c>
      <c r="V844">
        <v>2026</v>
      </c>
      <c r="W844">
        <v>7</v>
      </c>
      <c r="X844" t="s">
        <v>1422</v>
      </c>
      <c r="Y844" s="6">
        <v>46204</v>
      </c>
      <c r="Z844" t="s">
        <v>1413</v>
      </c>
      <c r="AA844" t="s">
        <v>31</v>
      </c>
      <c r="AB844" t="s">
        <v>63</v>
      </c>
      <c r="AC844" t="s">
        <v>23</v>
      </c>
      <c r="AD844">
        <v>1</v>
      </c>
      <c r="AE844">
        <v>0</v>
      </c>
      <c r="AF844">
        <v>1</v>
      </c>
      <c r="AG844">
        <v>0</v>
      </c>
      <c r="AH844">
        <v>0</v>
      </c>
      <c r="AI844">
        <v>1</v>
      </c>
      <c r="AJ844">
        <v>1</v>
      </c>
    </row>
    <row r="845" spans="1:36">
      <c r="A845" t="s">
        <v>1006</v>
      </c>
      <c r="B845">
        <v>17.73</v>
      </c>
      <c r="C845" s="7">
        <v>46216.393055555556</v>
      </c>
      <c r="D845" s="7">
        <v>46217.131854710649</v>
      </c>
      <c r="E845" t="s">
        <v>23</v>
      </c>
      <c r="F845" t="s">
        <v>50</v>
      </c>
      <c r="G845" t="s">
        <v>51</v>
      </c>
      <c r="H845" t="s">
        <v>66</v>
      </c>
      <c r="I845" t="s">
        <v>35</v>
      </c>
      <c r="J845" t="s">
        <v>36</v>
      </c>
      <c r="K845" t="s">
        <v>52</v>
      </c>
      <c r="L845" t="s">
        <v>68</v>
      </c>
      <c r="M845">
        <v>79</v>
      </c>
      <c r="N845">
        <v>5</v>
      </c>
      <c r="O845">
        <v>0</v>
      </c>
      <c r="P845">
        <v>2</v>
      </c>
      <c r="Q845" t="s">
        <v>31</v>
      </c>
      <c r="R845">
        <v>120</v>
      </c>
      <c r="S845">
        <v>24</v>
      </c>
      <c r="T845" t="s">
        <v>63</v>
      </c>
      <c r="U845" t="s">
        <v>63</v>
      </c>
      <c r="V845">
        <v>2026</v>
      </c>
      <c r="W845">
        <v>7</v>
      </c>
      <c r="X845" t="s">
        <v>1422</v>
      </c>
      <c r="Y845" s="6">
        <v>46204</v>
      </c>
      <c r="Z845" t="s">
        <v>1413</v>
      </c>
      <c r="AA845" t="s">
        <v>31</v>
      </c>
      <c r="AB845" t="s">
        <v>63</v>
      </c>
      <c r="AC845" t="s">
        <v>23</v>
      </c>
      <c r="AD845">
        <v>1</v>
      </c>
      <c r="AE845">
        <v>0</v>
      </c>
      <c r="AF845">
        <v>1</v>
      </c>
      <c r="AG845">
        <v>0</v>
      </c>
      <c r="AH845">
        <v>0</v>
      </c>
      <c r="AI845">
        <v>1</v>
      </c>
      <c r="AJ845">
        <v>1</v>
      </c>
    </row>
    <row r="846" spans="1:36">
      <c r="A846" t="s">
        <v>1007</v>
      </c>
      <c r="B846">
        <v>31.18</v>
      </c>
      <c r="C846" s="7">
        <v>46145.886111111111</v>
      </c>
      <c r="D846" s="7">
        <v>46147.185225648151</v>
      </c>
      <c r="E846" t="s">
        <v>23</v>
      </c>
      <c r="F846" t="s">
        <v>50</v>
      </c>
      <c r="G846" t="s">
        <v>51</v>
      </c>
      <c r="H846" t="s">
        <v>34</v>
      </c>
      <c r="I846" t="s">
        <v>42</v>
      </c>
      <c r="J846" t="s">
        <v>48</v>
      </c>
      <c r="K846" t="s">
        <v>76</v>
      </c>
      <c r="L846" t="s">
        <v>55</v>
      </c>
      <c r="M846">
        <v>91</v>
      </c>
      <c r="N846">
        <v>4</v>
      </c>
      <c r="O846">
        <v>0</v>
      </c>
      <c r="P846">
        <v>7</v>
      </c>
      <c r="Q846" t="s">
        <v>31</v>
      </c>
      <c r="R846">
        <v>120</v>
      </c>
      <c r="S846">
        <v>24</v>
      </c>
      <c r="T846" t="s">
        <v>63</v>
      </c>
      <c r="U846" t="s">
        <v>31</v>
      </c>
      <c r="V846">
        <v>2026</v>
      </c>
      <c r="W846">
        <v>5</v>
      </c>
      <c r="X846" t="s">
        <v>1416</v>
      </c>
      <c r="Y846" s="6">
        <v>46143</v>
      </c>
      <c r="Z846" t="s">
        <v>1413</v>
      </c>
      <c r="AA846" t="s">
        <v>31</v>
      </c>
      <c r="AB846" t="s">
        <v>63</v>
      </c>
      <c r="AC846" t="s">
        <v>23</v>
      </c>
      <c r="AD846">
        <v>1</v>
      </c>
      <c r="AE846">
        <v>0</v>
      </c>
      <c r="AF846">
        <v>1</v>
      </c>
      <c r="AG846">
        <v>0</v>
      </c>
      <c r="AH846">
        <v>0</v>
      </c>
      <c r="AI846">
        <v>1</v>
      </c>
      <c r="AJ846">
        <v>0</v>
      </c>
    </row>
    <row r="847" spans="1:36">
      <c r="A847" t="s">
        <v>1008</v>
      </c>
      <c r="B847">
        <v>7.62</v>
      </c>
      <c r="C847" s="7">
        <v>46146.436111111114</v>
      </c>
      <c r="D847" s="7">
        <v>46146.753717071762</v>
      </c>
      <c r="E847" t="s">
        <v>23</v>
      </c>
      <c r="F847" t="s">
        <v>50</v>
      </c>
      <c r="G847" t="s">
        <v>65</v>
      </c>
      <c r="H847" t="s">
        <v>26</v>
      </c>
      <c r="I847" t="s">
        <v>27</v>
      </c>
      <c r="J847" t="s">
        <v>48</v>
      </c>
      <c r="K847" t="s">
        <v>29</v>
      </c>
      <c r="L847" t="s">
        <v>1401</v>
      </c>
      <c r="M847">
        <v>125</v>
      </c>
      <c r="N847">
        <v>4</v>
      </c>
      <c r="O847">
        <v>0</v>
      </c>
      <c r="P847">
        <v>4</v>
      </c>
      <c r="Q847" t="s">
        <v>31</v>
      </c>
      <c r="R847">
        <v>120</v>
      </c>
      <c r="S847">
        <v>24</v>
      </c>
      <c r="T847" t="s">
        <v>31</v>
      </c>
      <c r="U847" t="s">
        <v>63</v>
      </c>
      <c r="V847">
        <v>2026</v>
      </c>
      <c r="W847">
        <v>5</v>
      </c>
      <c r="X847" t="s">
        <v>1416</v>
      </c>
      <c r="Y847" s="6">
        <v>46143</v>
      </c>
      <c r="Z847" t="s">
        <v>1413</v>
      </c>
      <c r="AA847" t="s">
        <v>31</v>
      </c>
      <c r="AB847" t="s">
        <v>63</v>
      </c>
      <c r="AC847" t="s">
        <v>23</v>
      </c>
      <c r="AD847">
        <v>1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1</v>
      </c>
    </row>
    <row r="848" spans="1:36">
      <c r="A848" t="s">
        <v>1009</v>
      </c>
      <c r="B848">
        <v>3.9</v>
      </c>
      <c r="C848" s="7">
        <v>46208.209722222222</v>
      </c>
      <c r="D848" s="7">
        <v>46208.372275798611</v>
      </c>
      <c r="E848" t="s">
        <v>23</v>
      </c>
      <c r="F848" t="s">
        <v>40</v>
      </c>
      <c r="G848" t="s">
        <v>41</v>
      </c>
      <c r="H848" t="s">
        <v>26</v>
      </c>
      <c r="I848" t="s">
        <v>42</v>
      </c>
      <c r="J848" t="s">
        <v>28</v>
      </c>
      <c r="K848" t="s">
        <v>29</v>
      </c>
      <c r="L848" t="s">
        <v>1401</v>
      </c>
      <c r="M848">
        <v>61</v>
      </c>
      <c r="N848">
        <v>4</v>
      </c>
      <c r="O848">
        <v>0</v>
      </c>
      <c r="P848">
        <v>2</v>
      </c>
      <c r="Q848" t="s">
        <v>31</v>
      </c>
      <c r="R848">
        <v>30</v>
      </c>
      <c r="S848">
        <v>8</v>
      </c>
      <c r="T848" t="s">
        <v>31</v>
      </c>
      <c r="U848" t="s">
        <v>63</v>
      </c>
      <c r="V848">
        <v>2026</v>
      </c>
      <c r="W848">
        <v>7</v>
      </c>
      <c r="X848" t="s">
        <v>1422</v>
      </c>
      <c r="Y848" s="6">
        <v>46204</v>
      </c>
      <c r="Z848" t="s">
        <v>1413</v>
      </c>
      <c r="AA848" t="s">
        <v>31</v>
      </c>
      <c r="AB848" t="s">
        <v>63</v>
      </c>
      <c r="AC848" t="s">
        <v>23</v>
      </c>
      <c r="AD848">
        <v>1</v>
      </c>
      <c r="AE848">
        <v>0</v>
      </c>
      <c r="AF848">
        <v>1</v>
      </c>
      <c r="AG848">
        <v>0</v>
      </c>
      <c r="AH848">
        <v>0</v>
      </c>
      <c r="AI848">
        <v>0</v>
      </c>
      <c r="AJ848">
        <v>1</v>
      </c>
    </row>
    <row r="849" spans="1:36">
      <c r="A849" t="s">
        <v>1010</v>
      </c>
      <c r="B849">
        <v>35.53</v>
      </c>
      <c r="C849" s="7">
        <v>46108.671527777777</v>
      </c>
      <c r="D849" s="7">
        <v>46110.152087847222</v>
      </c>
      <c r="E849" t="s">
        <v>23</v>
      </c>
      <c r="F849" t="s">
        <v>50</v>
      </c>
      <c r="G849" t="s">
        <v>51</v>
      </c>
      <c r="H849" t="s">
        <v>66</v>
      </c>
      <c r="I849" t="s">
        <v>35</v>
      </c>
      <c r="J849" t="s">
        <v>28</v>
      </c>
      <c r="K849" t="s">
        <v>37</v>
      </c>
      <c r="L849" t="s">
        <v>93</v>
      </c>
      <c r="M849">
        <v>198</v>
      </c>
      <c r="N849">
        <v>3</v>
      </c>
      <c r="O849">
        <v>1</v>
      </c>
      <c r="P849">
        <v>6</v>
      </c>
      <c r="Q849" t="s">
        <v>31</v>
      </c>
      <c r="R849">
        <v>120</v>
      </c>
      <c r="S849">
        <v>24</v>
      </c>
      <c r="T849" t="s">
        <v>31</v>
      </c>
      <c r="U849" t="s">
        <v>31</v>
      </c>
      <c r="V849">
        <v>2026</v>
      </c>
      <c r="W849">
        <v>3</v>
      </c>
      <c r="X849" t="s">
        <v>1423</v>
      </c>
      <c r="Y849" s="6">
        <v>46082</v>
      </c>
      <c r="Z849" t="s">
        <v>1418</v>
      </c>
      <c r="AA849" t="s">
        <v>63</v>
      </c>
      <c r="AB849" t="s">
        <v>63</v>
      </c>
      <c r="AC849" t="s">
        <v>23</v>
      </c>
      <c r="AD849">
        <v>1</v>
      </c>
      <c r="AE849">
        <v>0</v>
      </c>
      <c r="AF849">
        <v>1</v>
      </c>
      <c r="AG849">
        <v>1</v>
      </c>
      <c r="AH849">
        <v>0</v>
      </c>
      <c r="AI849">
        <v>0</v>
      </c>
      <c r="AJ849">
        <v>0</v>
      </c>
    </row>
    <row r="850" spans="1:36">
      <c r="A850" t="s">
        <v>1011</v>
      </c>
      <c r="B850">
        <v>41.11</v>
      </c>
      <c r="C850" s="7">
        <v>46163.508333333331</v>
      </c>
      <c r="D850" s="7">
        <v>46165.221341249999</v>
      </c>
      <c r="E850" t="s">
        <v>23</v>
      </c>
      <c r="F850" t="s">
        <v>50</v>
      </c>
      <c r="G850" t="s">
        <v>51</v>
      </c>
      <c r="H850" t="s">
        <v>66</v>
      </c>
      <c r="I850" t="s">
        <v>42</v>
      </c>
      <c r="J850" t="s">
        <v>36</v>
      </c>
      <c r="K850" t="s">
        <v>37</v>
      </c>
      <c r="L850" t="s">
        <v>93</v>
      </c>
      <c r="M850">
        <v>60</v>
      </c>
      <c r="N850">
        <v>4</v>
      </c>
      <c r="O850">
        <v>0</v>
      </c>
      <c r="P850">
        <v>5</v>
      </c>
      <c r="Q850" t="s">
        <v>31</v>
      </c>
      <c r="R850">
        <v>120</v>
      </c>
      <c r="S850">
        <v>24</v>
      </c>
      <c r="T850" t="s">
        <v>63</v>
      </c>
      <c r="U850" t="s">
        <v>31</v>
      </c>
      <c r="V850">
        <v>2026</v>
      </c>
      <c r="W850">
        <v>5</v>
      </c>
      <c r="X850" t="s">
        <v>1416</v>
      </c>
      <c r="Y850" s="6">
        <v>46143</v>
      </c>
      <c r="Z850" t="s">
        <v>1413</v>
      </c>
      <c r="AA850" t="s">
        <v>31</v>
      </c>
      <c r="AB850" t="s">
        <v>63</v>
      </c>
      <c r="AC850" t="s">
        <v>23</v>
      </c>
      <c r="AD850">
        <v>1</v>
      </c>
      <c r="AE850">
        <v>0</v>
      </c>
      <c r="AF850">
        <v>1</v>
      </c>
      <c r="AG850">
        <v>0</v>
      </c>
      <c r="AH850">
        <v>0</v>
      </c>
      <c r="AI850">
        <v>1</v>
      </c>
      <c r="AJ850">
        <v>0</v>
      </c>
    </row>
    <row r="851" spans="1:36">
      <c r="A851" t="s">
        <v>1012</v>
      </c>
      <c r="B851">
        <v>14.69</v>
      </c>
      <c r="C851" s="7">
        <v>46100.140277777777</v>
      </c>
      <c r="D851" s="7">
        <v>46100.752206041667</v>
      </c>
      <c r="E851" t="s">
        <v>23</v>
      </c>
      <c r="F851" t="s">
        <v>50</v>
      </c>
      <c r="G851" t="s">
        <v>25</v>
      </c>
      <c r="H851" t="s">
        <v>34</v>
      </c>
      <c r="I851" t="s">
        <v>35</v>
      </c>
      <c r="J851" t="s">
        <v>48</v>
      </c>
      <c r="K851" t="s">
        <v>67</v>
      </c>
      <c r="L851" t="s">
        <v>101</v>
      </c>
      <c r="M851">
        <v>52</v>
      </c>
      <c r="N851">
        <v>4</v>
      </c>
      <c r="O851">
        <v>1</v>
      </c>
      <c r="P851">
        <v>11</v>
      </c>
      <c r="Q851" t="s">
        <v>31</v>
      </c>
      <c r="R851">
        <v>120</v>
      </c>
      <c r="S851">
        <v>24</v>
      </c>
      <c r="T851" t="s">
        <v>63</v>
      </c>
      <c r="U851" t="s">
        <v>63</v>
      </c>
      <c r="V851">
        <v>2026</v>
      </c>
      <c r="W851">
        <v>3</v>
      </c>
      <c r="X851" t="s">
        <v>1423</v>
      </c>
      <c r="Y851" s="6">
        <v>46082</v>
      </c>
      <c r="Z851" t="s">
        <v>1413</v>
      </c>
      <c r="AA851" t="s">
        <v>63</v>
      </c>
      <c r="AB851" t="s">
        <v>63</v>
      </c>
      <c r="AC851" t="s">
        <v>23</v>
      </c>
      <c r="AD851">
        <v>1</v>
      </c>
      <c r="AE851">
        <v>0</v>
      </c>
      <c r="AF851">
        <v>1</v>
      </c>
      <c r="AG851">
        <v>1</v>
      </c>
      <c r="AH851">
        <v>0</v>
      </c>
      <c r="AI851">
        <v>1</v>
      </c>
      <c r="AJ851">
        <v>1</v>
      </c>
    </row>
    <row r="852" spans="1:36">
      <c r="A852" t="s">
        <v>1013</v>
      </c>
      <c r="B852">
        <v>10.52</v>
      </c>
      <c r="C852" s="7">
        <v>46115.715277777781</v>
      </c>
      <c r="D852" s="7">
        <v>46116.153460254631</v>
      </c>
      <c r="E852" t="s">
        <v>23</v>
      </c>
      <c r="F852" t="s">
        <v>40</v>
      </c>
      <c r="G852" t="s">
        <v>25</v>
      </c>
      <c r="H852" t="s">
        <v>34</v>
      </c>
      <c r="I852" t="s">
        <v>42</v>
      </c>
      <c r="J852" t="s">
        <v>36</v>
      </c>
      <c r="K852" t="s">
        <v>67</v>
      </c>
      <c r="L852" t="s">
        <v>71</v>
      </c>
      <c r="M852">
        <v>49</v>
      </c>
      <c r="N852">
        <v>4</v>
      </c>
      <c r="O852">
        <v>0</v>
      </c>
      <c r="P852">
        <v>2</v>
      </c>
      <c r="Q852" t="s">
        <v>31</v>
      </c>
      <c r="R852">
        <v>30</v>
      </c>
      <c r="S852">
        <v>8</v>
      </c>
      <c r="T852" t="s">
        <v>31</v>
      </c>
      <c r="U852" t="s">
        <v>31</v>
      </c>
      <c r="V852">
        <v>2026</v>
      </c>
      <c r="W852">
        <v>4</v>
      </c>
      <c r="X852" t="s">
        <v>1412</v>
      </c>
      <c r="Y852" s="6">
        <v>46113</v>
      </c>
      <c r="Z852" t="s">
        <v>1413</v>
      </c>
      <c r="AA852" t="s">
        <v>31</v>
      </c>
      <c r="AB852" t="s">
        <v>63</v>
      </c>
      <c r="AC852" t="s">
        <v>23</v>
      </c>
      <c r="AD852">
        <v>1</v>
      </c>
      <c r="AE852">
        <v>0</v>
      </c>
      <c r="AF852">
        <v>1</v>
      </c>
      <c r="AG852">
        <v>0</v>
      </c>
      <c r="AH852">
        <v>0</v>
      </c>
      <c r="AI852">
        <v>0</v>
      </c>
      <c r="AJ852">
        <v>0</v>
      </c>
    </row>
    <row r="853" spans="1:36">
      <c r="A853" t="s">
        <v>1015</v>
      </c>
      <c r="B853">
        <v>71.58</v>
      </c>
      <c r="C853" s="7">
        <v>46066.181944444441</v>
      </c>
      <c r="D853" s="7">
        <v>46069.164305833336</v>
      </c>
      <c r="E853" t="s">
        <v>23</v>
      </c>
      <c r="F853" t="s">
        <v>50</v>
      </c>
      <c r="G853" t="s">
        <v>51</v>
      </c>
      <c r="H853" t="s">
        <v>26</v>
      </c>
      <c r="I853" t="s">
        <v>35</v>
      </c>
      <c r="J853" t="s">
        <v>43</v>
      </c>
      <c r="K853" t="s">
        <v>37</v>
      </c>
      <c r="L853" t="s">
        <v>85</v>
      </c>
      <c r="M853">
        <v>132</v>
      </c>
      <c r="N853">
        <v>3</v>
      </c>
      <c r="O853">
        <v>0</v>
      </c>
      <c r="P853">
        <v>12</v>
      </c>
      <c r="Q853" t="s">
        <v>63</v>
      </c>
      <c r="R853">
        <v>120</v>
      </c>
      <c r="S853">
        <v>24</v>
      </c>
      <c r="T853" t="s">
        <v>31</v>
      </c>
      <c r="U853" t="s">
        <v>31</v>
      </c>
      <c r="V853">
        <v>2026</v>
      </c>
      <c r="W853">
        <v>2</v>
      </c>
      <c r="X853" t="s">
        <v>1419</v>
      </c>
      <c r="Y853" s="6">
        <v>46054</v>
      </c>
      <c r="Z853" t="s">
        <v>1418</v>
      </c>
      <c r="AA853" t="s">
        <v>31</v>
      </c>
      <c r="AB853" t="s">
        <v>63</v>
      </c>
      <c r="AC853" t="s">
        <v>23</v>
      </c>
      <c r="AD853">
        <v>1</v>
      </c>
      <c r="AE853">
        <v>0</v>
      </c>
      <c r="AF853">
        <v>1</v>
      </c>
      <c r="AG853">
        <v>0</v>
      </c>
      <c r="AH853">
        <v>1</v>
      </c>
      <c r="AI853">
        <v>0</v>
      </c>
      <c r="AJ853">
        <v>0</v>
      </c>
    </row>
    <row r="854" spans="1:36">
      <c r="A854" t="s">
        <v>1016</v>
      </c>
      <c r="B854">
        <v>27.26</v>
      </c>
      <c r="C854" s="7">
        <v>46056.276388888888</v>
      </c>
      <c r="D854" s="7">
        <v>46057.412106759257</v>
      </c>
      <c r="E854" t="s">
        <v>23</v>
      </c>
      <c r="F854" t="s">
        <v>33</v>
      </c>
      <c r="G854" t="s">
        <v>51</v>
      </c>
      <c r="H854" t="s">
        <v>26</v>
      </c>
      <c r="I854" t="s">
        <v>35</v>
      </c>
      <c r="J854" t="s">
        <v>36</v>
      </c>
      <c r="K854" t="s">
        <v>52</v>
      </c>
      <c r="L854" t="s">
        <v>30</v>
      </c>
      <c r="M854">
        <v>285</v>
      </c>
      <c r="N854">
        <v>4</v>
      </c>
      <c r="O854">
        <v>0</v>
      </c>
      <c r="P854">
        <v>7</v>
      </c>
      <c r="Q854" t="s">
        <v>31</v>
      </c>
      <c r="R854">
        <v>240</v>
      </c>
      <c r="S854">
        <v>48</v>
      </c>
      <c r="T854" t="s">
        <v>31</v>
      </c>
      <c r="U854" t="s">
        <v>63</v>
      </c>
      <c r="V854">
        <v>2026</v>
      </c>
      <c r="W854">
        <v>2</v>
      </c>
      <c r="X854" t="s">
        <v>1419</v>
      </c>
      <c r="Y854" s="6">
        <v>46054</v>
      </c>
      <c r="Z854" t="s">
        <v>1413</v>
      </c>
      <c r="AA854" t="s">
        <v>31</v>
      </c>
      <c r="AB854" t="s">
        <v>63</v>
      </c>
      <c r="AC854" t="s">
        <v>23</v>
      </c>
      <c r="AD854">
        <v>1</v>
      </c>
      <c r="AE854">
        <v>0</v>
      </c>
      <c r="AF854">
        <v>1</v>
      </c>
      <c r="AG854">
        <v>0</v>
      </c>
      <c r="AH854">
        <v>0</v>
      </c>
      <c r="AI854">
        <v>0</v>
      </c>
      <c r="AJ854">
        <v>1</v>
      </c>
    </row>
    <row r="855" spans="1:36">
      <c r="A855" t="s">
        <v>1017</v>
      </c>
      <c r="B855">
        <v>72.41</v>
      </c>
      <c r="C855" s="7">
        <v>46186.613888888889</v>
      </c>
      <c r="D855" s="7">
        <v>46189.631129189816</v>
      </c>
      <c r="E855" t="s">
        <v>23</v>
      </c>
      <c r="F855" t="s">
        <v>33</v>
      </c>
      <c r="G855" t="s">
        <v>51</v>
      </c>
      <c r="H855" t="s">
        <v>66</v>
      </c>
      <c r="I855" t="s">
        <v>42</v>
      </c>
      <c r="J855" t="s">
        <v>43</v>
      </c>
      <c r="K855" t="s">
        <v>58</v>
      </c>
      <c r="L855" t="s">
        <v>62</v>
      </c>
      <c r="M855">
        <v>147</v>
      </c>
      <c r="N855">
        <v>4</v>
      </c>
      <c r="O855">
        <v>0</v>
      </c>
      <c r="P855">
        <v>3</v>
      </c>
      <c r="Q855" t="s">
        <v>31</v>
      </c>
      <c r="R855">
        <v>240</v>
      </c>
      <c r="S855">
        <v>48</v>
      </c>
      <c r="T855" t="s">
        <v>63</v>
      </c>
      <c r="U855" t="s">
        <v>31</v>
      </c>
      <c r="V855">
        <v>2026</v>
      </c>
      <c r="W855">
        <v>6</v>
      </c>
      <c r="X855" t="s">
        <v>1421</v>
      </c>
      <c r="Y855" s="6">
        <v>46174</v>
      </c>
      <c r="Z855" t="s">
        <v>1413</v>
      </c>
      <c r="AA855" t="s">
        <v>31</v>
      </c>
      <c r="AB855" t="s">
        <v>63</v>
      </c>
      <c r="AC855" t="s">
        <v>23</v>
      </c>
      <c r="AD855">
        <v>1</v>
      </c>
      <c r="AE855">
        <v>0</v>
      </c>
      <c r="AF855">
        <v>1</v>
      </c>
      <c r="AG855">
        <v>0</v>
      </c>
      <c r="AH855">
        <v>0</v>
      </c>
      <c r="AI855">
        <v>1</v>
      </c>
      <c r="AJ855">
        <v>0</v>
      </c>
    </row>
    <row r="856" spans="1:36">
      <c r="A856" t="s">
        <v>1018</v>
      </c>
      <c r="B856">
        <v>17.23</v>
      </c>
      <c r="C856" s="7">
        <v>46027.670138888891</v>
      </c>
      <c r="D856" s="7">
        <v>46028.388228148149</v>
      </c>
      <c r="E856" t="s">
        <v>23</v>
      </c>
      <c r="F856" t="s">
        <v>50</v>
      </c>
      <c r="G856" t="s">
        <v>41</v>
      </c>
      <c r="H856" t="s">
        <v>26</v>
      </c>
      <c r="I856" t="s">
        <v>42</v>
      </c>
      <c r="J856" t="s">
        <v>48</v>
      </c>
      <c r="K856" t="s">
        <v>37</v>
      </c>
      <c r="L856" t="s">
        <v>71</v>
      </c>
      <c r="M856">
        <v>101</v>
      </c>
      <c r="N856">
        <v>4</v>
      </c>
      <c r="O856">
        <v>0</v>
      </c>
      <c r="P856">
        <v>7</v>
      </c>
      <c r="Q856" t="s">
        <v>31</v>
      </c>
      <c r="R856">
        <v>120</v>
      </c>
      <c r="S856">
        <v>24</v>
      </c>
      <c r="T856" t="s">
        <v>63</v>
      </c>
      <c r="U856" t="s">
        <v>63</v>
      </c>
      <c r="V856">
        <v>2026</v>
      </c>
      <c r="W856">
        <v>1</v>
      </c>
      <c r="X856" t="s">
        <v>1414</v>
      </c>
      <c r="Y856" s="6">
        <v>46023</v>
      </c>
      <c r="Z856" t="s">
        <v>1413</v>
      </c>
      <c r="AA856" t="s">
        <v>31</v>
      </c>
      <c r="AB856" t="s">
        <v>63</v>
      </c>
      <c r="AC856" t="s">
        <v>23</v>
      </c>
      <c r="AD856">
        <v>1</v>
      </c>
      <c r="AE856">
        <v>0</v>
      </c>
      <c r="AF856">
        <v>1</v>
      </c>
      <c r="AG856">
        <v>0</v>
      </c>
      <c r="AH856">
        <v>0</v>
      </c>
      <c r="AI856">
        <v>1</v>
      </c>
      <c r="AJ856">
        <v>1</v>
      </c>
    </row>
    <row r="857" spans="1:36">
      <c r="A857" t="s">
        <v>1019</v>
      </c>
      <c r="B857">
        <v>3.83</v>
      </c>
      <c r="C857" s="7">
        <v>46137.248611111114</v>
      </c>
      <c r="D857" s="7">
        <v>46137.40824986111</v>
      </c>
      <c r="E857" t="s">
        <v>23</v>
      </c>
      <c r="F857" t="s">
        <v>24</v>
      </c>
      <c r="G857" t="s">
        <v>41</v>
      </c>
      <c r="H857" t="s">
        <v>26</v>
      </c>
      <c r="I857" t="s">
        <v>35</v>
      </c>
      <c r="J857" t="s">
        <v>28</v>
      </c>
      <c r="K857" t="s">
        <v>37</v>
      </c>
      <c r="L857" t="s">
        <v>71</v>
      </c>
      <c r="M857">
        <v>21</v>
      </c>
      <c r="N857">
        <v>5</v>
      </c>
      <c r="O857">
        <v>0</v>
      </c>
      <c r="P857">
        <v>7</v>
      </c>
      <c r="Q857" t="s">
        <v>31</v>
      </c>
      <c r="R857">
        <v>15</v>
      </c>
      <c r="S857">
        <v>4</v>
      </c>
      <c r="T857" t="s">
        <v>31</v>
      </c>
      <c r="U857" t="s">
        <v>63</v>
      </c>
      <c r="V857">
        <v>2026</v>
      </c>
      <c r="W857">
        <v>4</v>
      </c>
      <c r="X857" t="s">
        <v>1412</v>
      </c>
      <c r="Y857" s="6">
        <v>46113</v>
      </c>
      <c r="Z857" t="s">
        <v>1413</v>
      </c>
      <c r="AA857" t="s">
        <v>31</v>
      </c>
      <c r="AB857" t="s">
        <v>63</v>
      </c>
      <c r="AC857" t="s">
        <v>23</v>
      </c>
      <c r="AD857">
        <v>1</v>
      </c>
      <c r="AE857">
        <v>0</v>
      </c>
      <c r="AF857">
        <v>1</v>
      </c>
      <c r="AG857">
        <v>0</v>
      </c>
      <c r="AH857">
        <v>0</v>
      </c>
      <c r="AI857">
        <v>0</v>
      </c>
      <c r="AJ857">
        <v>1</v>
      </c>
    </row>
    <row r="858" spans="1:36">
      <c r="A858" t="s">
        <v>1020</v>
      </c>
      <c r="B858">
        <v>30.98</v>
      </c>
      <c r="C858" s="7">
        <v>46139.434027777781</v>
      </c>
      <c r="D858" s="7">
        <v>46140.724712118055</v>
      </c>
      <c r="E858" t="s">
        <v>23</v>
      </c>
      <c r="F858" t="s">
        <v>50</v>
      </c>
      <c r="G858" t="s">
        <v>51</v>
      </c>
      <c r="H858" t="s">
        <v>66</v>
      </c>
      <c r="I858" t="s">
        <v>35</v>
      </c>
      <c r="J858" t="s">
        <v>48</v>
      </c>
      <c r="K858" t="s">
        <v>58</v>
      </c>
      <c r="L858" t="s">
        <v>101</v>
      </c>
      <c r="M858">
        <v>62</v>
      </c>
      <c r="N858">
        <v>4</v>
      </c>
      <c r="O858">
        <v>0</v>
      </c>
      <c r="P858">
        <v>6</v>
      </c>
      <c r="Q858" t="s">
        <v>31</v>
      </c>
      <c r="R858">
        <v>120</v>
      </c>
      <c r="S858">
        <v>24</v>
      </c>
      <c r="T858" t="s">
        <v>63</v>
      </c>
      <c r="U858" t="s">
        <v>31</v>
      </c>
      <c r="V858">
        <v>2026</v>
      </c>
      <c r="W858">
        <v>4</v>
      </c>
      <c r="X858" t="s">
        <v>1412</v>
      </c>
      <c r="Y858" s="6">
        <v>46113</v>
      </c>
      <c r="Z858" t="s">
        <v>1413</v>
      </c>
      <c r="AA858" t="s">
        <v>31</v>
      </c>
      <c r="AB858" t="s">
        <v>63</v>
      </c>
      <c r="AC858" t="s">
        <v>23</v>
      </c>
      <c r="AD858">
        <v>1</v>
      </c>
      <c r="AE858">
        <v>0</v>
      </c>
      <c r="AF858">
        <v>1</v>
      </c>
      <c r="AG858">
        <v>0</v>
      </c>
      <c r="AH858">
        <v>0</v>
      </c>
      <c r="AI858">
        <v>1</v>
      </c>
      <c r="AJ858">
        <v>0</v>
      </c>
    </row>
    <row r="859" spans="1:36">
      <c r="A859" t="s">
        <v>1021</v>
      </c>
      <c r="B859">
        <v>3.9</v>
      </c>
      <c r="C859" s="7">
        <v>46218.731249999997</v>
      </c>
      <c r="D859" s="7">
        <v>46218.893944363423</v>
      </c>
      <c r="E859" t="s">
        <v>23</v>
      </c>
      <c r="F859" t="s">
        <v>50</v>
      </c>
      <c r="G859" t="s">
        <v>25</v>
      </c>
      <c r="H859" t="s">
        <v>54</v>
      </c>
      <c r="I859" t="s">
        <v>35</v>
      </c>
      <c r="J859" t="s">
        <v>28</v>
      </c>
      <c r="K859" t="s">
        <v>29</v>
      </c>
      <c r="L859" t="s">
        <v>30</v>
      </c>
      <c r="M859">
        <v>204</v>
      </c>
      <c r="N859">
        <v>4</v>
      </c>
      <c r="O859">
        <v>0</v>
      </c>
      <c r="P859">
        <v>5</v>
      </c>
      <c r="Q859" t="s">
        <v>31</v>
      </c>
      <c r="R859">
        <v>120</v>
      </c>
      <c r="S859">
        <v>24</v>
      </c>
      <c r="T859" t="s">
        <v>31</v>
      </c>
      <c r="U859" t="s">
        <v>63</v>
      </c>
      <c r="V859">
        <v>2026</v>
      </c>
      <c r="W859">
        <v>7</v>
      </c>
      <c r="X859" t="s">
        <v>1422</v>
      </c>
      <c r="Y859" s="6">
        <v>46204</v>
      </c>
      <c r="Z859" t="s">
        <v>1413</v>
      </c>
      <c r="AA859" t="s">
        <v>31</v>
      </c>
      <c r="AB859" t="s">
        <v>63</v>
      </c>
      <c r="AC859" t="s">
        <v>23</v>
      </c>
      <c r="AD859">
        <v>1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1</v>
      </c>
    </row>
    <row r="860" spans="1:36">
      <c r="A860" t="s">
        <v>1022</v>
      </c>
      <c r="B860">
        <v>31.19</v>
      </c>
      <c r="C860" s="7">
        <v>46061.415972222225</v>
      </c>
      <c r="D860" s="7">
        <v>46062.715684212963</v>
      </c>
      <c r="E860" t="s">
        <v>23</v>
      </c>
      <c r="F860" t="s">
        <v>50</v>
      </c>
      <c r="G860" t="s">
        <v>25</v>
      </c>
      <c r="H860" t="s">
        <v>54</v>
      </c>
      <c r="I860" t="s">
        <v>35</v>
      </c>
      <c r="J860" t="s">
        <v>36</v>
      </c>
      <c r="K860" t="s">
        <v>67</v>
      </c>
      <c r="L860" t="s">
        <v>44</v>
      </c>
      <c r="M860">
        <v>187</v>
      </c>
      <c r="N860">
        <v>3</v>
      </c>
      <c r="O860">
        <v>2</v>
      </c>
      <c r="P860">
        <v>13</v>
      </c>
      <c r="Q860" t="s">
        <v>31</v>
      </c>
      <c r="R860">
        <v>120</v>
      </c>
      <c r="S860">
        <v>24</v>
      </c>
      <c r="T860" t="s">
        <v>31</v>
      </c>
      <c r="U860" t="s">
        <v>31</v>
      </c>
      <c r="V860">
        <v>2026</v>
      </c>
      <c r="W860">
        <v>2</v>
      </c>
      <c r="X860" t="s">
        <v>1419</v>
      </c>
      <c r="Y860" s="6">
        <v>46054</v>
      </c>
      <c r="Z860" t="s">
        <v>1418</v>
      </c>
      <c r="AA860" t="s">
        <v>63</v>
      </c>
      <c r="AB860" t="s">
        <v>63</v>
      </c>
      <c r="AC860" t="s">
        <v>23</v>
      </c>
      <c r="AD860">
        <v>1</v>
      </c>
      <c r="AE860">
        <v>0</v>
      </c>
      <c r="AF860">
        <v>1</v>
      </c>
      <c r="AG860">
        <v>1</v>
      </c>
      <c r="AH860">
        <v>0</v>
      </c>
      <c r="AI860">
        <v>0</v>
      </c>
      <c r="AJ860">
        <v>0</v>
      </c>
    </row>
    <row r="861" spans="1:36">
      <c r="A861" t="s">
        <v>1023</v>
      </c>
      <c r="B861">
        <v>35.07</v>
      </c>
      <c r="C861" s="7">
        <v>46175.32708333333</v>
      </c>
      <c r="D861" s="7">
        <v>46176.788532696759</v>
      </c>
      <c r="E861" t="s">
        <v>23</v>
      </c>
      <c r="F861" t="s">
        <v>40</v>
      </c>
      <c r="G861" t="s">
        <v>65</v>
      </c>
      <c r="H861" t="s">
        <v>26</v>
      </c>
      <c r="I861" t="s">
        <v>35</v>
      </c>
      <c r="J861" t="s">
        <v>28</v>
      </c>
      <c r="K861" t="s">
        <v>76</v>
      </c>
      <c r="L861" t="s">
        <v>30</v>
      </c>
      <c r="M861">
        <v>54</v>
      </c>
      <c r="N861">
        <v>4</v>
      </c>
      <c r="O861">
        <v>0</v>
      </c>
      <c r="P861">
        <v>6</v>
      </c>
      <c r="Q861" t="s">
        <v>31</v>
      </c>
      <c r="R861">
        <v>30</v>
      </c>
      <c r="S861">
        <v>8</v>
      </c>
      <c r="T861" t="s">
        <v>31</v>
      </c>
      <c r="U861" t="s">
        <v>31</v>
      </c>
      <c r="V861">
        <v>2026</v>
      </c>
      <c r="W861">
        <v>6</v>
      </c>
      <c r="X861" t="s">
        <v>1421</v>
      </c>
      <c r="Y861" s="6">
        <v>46174</v>
      </c>
      <c r="Z861" t="s">
        <v>1413</v>
      </c>
      <c r="AA861" t="s">
        <v>31</v>
      </c>
      <c r="AB861" t="s">
        <v>63</v>
      </c>
      <c r="AC861" t="s">
        <v>23</v>
      </c>
      <c r="AD861">
        <v>1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</row>
    <row r="862" spans="1:36">
      <c r="A862" t="s">
        <v>1024</v>
      </c>
      <c r="B862">
        <v>14.77</v>
      </c>
      <c r="C862" s="7">
        <v>46139.515972222223</v>
      </c>
      <c r="D862" s="7">
        <v>46140.131338645835</v>
      </c>
      <c r="E862" t="s">
        <v>23</v>
      </c>
      <c r="F862" t="s">
        <v>40</v>
      </c>
      <c r="G862" t="s">
        <v>65</v>
      </c>
      <c r="H862" t="s">
        <v>26</v>
      </c>
      <c r="I862" t="s">
        <v>27</v>
      </c>
      <c r="J862" t="s">
        <v>48</v>
      </c>
      <c r="K862" t="s">
        <v>37</v>
      </c>
      <c r="L862" t="s">
        <v>38</v>
      </c>
      <c r="M862">
        <v>184</v>
      </c>
      <c r="N862">
        <v>4</v>
      </c>
      <c r="O862">
        <v>0</v>
      </c>
      <c r="P862">
        <v>3</v>
      </c>
      <c r="Q862" t="s">
        <v>31</v>
      </c>
      <c r="R862">
        <v>30</v>
      </c>
      <c r="S862">
        <v>8</v>
      </c>
      <c r="T862" t="s">
        <v>31</v>
      </c>
      <c r="U862" t="s">
        <v>31</v>
      </c>
      <c r="V862">
        <v>2026</v>
      </c>
      <c r="W862">
        <v>4</v>
      </c>
      <c r="X862" t="s">
        <v>1412</v>
      </c>
      <c r="Y862" s="6">
        <v>46113</v>
      </c>
      <c r="Z862" t="s">
        <v>1413</v>
      </c>
      <c r="AA862" t="s">
        <v>31</v>
      </c>
      <c r="AB862" t="s">
        <v>63</v>
      </c>
      <c r="AC862" t="s">
        <v>23</v>
      </c>
      <c r="AD862">
        <v>1</v>
      </c>
      <c r="AE862">
        <v>0</v>
      </c>
      <c r="AF862">
        <v>1</v>
      </c>
      <c r="AG862">
        <v>0</v>
      </c>
      <c r="AH862">
        <v>0</v>
      </c>
      <c r="AI862">
        <v>0</v>
      </c>
      <c r="AJ862">
        <v>0</v>
      </c>
    </row>
    <row r="863" spans="1:36">
      <c r="A863" t="s">
        <v>1025</v>
      </c>
      <c r="B863">
        <v>6.79</v>
      </c>
      <c r="C863" s="7">
        <v>46137.795138888891</v>
      </c>
      <c r="D863" s="7">
        <v>46138.077958518516</v>
      </c>
      <c r="E863" t="s">
        <v>23</v>
      </c>
      <c r="F863" t="s">
        <v>24</v>
      </c>
      <c r="G863" t="s">
        <v>25</v>
      </c>
      <c r="H863" t="s">
        <v>26</v>
      </c>
      <c r="I863" t="s">
        <v>27</v>
      </c>
      <c r="J863" t="s">
        <v>43</v>
      </c>
      <c r="K863" t="s">
        <v>37</v>
      </c>
      <c r="L863" t="s">
        <v>93</v>
      </c>
      <c r="M863">
        <v>14</v>
      </c>
      <c r="N863">
        <v>3</v>
      </c>
      <c r="O863">
        <v>2</v>
      </c>
      <c r="P863">
        <v>12</v>
      </c>
      <c r="Q863" t="s">
        <v>31</v>
      </c>
      <c r="R863">
        <v>15</v>
      </c>
      <c r="S863">
        <v>4</v>
      </c>
      <c r="T863" t="s">
        <v>63</v>
      </c>
      <c r="U863" t="s">
        <v>31</v>
      </c>
      <c r="V863">
        <v>2026</v>
      </c>
      <c r="W863">
        <v>4</v>
      </c>
      <c r="X863" t="s">
        <v>1412</v>
      </c>
      <c r="Y863" s="6">
        <v>46113</v>
      </c>
      <c r="Z863" t="s">
        <v>1418</v>
      </c>
      <c r="AA863" t="s">
        <v>63</v>
      </c>
      <c r="AB863" t="s">
        <v>63</v>
      </c>
      <c r="AC863" t="s">
        <v>23</v>
      </c>
      <c r="AD863">
        <v>1</v>
      </c>
      <c r="AE863">
        <v>0</v>
      </c>
      <c r="AF863">
        <v>1</v>
      </c>
      <c r="AG863">
        <v>1</v>
      </c>
      <c r="AH863">
        <v>0</v>
      </c>
      <c r="AI863">
        <v>1</v>
      </c>
      <c r="AJ863">
        <v>0</v>
      </c>
    </row>
    <row r="864" spans="1:36">
      <c r="A864" t="s">
        <v>1026</v>
      </c>
      <c r="B864">
        <v>35.22</v>
      </c>
      <c r="C864" s="7">
        <v>46187.731944444444</v>
      </c>
      <c r="D864" s="7">
        <v>46189.199624652778</v>
      </c>
      <c r="E864" t="s">
        <v>23</v>
      </c>
      <c r="F864" t="s">
        <v>33</v>
      </c>
      <c r="G864" t="s">
        <v>25</v>
      </c>
      <c r="H864" t="s">
        <v>26</v>
      </c>
      <c r="I864" t="s">
        <v>42</v>
      </c>
      <c r="J864" t="s">
        <v>36</v>
      </c>
      <c r="K864" t="s">
        <v>67</v>
      </c>
      <c r="L864" t="s">
        <v>38</v>
      </c>
      <c r="M864">
        <v>462</v>
      </c>
      <c r="N864">
        <v>3</v>
      </c>
      <c r="O864">
        <v>0</v>
      </c>
      <c r="P864">
        <v>7</v>
      </c>
      <c r="Q864" t="s">
        <v>31</v>
      </c>
      <c r="R864">
        <v>240</v>
      </c>
      <c r="S864">
        <v>48</v>
      </c>
      <c r="T864" t="s">
        <v>31</v>
      </c>
      <c r="U864" t="s">
        <v>63</v>
      </c>
      <c r="V864">
        <v>2026</v>
      </c>
      <c r="W864">
        <v>6</v>
      </c>
      <c r="X864" t="s">
        <v>1421</v>
      </c>
      <c r="Y864" s="6">
        <v>46174</v>
      </c>
      <c r="Z864" t="s">
        <v>1418</v>
      </c>
      <c r="AA864" t="s">
        <v>31</v>
      </c>
      <c r="AB864" t="s">
        <v>63</v>
      </c>
      <c r="AC864" t="s">
        <v>23</v>
      </c>
      <c r="AD864">
        <v>1</v>
      </c>
      <c r="AE864">
        <v>0</v>
      </c>
      <c r="AF864">
        <v>1</v>
      </c>
      <c r="AG864">
        <v>0</v>
      </c>
      <c r="AH864">
        <v>0</v>
      </c>
      <c r="AI864">
        <v>0</v>
      </c>
      <c r="AJ864">
        <v>1</v>
      </c>
    </row>
    <row r="865" spans="1:36">
      <c r="A865" t="s">
        <v>1027</v>
      </c>
      <c r="B865">
        <v>34.69</v>
      </c>
      <c r="C865" s="7">
        <v>46126.170138888891</v>
      </c>
      <c r="D865" s="7">
        <v>46127.615540486113</v>
      </c>
      <c r="E865" t="s">
        <v>23</v>
      </c>
      <c r="F865" t="s">
        <v>33</v>
      </c>
      <c r="G865" t="s">
        <v>41</v>
      </c>
      <c r="H865" t="s">
        <v>26</v>
      </c>
      <c r="I865" t="s">
        <v>27</v>
      </c>
      <c r="J865" t="s">
        <v>43</v>
      </c>
      <c r="K865" t="s">
        <v>52</v>
      </c>
      <c r="L865" t="s">
        <v>71</v>
      </c>
      <c r="M865">
        <v>62</v>
      </c>
      <c r="N865">
        <v>4</v>
      </c>
      <c r="O865">
        <v>0</v>
      </c>
      <c r="P865">
        <v>8</v>
      </c>
      <c r="Q865" t="s">
        <v>63</v>
      </c>
      <c r="R865">
        <v>240</v>
      </c>
      <c r="S865">
        <v>48</v>
      </c>
      <c r="T865" t="s">
        <v>63</v>
      </c>
      <c r="U865" t="s">
        <v>63</v>
      </c>
      <c r="V865">
        <v>2026</v>
      </c>
      <c r="W865">
        <v>4</v>
      </c>
      <c r="X865" t="s">
        <v>1412</v>
      </c>
      <c r="Y865" s="6">
        <v>46113</v>
      </c>
      <c r="Z865" t="s">
        <v>1413</v>
      </c>
      <c r="AA865" t="s">
        <v>31</v>
      </c>
      <c r="AB865" t="s">
        <v>63</v>
      </c>
      <c r="AC865" t="s">
        <v>23</v>
      </c>
      <c r="AD865">
        <v>1</v>
      </c>
      <c r="AE865">
        <v>0</v>
      </c>
      <c r="AF865">
        <v>1</v>
      </c>
      <c r="AG865">
        <v>0</v>
      </c>
      <c r="AH865">
        <v>1</v>
      </c>
      <c r="AI865">
        <v>1</v>
      </c>
      <c r="AJ865">
        <v>1</v>
      </c>
    </row>
    <row r="866" spans="1:36">
      <c r="A866" t="s">
        <v>1028</v>
      </c>
      <c r="B866">
        <v>4.95</v>
      </c>
      <c r="C866" s="7">
        <v>46047.268750000003</v>
      </c>
      <c r="D866" s="7">
        <v>46047.474824884259</v>
      </c>
      <c r="E866" t="s">
        <v>23</v>
      </c>
      <c r="F866" t="s">
        <v>40</v>
      </c>
      <c r="G866" t="s">
        <v>65</v>
      </c>
      <c r="H866" t="s">
        <v>75</v>
      </c>
      <c r="I866" t="s">
        <v>27</v>
      </c>
      <c r="J866" t="s">
        <v>36</v>
      </c>
      <c r="K866" t="s">
        <v>52</v>
      </c>
      <c r="L866" t="s">
        <v>30</v>
      </c>
      <c r="M866">
        <v>33</v>
      </c>
      <c r="N866">
        <v>4</v>
      </c>
      <c r="O866">
        <v>0</v>
      </c>
      <c r="P866">
        <v>6</v>
      </c>
      <c r="Q866" t="s">
        <v>31</v>
      </c>
      <c r="R866">
        <v>30</v>
      </c>
      <c r="S866">
        <v>8</v>
      </c>
      <c r="T866" t="s">
        <v>31</v>
      </c>
      <c r="U866" t="s">
        <v>63</v>
      </c>
      <c r="V866">
        <v>2026</v>
      </c>
      <c r="W866">
        <v>1</v>
      </c>
      <c r="X866" t="s">
        <v>1414</v>
      </c>
      <c r="Y866" s="6">
        <v>46023</v>
      </c>
      <c r="Z866" t="s">
        <v>1413</v>
      </c>
      <c r="AA866" t="s">
        <v>31</v>
      </c>
      <c r="AB866" t="s">
        <v>63</v>
      </c>
      <c r="AC866" t="s">
        <v>23</v>
      </c>
      <c r="AD866">
        <v>1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1</v>
      </c>
    </row>
    <row r="867" spans="1:36">
      <c r="A867" t="s">
        <v>1029</v>
      </c>
      <c r="B867">
        <v>6.98</v>
      </c>
      <c r="C867" s="7">
        <v>46040.275000000001</v>
      </c>
      <c r="D867" s="7">
        <v>46040.56588952546</v>
      </c>
      <c r="E867" t="s">
        <v>23</v>
      </c>
      <c r="F867" t="s">
        <v>24</v>
      </c>
      <c r="G867" t="s">
        <v>25</v>
      </c>
      <c r="H867" t="s">
        <v>66</v>
      </c>
      <c r="I867" t="s">
        <v>42</v>
      </c>
      <c r="J867" t="s">
        <v>36</v>
      </c>
      <c r="K867" t="s">
        <v>67</v>
      </c>
      <c r="L867" t="s">
        <v>68</v>
      </c>
      <c r="M867">
        <v>14</v>
      </c>
      <c r="N867">
        <v>5</v>
      </c>
      <c r="O867">
        <v>0</v>
      </c>
      <c r="P867">
        <v>3</v>
      </c>
      <c r="Q867" t="s">
        <v>31</v>
      </c>
      <c r="R867">
        <v>15</v>
      </c>
      <c r="S867">
        <v>4</v>
      </c>
      <c r="T867" t="s">
        <v>63</v>
      </c>
      <c r="U867" t="s">
        <v>31</v>
      </c>
      <c r="V867">
        <v>2026</v>
      </c>
      <c r="W867">
        <v>1</v>
      </c>
      <c r="X867" t="s">
        <v>1414</v>
      </c>
      <c r="Y867" s="6">
        <v>46023</v>
      </c>
      <c r="Z867" t="s">
        <v>1413</v>
      </c>
      <c r="AA867" t="s">
        <v>31</v>
      </c>
      <c r="AB867" t="s">
        <v>63</v>
      </c>
      <c r="AC867" t="s">
        <v>23</v>
      </c>
      <c r="AD867">
        <v>1</v>
      </c>
      <c r="AE867">
        <v>0</v>
      </c>
      <c r="AF867">
        <v>1</v>
      </c>
      <c r="AG867">
        <v>0</v>
      </c>
      <c r="AH867">
        <v>0</v>
      </c>
      <c r="AI867">
        <v>1</v>
      </c>
      <c r="AJ867">
        <v>0</v>
      </c>
    </row>
    <row r="868" spans="1:36">
      <c r="A868" t="s">
        <v>1030</v>
      </c>
      <c r="B868">
        <v>21.47</v>
      </c>
      <c r="C868" s="7">
        <v>46163.609027777777</v>
      </c>
      <c r="D868" s="7">
        <v>46164.503792002317</v>
      </c>
      <c r="E868" t="s">
        <v>23</v>
      </c>
      <c r="F868" t="s">
        <v>40</v>
      </c>
      <c r="G868" t="s">
        <v>25</v>
      </c>
      <c r="H868" t="s">
        <v>26</v>
      </c>
      <c r="I868" t="s">
        <v>42</v>
      </c>
      <c r="J868" t="s">
        <v>28</v>
      </c>
      <c r="K868" t="s">
        <v>76</v>
      </c>
      <c r="L868" t="s">
        <v>71</v>
      </c>
      <c r="M868">
        <v>53</v>
      </c>
      <c r="N868">
        <v>4</v>
      </c>
      <c r="O868">
        <v>0</v>
      </c>
      <c r="P868">
        <v>3</v>
      </c>
      <c r="Q868" t="s">
        <v>31</v>
      </c>
      <c r="R868">
        <v>30</v>
      </c>
      <c r="S868">
        <v>8</v>
      </c>
      <c r="T868" t="s">
        <v>31</v>
      </c>
      <c r="U868" t="s">
        <v>31</v>
      </c>
      <c r="V868">
        <v>2026</v>
      </c>
      <c r="W868">
        <v>5</v>
      </c>
      <c r="X868" t="s">
        <v>1416</v>
      </c>
      <c r="Y868" s="6">
        <v>46143</v>
      </c>
      <c r="Z868" t="s">
        <v>1413</v>
      </c>
      <c r="AA868" t="s">
        <v>31</v>
      </c>
      <c r="AB868" t="s">
        <v>63</v>
      </c>
      <c r="AC868" t="s">
        <v>23</v>
      </c>
      <c r="AD868">
        <v>1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0</v>
      </c>
    </row>
    <row r="869" spans="1:36">
      <c r="A869" t="s">
        <v>1031</v>
      </c>
      <c r="B869">
        <v>7.95</v>
      </c>
      <c r="C869" s="7">
        <v>46077.09097222222</v>
      </c>
      <c r="D869" s="7">
        <v>46077.422164108793</v>
      </c>
      <c r="E869" t="s">
        <v>23</v>
      </c>
      <c r="F869" t="s">
        <v>40</v>
      </c>
      <c r="G869" t="s">
        <v>51</v>
      </c>
      <c r="H869" t="s">
        <v>34</v>
      </c>
      <c r="I869" t="s">
        <v>35</v>
      </c>
      <c r="J869" t="s">
        <v>28</v>
      </c>
      <c r="K869" t="s">
        <v>37</v>
      </c>
      <c r="L869" t="s">
        <v>62</v>
      </c>
      <c r="M869">
        <v>16</v>
      </c>
      <c r="N869">
        <v>5</v>
      </c>
      <c r="O869">
        <v>0</v>
      </c>
      <c r="P869">
        <v>7</v>
      </c>
      <c r="Q869" t="s">
        <v>31</v>
      </c>
      <c r="R869">
        <v>30</v>
      </c>
      <c r="S869">
        <v>8</v>
      </c>
      <c r="T869" t="s">
        <v>63</v>
      </c>
      <c r="U869" t="s">
        <v>63</v>
      </c>
      <c r="V869">
        <v>2026</v>
      </c>
      <c r="W869">
        <v>2</v>
      </c>
      <c r="X869" t="s">
        <v>1419</v>
      </c>
      <c r="Y869" s="6">
        <v>46054</v>
      </c>
      <c r="Z869" t="s">
        <v>1413</v>
      </c>
      <c r="AA869" t="s">
        <v>31</v>
      </c>
      <c r="AB869" t="s">
        <v>63</v>
      </c>
      <c r="AC869" t="s">
        <v>23</v>
      </c>
      <c r="AD869">
        <v>1</v>
      </c>
      <c r="AE869">
        <v>0</v>
      </c>
      <c r="AF869">
        <v>1</v>
      </c>
      <c r="AG869">
        <v>0</v>
      </c>
      <c r="AH869">
        <v>0</v>
      </c>
      <c r="AI869">
        <v>1</v>
      </c>
      <c r="AJ869">
        <v>1</v>
      </c>
    </row>
    <row r="870" spans="1:36">
      <c r="A870" t="s">
        <v>1032</v>
      </c>
      <c r="B870">
        <v>6.71</v>
      </c>
      <c r="C870" s="7">
        <v>46199.386805555558</v>
      </c>
      <c r="D870" s="7">
        <v>46199.666385648146</v>
      </c>
      <c r="E870" t="s">
        <v>23</v>
      </c>
      <c r="F870" t="s">
        <v>24</v>
      </c>
      <c r="G870" t="s">
        <v>41</v>
      </c>
      <c r="H870" t="s">
        <v>66</v>
      </c>
      <c r="I870" t="s">
        <v>35</v>
      </c>
      <c r="J870" t="s">
        <v>48</v>
      </c>
      <c r="K870" t="s">
        <v>58</v>
      </c>
      <c r="L870" t="s">
        <v>71</v>
      </c>
      <c r="M870">
        <v>15</v>
      </c>
      <c r="N870">
        <v>4</v>
      </c>
      <c r="O870">
        <v>0</v>
      </c>
      <c r="P870">
        <v>7</v>
      </c>
      <c r="Q870" t="s">
        <v>31</v>
      </c>
      <c r="R870">
        <v>15</v>
      </c>
      <c r="S870">
        <v>4</v>
      </c>
      <c r="T870" t="s">
        <v>63</v>
      </c>
      <c r="U870" t="s">
        <v>31</v>
      </c>
      <c r="V870">
        <v>2026</v>
      </c>
      <c r="W870">
        <v>6</v>
      </c>
      <c r="X870" t="s">
        <v>1421</v>
      </c>
      <c r="Y870" s="6">
        <v>46174</v>
      </c>
      <c r="Z870" t="s">
        <v>1413</v>
      </c>
      <c r="AA870" t="s">
        <v>31</v>
      </c>
      <c r="AB870" t="s">
        <v>63</v>
      </c>
      <c r="AC870" t="s">
        <v>23</v>
      </c>
      <c r="AD870">
        <v>1</v>
      </c>
      <c r="AE870">
        <v>0</v>
      </c>
      <c r="AF870">
        <v>1</v>
      </c>
      <c r="AG870">
        <v>0</v>
      </c>
      <c r="AH870">
        <v>0</v>
      </c>
      <c r="AI870">
        <v>1</v>
      </c>
      <c r="AJ870">
        <v>0</v>
      </c>
    </row>
    <row r="871" spans="1:36">
      <c r="A871" t="s">
        <v>1033</v>
      </c>
      <c r="B871">
        <v>22.13</v>
      </c>
      <c r="C871" s="7">
        <v>46070.753472222219</v>
      </c>
      <c r="D871" s="7">
        <v>46071.675449861112</v>
      </c>
      <c r="E871" t="s">
        <v>23</v>
      </c>
      <c r="F871" t="s">
        <v>40</v>
      </c>
      <c r="G871" t="s">
        <v>65</v>
      </c>
      <c r="H871" t="s">
        <v>66</v>
      </c>
      <c r="I871" t="s">
        <v>35</v>
      </c>
      <c r="J871" t="s">
        <v>48</v>
      </c>
      <c r="K871" t="s">
        <v>37</v>
      </c>
      <c r="L871" t="s">
        <v>44</v>
      </c>
      <c r="M871">
        <v>35</v>
      </c>
      <c r="N871">
        <v>4</v>
      </c>
      <c r="O871">
        <v>0</v>
      </c>
      <c r="P871">
        <v>5</v>
      </c>
      <c r="Q871" t="s">
        <v>31</v>
      </c>
      <c r="R871">
        <v>30</v>
      </c>
      <c r="S871">
        <v>8</v>
      </c>
      <c r="T871" t="s">
        <v>31</v>
      </c>
      <c r="U871" t="s">
        <v>31</v>
      </c>
      <c r="V871">
        <v>2026</v>
      </c>
      <c r="W871">
        <v>2</v>
      </c>
      <c r="X871" t="s">
        <v>1419</v>
      </c>
      <c r="Y871" s="6">
        <v>46054</v>
      </c>
      <c r="Z871" t="s">
        <v>1413</v>
      </c>
      <c r="AA871" t="s">
        <v>31</v>
      </c>
      <c r="AB871" t="s">
        <v>63</v>
      </c>
      <c r="AC871" t="s">
        <v>23</v>
      </c>
      <c r="AD871">
        <v>1</v>
      </c>
      <c r="AE871">
        <v>0</v>
      </c>
      <c r="AF871">
        <v>1</v>
      </c>
      <c r="AG871">
        <v>0</v>
      </c>
      <c r="AH871">
        <v>0</v>
      </c>
      <c r="AI871">
        <v>0</v>
      </c>
      <c r="AJ871">
        <v>0</v>
      </c>
    </row>
    <row r="872" spans="1:36">
      <c r="A872" t="s">
        <v>1034</v>
      </c>
      <c r="B872">
        <v>33.82</v>
      </c>
      <c r="C872" s="7">
        <v>46264.607638888891</v>
      </c>
      <c r="D872" s="7">
        <v>46266.0168131713</v>
      </c>
      <c r="E872" t="s">
        <v>23</v>
      </c>
      <c r="F872" t="s">
        <v>50</v>
      </c>
      <c r="G872" t="s">
        <v>51</v>
      </c>
      <c r="H872" t="s">
        <v>26</v>
      </c>
      <c r="I872" t="s">
        <v>27</v>
      </c>
      <c r="J872" t="s">
        <v>43</v>
      </c>
      <c r="K872" t="s">
        <v>58</v>
      </c>
      <c r="L872" t="s">
        <v>55</v>
      </c>
      <c r="M872">
        <v>99</v>
      </c>
      <c r="N872">
        <v>3</v>
      </c>
      <c r="O872">
        <v>1</v>
      </c>
      <c r="P872">
        <v>6</v>
      </c>
      <c r="Q872" t="s">
        <v>31</v>
      </c>
      <c r="R872">
        <v>120</v>
      </c>
      <c r="S872">
        <v>24</v>
      </c>
      <c r="T872" t="s">
        <v>63</v>
      </c>
      <c r="U872" t="s">
        <v>31</v>
      </c>
      <c r="V872">
        <v>2026</v>
      </c>
      <c r="W872">
        <v>8</v>
      </c>
      <c r="X872" t="s">
        <v>1417</v>
      </c>
      <c r="Y872" s="6">
        <v>46235</v>
      </c>
      <c r="Z872" t="s">
        <v>1418</v>
      </c>
      <c r="AA872" t="s">
        <v>63</v>
      </c>
      <c r="AB872" t="s">
        <v>63</v>
      </c>
      <c r="AC872" t="s">
        <v>23</v>
      </c>
      <c r="AD872">
        <v>1</v>
      </c>
      <c r="AE872">
        <v>0</v>
      </c>
      <c r="AF872">
        <v>1</v>
      </c>
      <c r="AG872">
        <v>1</v>
      </c>
      <c r="AH872">
        <v>0</v>
      </c>
      <c r="AI872">
        <v>1</v>
      </c>
      <c r="AJ872">
        <v>0</v>
      </c>
    </row>
    <row r="873" spans="1:36">
      <c r="A873" t="s">
        <v>1036</v>
      </c>
      <c r="B873">
        <v>7.11</v>
      </c>
      <c r="C873" s="7">
        <v>46252.946527777778</v>
      </c>
      <c r="D873" s="7">
        <v>46253.242925370374</v>
      </c>
      <c r="E873" t="s">
        <v>23</v>
      </c>
      <c r="F873" t="s">
        <v>40</v>
      </c>
      <c r="G873" t="s">
        <v>51</v>
      </c>
      <c r="H873" t="s">
        <v>26</v>
      </c>
      <c r="I873" t="s">
        <v>42</v>
      </c>
      <c r="J873" t="s">
        <v>48</v>
      </c>
      <c r="K873" t="s">
        <v>29</v>
      </c>
      <c r="L873" t="s">
        <v>93</v>
      </c>
      <c r="M873">
        <v>48</v>
      </c>
      <c r="N873">
        <v>4</v>
      </c>
      <c r="O873">
        <v>0</v>
      </c>
      <c r="P873">
        <v>2</v>
      </c>
      <c r="Q873" t="s">
        <v>31</v>
      </c>
      <c r="R873">
        <v>30</v>
      </c>
      <c r="S873">
        <v>8</v>
      </c>
      <c r="T873" t="s">
        <v>31</v>
      </c>
      <c r="U873" t="s">
        <v>63</v>
      </c>
      <c r="V873">
        <v>2026</v>
      </c>
      <c r="W873">
        <v>8</v>
      </c>
      <c r="X873" t="s">
        <v>1417</v>
      </c>
      <c r="Y873" s="6">
        <v>46235</v>
      </c>
      <c r="Z873" t="s">
        <v>1413</v>
      </c>
      <c r="AA873" t="s">
        <v>31</v>
      </c>
      <c r="AB873" t="s">
        <v>63</v>
      </c>
      <c r="AC873" t="s">
        <v>23</v>
      </c>
      <c r="AD873">
        <v>1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1</v>
      </c>
    </row>
    <row r="874" spans="1:36">
      <c r="A874" t="s">
        <v>1037</v>
      </c>
      <c r="C874" s="7">
        <v>46181.101388888892</v>
      </c>
      <c r="D874" s="7"/>
      <c r="E874" t="s">
        <v>74</v>
      </c>
      <c r="F874" t="s">
        <v>33</v>
      </c>
      <c r="G874" t="s">
        <v>65</v>
      </c>
      <c r="H874" t="s">
        <v>54</v>
      </c>
      <c r="I874" t="s">
        <v>27</v>
      </c>
      <c r="J874" t="s">
        <v>36</v>
      </c>
      <c r="K874" t="s">
        <v>29</v>
      </c>
      <c r="L874" t="s">
        <v>38</v>
      </c>
      <c r="M874">
        <v>220</v>
      </c>
      <c r="O874">
        <v>0</v>
      </c>
      <c r="P874">
        <v>3</v>
      </c>
      <c r="Q874" t="s">
        <v>31</v>
      </c>
      <c r="R874">
        <v>240</v>
      </c>
      <c r="S874">
        <v>48</v>
      </c>
      <c r="T874" t="s">
        <v>63</v>
      </c>
      <c r="U874" t="s">
        <v>74</v>
      </c>
      <c r="V874">
        <v>2026</v>
      </c>
      <c r="W874">
        <v>6</v>
      </c>
      <c r="X874" t="s">
        <v>1421</v>
      </c>
      <c r="Y874" s="6">
        <v>46174</v>
      </c>
      <c r="Z874" t="s">
        <v>1420</v>
      </c>
      <c r="AA874" t="s">
        <v>31</v>
      </c>
      <c r="AB874" t="s">
        <v>31</v>
      </c>
      <c r="AC874" t="s">
        <v>74</v>
      </c>
      <c r="AD874">
        <v>1</v>
      </c>
      <c r="AE874">
        <v>1</v>
      </c>
      <c r="AF874">
        <v>0</v>
      </c>
      <c r="AG874">
        <v>0</v>
      </c>
      <c r="AH874">
        <v>0</v>
      </c>
      <c r="AI874">
        <v>1</v>
      </c>
    </row>
    <row r="875" spans="1:36">
      <c r="A875" t="s">
        <v>1038</v>
      </c>
      <c r="B875">
        <v>20.27</v>
      </c>
      <c r="C875" s="7">
        <v>46097.06527777778</v>
      </c>
      <c r="D875" s="7">
        <v>46097.909779490743</v>
      </c>
      <c r="E875" t="s">
        <v>23</v>
      </c>
      <c r="F875" t="s">
        <v>50</v>
      </c>
      <c r="G875" t="s">
        <v>25</v>
      </c>
      <c r="H875" t="s">
        <v>54</v>
      </c>
      <c r="I875" t="s">
        <v>42</v>
      </c>
      <c r="J875" t="s">
        <v>28</v>
      </c>
      <c r="K875" t="s">
        <v>37</v>
      </c>
      <c r="L875" t="s">
        <v>44</v>
      </c>
      <c r="M875">
        <v>41</v>
      </c>
      <c r="N875">
        <v>4</v>
      </c>
      <c r="O875">
        <v>0</v>
      </c>
      <c r="P875">
        <v>6</v>
      </c>
      <c r="Q875" t="s">
        <v>31</v>
      </c>
      <c r="R875">
        <v>120</v>
      </c>
      <c r="S875">
        <v>24</v>
      </c>
      <c r="T875" t="s">
        <v>63</v>
      </c>
      <c r="U875" t="s">
        <v>63</v>
      </c>
      <c r="V875">
        <v>2026</v>
      </c>
      <c r="W875">
        <v>3</v>
      </c>
      <c r="X875" t="s">
        <v>1423</v>
      </c>
      <c r="Y875" s="6">
        <v>46082</v>
      </c>
      <c r="Z875" t="s">
        <v>1413</v>
      </c>
      <c r="AA875" t="s">
        <v>31</v>
      </c>
      <c r="AB875" t="s">
        <v>63</v>
      </c>
      <c r="AC875" t="s">
        <v>23</v>
      </c>
      <c r="AD875">
        <v>1</v>
      </c>
      <c r="AE875">
        <v>0</v>
      </c>
      <c r="AF875">
        <v>1</v>
      </c>
      <c r="AG875">
        <v>0</v>
      </c>
      <c r="AH875">
        <v>0</v>
      </c>
      <c r="AI875">
        <v>1</v>
      </c>
      <c r="AJ875">
        <v>1</v>
      </c>
    </row>
    <row r="876" spans="1:36">
      <c r="A876" t="s">
        <v>1039</v>
      </c>
      <c r="B876">
        <v>23.91</v>
      </c>
      <c r="C876" s="7">
        <v>46084.296527777777</v>
      </c>
      <c r="D876" s="7">
        <v>46085.292895798608</v>
      </c>
      <c r="E876" t="s">
        <v>23</v>
      </c>
      <c r="F876" t="s">
        <v>33</v>
      </c>
      <c r="G876" t="s">
        <v>51</v>
      </c>
      <c r="H876" t="s">
        <v>66</v>
      </c>
      <c r="I876" t="s">
        <v>35</v>
      </c>
      <c r="J876" t="s">
        <v>36</v>
      </c>
      <c r="K876" t="s">
        <v>52</v>
      </c>
      <c r="L876" t="s">
        <v>30</v>
      </c>
      <c r="M876">
        <v>249</v>
      </c>
      <c r="N876">
        <v>4</v>
      </c>
      <c r="O876">
        <v>0</v>
      </c>
      <c r="P876">
        <v>3</v>
      </c>
      <c r="Q876" t="s">
        <v>31</v>
      </c>
      <c r="R876">
        <v>240</v>
      </c>
      <c r="S876">
        <v>48</v>
      </c>
      <c r="T876" t="s">
        <v>31</v>
      </c>
      <c r="U876" t="s">
        <v>63</v>
      </c>
      <c r="V876">
        <v>2026</v>
      </c>
      <c r="W876">
        <v>3</v>
      </c>
      <c r="X876" t="s">
        <v>1423</v>
      </c>
      <c r="Y876" s="6">
        <v>46082</v>
      </c>
      <c r="Z876" t="s">
        <v>1413</v>
      </c>
      <c r="AA876" t="s">
        <v>31</v>
      </c>
      <c r="AB876" t="s">
        <v>63</v>
      </c>
      <c r="AC876" t="s">
        <v>23</v>
      </c>
      <c r="AD876">
        <v>1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1</v>
      </c>
    </row>
    <row r="877" spans="1:36">
      <c r="A877" t="s">
        <v>1041</v>
      </c>
      <c r="B877">
        <v>43.83</v>
      </c>
      <c r="C877" s="7">
        <v>46096.065972222219</v>
      </c>
      <c r="D877" s="7">
        <v>46097.892154768517</v>
      </c>
      <c r="E877" t="s">
        <v>23</v>
      </c>
      <c r="F877" t="s">
        <v>50</v>
      </c>
      <c r="G877" t="s">
        <v>25</v>
      </c>
      <c r="H877" t="s">
        <v>26</v>
      </c>
      <c r="I877" t="s">
        <v>35</v>
      </c>
      <c r="J877" t="s">
        <v>28</v>
      </c>
      <c r="K877" t="s">
        <v>37</v>
      </c>
      <c r="L877" t="s">
        <v>71</v>
      </c>
      <c r="M877">
        <v>147</v>
      </c>
      <c r="N877">
        <v>3</v>
      </c>
      <c r="O877">
        <v>1</v>
      </c>
      <c r="P877">
        <v>10</v>
      </c>
      <c r="Q877" t="s">
        <v>63</v>
      </c>
      <c r="R877">
        <v>120</v>
      </c>
      <c r="S877">
        <v>24</v>
      </c>
      <c r="T877" t="s">
        <v>31</v>
      </c>
      <c r="U877" t="s">
        <v>31</v>
      </c>
      <c r="V877">
        <v>2026</v>
      </c>
      <c r="W877">
        <v>3</v>
      </c>
      <c r="X877" t="s">
        <v>1423</v>
      </c>
      <c r="Y877" s="6">
        <v>46082</v>
      </c>
      <c r="Z877" t="s">
        <v>1418</v>
      </c>
      <c r="AA877" t="s">
        <v>63</v>
      </c>
      <c r="AB877" t="s">
        <v>63</v>
      </c>
      <c r="AC877" t="s">
        <v>23</v>
      </c>
      <c r="AD877">
        <v>1</v>
      </c>
      <c r="AE877">
        <v>0</v>
      </c>
      <c r="AF877">
        <v>1</v>
      </c>
      <c r="AG877">
        <v>1</v>
      </c>
      <c r="AH877">
        <v>1</v>
      </c>
      <c r="AI877">
        <v>0</v>
      </c>
      <c r="AJ877">
        <v>0</v>
      </c>
    </row>
    <row r="878" spans="1:36">
      <c r="A878" t="s">
        <v>1042</v>
      </c>
      <c r="B878">
        <v>16.28</v>
      </c>
      <c r="C878" s="7">
        <v>46064.531944444447</v>
      </c>
      <c r="D878" s="7">
        <v>46065.210298576392</v>
      </c>
      <c r="E878" t="s">
        <v>23</v>
      </c>
      <c r="F878" t="s">
        <v>40</v>
      </c>
      <c r="G878" t="s">
        <v>51</v>
      </c>
      <c r="H878" t="s">
        <v>75</v>
      </c>
      <c r="I878" t="s">
        <v>35</v>
      </c>
      <c r="J878" t="s">
        <v>43</v>
      </c>
      <c r="K878" t="s">
        <v>76</v>
      </c>
      <c r="L878" t="s">
        <v>85</v>
      </c>
      <c r="M878">
        <v>34</v>
      </c>
      <c r="N878">
        <v>5</v>
      </c>
      <c r="O878">
        <v>0</v>
      </c>
      <c r="P878">
        <v>6</v>
      </c>
      <c r="Q878" t="s">
        <v>31</v>
      </c>
      <c r="R878">
        <v>30</v>
      </c>
      <c r="S878">
        <v>8</v>
      </c>
      <c r="T878" t="s">
        <v>31</v>
      </c>
      <c r="U878" t="s">
        <v>31</v>
      </c>
      <c r="V878">
        <v>2026</v>
      </c>
      <c r="W878">
        <v>2</v>
      </c>
      <c r="X878" t="s">
        <v>1419</v>
      </c>
      <c r="Y878" s="6">
        <v>46054</v>
      </c>
      <c r="Z878" t="s">
        <v>1413</v>
      </c>
      <c r="AA878" t="s">
        <v>31</v>
      </c>
      <c r="AB878" t="s">
        <v>63</v>
      </c>
      <c r="AC878" t="s">
        <v>23</v>
      </c>
      <c r="AD878">
        <v>1</v>
      </c>
      <c r="AE878">
        <v>0</v>
      </c>
      <c r="AF878">
        <v>1</v>
      </c>
      <c r="AG878">
        <v>0</v>
      </c>
      <c r="AH878">
        <v>0</v>
      </c>
      <c r="AI878">
        <v>0</v>
      </c>
      <c r="AJ878">
        <v>0</v>
      </c>
    </row>
    <row r="879" spans="1:36">
      <c r="A879" t="s">
        <v>1043</v>
      </c>
      <c r="B879">
        <v>1.55</v>
      </c>
      <c r="C879" s="7">
        <v>46136.636111111111</v>
      </c>
      <c r="D879" s="7">
        <v>46136.700606284721</v>
      </c>
      <c r="E879" t="s">
        <v>23</v>
      </c>
      <c r="F879" t="s">
        <v>24</v>
      </c>
      <c r="G879" t="s">
        <v>51</v>
      </c>
      <c r="H879" t="s">
        <v>26</v>
      </c>
      <c r="I879" t="s">
        <v>35</v>
      </c>
      <c r="J879" t="s">
        <v>36</v>
      </c>
      <c r="K879" t="s">
        <v>52</v>
      </c>
      <c r="L879" t="s">
        <v>101</v>
      </c>
      <c r="M879">
        <v>24</v>
      </c>
      <c r="N879">
        <v>4</v>
      </c>
      <c r="O879">
        <v>0</v>
      </c>
      <c r="P879">
        <v>2</v>
      </c>
      <c r="Q879" t="s">
        <v>31</v>
      </c>
      <c r="R879">
        <v>15</v>
      </c>
      <c r="S879">
        <v>4</v>
      </c>
      <c r="T879" t="s">
        <v>31</v>
      </c>
      <c r="U879" t="s">
        <v>63</v>
      </c>
      <c r="V879">
        <v>2026</v>
      </c>
      <c r="W879">
        <v>4</v>
      </c>
      <c r="X879" t="s">
        <v>1412</v>
      </c>
      <c r="Y879" s="6">
        <v>46113</v>
      </c>
      <c r="Z879" t="s">
        <v>1413</v>
      </c>
      <c r="AA879" t="s">
        <v>31</v>
      </c>
      <c r="AB879" t="s">
        <v>63</v>
      </c>
      <c r="AC879" t="s">
        <v>23</v>
      </c>
      <c r="AD879">
        <v>1</v>
      </c>
      <c r="AE879">
        <v>0</v>
      </c>
      <c r="AF879">
        <v>1</v>
      </c>
      <c r="AG879">
        <v>0</v>
      </c>
      <c r="AH879">
        <v>0</v>
      </c>
      <c r="AI879">
        <v>0</v>
      </c>
      <c r="AJ879">
        <v>1</v>
      </c>
    </row>
    <row r="880" spans="1:36">
      <c r="A880" t="s">
        <v>1044</v>
      </c>
      <c r="B880">
        <v>31.1</v>
      </c>
      <c r="C880" s="7">
        <v>46151.409722222219</v>
      </c>
      <c r="D880" s="7">
        <v>46152.705623414353</v>
      </c>
      <c r="E880" t="s">
        <v>23</v>
      </c>
      <c r="F880" t="s">
        <v>33</v>
      </c>
      <c r="G880" t="s">
        <v>65</v>
      </c>
      <c r="H880" t="s">
        <v>34</v>
      </c>
      <c r="I880" t="s">
        <v>42</v>
      </c>
      <c r="J880" t="s">
        <v>36</v>
      </c>
      <c r="K880" t="s">
        <v>29</v>
      </c>
      <c r="L880" t="s">
        <v>71</v>
      </c>
      <c r="M880">
        <v>100</v>
      </c>
      <c r="N880">
        <v>3</v>
      </c>
      <c r="O880">
        <v>2</v>
      </c>
      <c r="P880">
        <v>8</v>
      </c>
      <c r="Q880" t="s">
        <v>31</v>
      </c>
      <c r="R880">
        <v>240</v>
      </c>
      <c r="S880">
        <v>48</v>
      </c>
      <c r="T880" t="s">
        <v>63</v>
      </c>
      <c r="U880" t="s">
        <v>63</v>
      </c>
      <c r="V880">
        <v>2026</v>
      </c>
      <c r="W880">
        <v>5</v>
      </c>
      <c r="X880" t="s">
        <v>1416</v>
      </c>
      <c r="Y880" s="6">
        <v>46143</v>
      </c>
      <c r="Z880" t="s">
        <v>1418</v>
      </c>
      <c r="AA880" t="s">
        <v>63</v>
      </c>
      <c r="AB880" t="s">
        <v>63</v>
      </c>
      <c r="AC880" t="s">
        <v>23</v>
      </c>
      <c r="AD880">
        <v>1</v>
      </c>
      <c r="AE880">
        <v>0</v>
      </c>
      <c r="AF880">
        <v>1</v>
      </c>
      <c r="AG880">
        <v>1</v>
      </c>
      <c r="AH880">
        <v>0</v>
      </c>
      <c r="AI880">
        <v>1</v>
      </c>
      <c r="AJ880">
        <v>1</v>
      </c>
    </row>
    <row r="881" spans="1:36">
      <c r="A881" t="s">
        <v>1045</v>
      </c>
      <c r="B881">
        <v>38.53</v>
      </c>
      <c r="C881" s="7">
        <v>46115.5</v>
      </c>
      <c r="D881" s="7">
        <v>46117.105406238428</v>
      </c>
      <c r="E881" t="s">
        <v>23</v>
      </c>
      <c r="F881" t="s">
        <v>50</v>
      </c>
      <c r="G881" t="s">
        <v>25</v>
      </c>
      <c r="H881" t="s">
        <v>66</v>
      </c>
      <c r="I881" t="s">
        <v>35</v>
      </c>
      <c r="J881" t="s">
        <v>36</v>
      </c>
      <c r="K881" t="s">
        <v>58</v>
      </c>
      <c r="L881" t="s">
        <v>55</v>
      </c>
      <c r="M881">
        <v>65</v>
      </c>
      <c r="N881">
        <v>4</v>
      </c>
      <c r="O881">
        <v>0</v>
      </c>
      <c r="P881">
        <v>7</v>
      </c>
      <c r="Q881" t="s">
        <v>31</v>
      </c>
      <c r="R881">
        <v>120</v>
      </c>
      <c r="S881">
        <v>24</v>
      </c>
      <c r="T881" t="s">
        <v>63</v>
      </c>
      <c r="U881" t="s">
        <v>31</v>
      </c>
      <c r="V881">
        <v>2026</v>
      </c>
      <c r="W881">
        <v>4</v>
      </c>
      <c r="X881" t="s">
        <v>1412</v>
      </c>
      <c r="Y881" s="6">
        <v>46113</v>
      </c>
      <c r="Z881" t="s">
        <v>1413</v>
      </c>
      <c r="AA881" t="s">
        <v>31</v>
      </c>
      <c r="AB881" t="s">
        <v>63</v>
      </c>
      <c r="AC881" t="s">
        <v>23</v>
      </c>
      <c r="AD881">
        <v>1</v>
      </c>
      <c r="AE881">
        <v>0</v>
      </c>
      <c r="AF881">
        <v>1</v>
      </c>
      <c r="AG881">
        <v>0</v>
      </c>
      <c r="AH881">
        <v>0</v>
      </c>
      <c r="AI881">
        <v>1</v>
      </c>
      <c r="AJ881">
        <v>0</v>
      </c>
    </row>
    <row r="882" spans="1:36">
      <c r="A882" t="s">
        <v>1046</v>
      </c>
      <c r="B882">
        <v>52.39</v>
      </c>
      <c r="C882" s="7">
        <v>46122.81527777778</v>
      </c>
      <c r="D882" s="7">
        <v>46124.998064942127</v>
      </c>
      <c r="E882" t="s">
        <v>23</v>
      </c>
      <c r="F882" t="s">
        <v>50</v>
      </c>
      <c r="G882" t="s">
        <v>41</v>
      </c>
      <c r="H882" t="s">
        <v>26</v>
      </c>
      <c r="I882" t="s">
        <v>35</v>
      </c>
      <c r="J882" t="s">
        <v>43</v>
      </c>
      <c r="K882" t="s">
        <v>37</v>
      </c>
      <c r="L882" t="s">
        <v>68</v>
      </c>
      <c r="M882">
        <v>105</v>
      </c>
      <c r="N882">
        <v>3</v>
      </c>
      <c r="O882">
        <v>0</v>
      </c>
      <c r="P882">
        <v>2</v>
      </c>
      <c r="Q882" t="s">
        <v>31</v>
      </c>
      <c r="R882">
        <v>120</v>
      </c>
      <c r="S882">
        <v>24</v>
      </c>
      <c r="T882" t="s">
        <v>63</v>
      </c>
      <c r="U882" t="s">
        <v>31</v>
      </c>
      <c r="V882">
        <v>2026</v>
      </c>
      <c r="W882">
        <v>4</v>
      </c>
      <c r="X882" t="s">
        <v>1412</v>
      </c>
      <c r="Y882" s="6">
        <v>46113</v>
      </c>
      <c r="Z882" t="s">
        <v>1418</v>
      </c>
      <c r="AA882" t="s">
        <v>31</v>
      </c>
      <c r="AB882" t="s">
        <v>63</v>
      </c>
      <c r="AC882" t="s">
        <v>23</v>
      </c>
      <c r="AD882">
        <v>1</v>
      </c>
      <c r="AE882">
        <v>0</v>
      </c>
      <c r="AF882">
        <v>1</v>
      </c>
      <c r="AG882">
        <v>0</v>
      </c>
      <c r="AH882">
        <v>0</v>
      </c>
      <c r="AI882">
        <v>1</v>
      </c>
      <c r="AJ882">
        <v>0</v>
      </c>
    </row>
    <row r="883" spans="1:36">
      <c r="A883" t="s">
        <v>1047</v>
      </c>
      <c r="B883">
        <v>5.92</v>
      </c>
      <c r="C883" s="7">
        <v>46114.320833333331</v>
      </c>
      <c r="D883" s="7">
        <v>46114.567604201387</v>
      </c>
      <c r="E883" t="s">
        <v>23</v>
      </c>
      <c r="F883" t="s">
        <v>40</v>
      </c>
      <c r="G883" t="s">
        <v>51</v>
      </c>
      <c r="H883" t="s">
        <v>26</v>
      </c>
      <c r="I883" t="s">
        <v>35</v>
      </c>
      <c r="J883" t="s">
        <v>36</v>
      </c>
      <c r="K883" t="s">
        <v>52</v>
      </c>
      <c r="L883" t="s">
        <v>38</v>
      </c>
      <c r="M883">
        <v>92</v>
      </c>
      <c r="N883">
        <v>4</v>
      </c>
      <c r="O883">
        <v>0</v>
      </c>
      <c r="P883">
        <v>2</v>
      </c>
      <c r="Q883" t="s">
        <v>31</v>
      </c>
      <c r="R883">
        <v>30</v>
      </c>
      <c r="S883">
        <v>8</v>
      </c>
      <c r="T883" t="s">
        <v>31</v>
      </c>
      <c r="U883" t="s">
        <v>63</v>
      </c>
      <c r="V883">
        <v>2026</v>
      </c>
      <c r="W883">
        <v>4</v>
      </c>
      <c r="X883" t="s">
        <v>1412</v>
      </c>
      <c r="Y883" s="6">
        <v>46113</v>
      </c>
      <c r="Z883" t="s">
        <v>1413</v>
      </c>
      <c r="AA883" t="s">
        <v>31</v>
      </c>
      <c r="AB883" t="s">
        <v>63</v>
      </c>
      <c r="AC883" t="s">
        <v>23</v>
      </c>
      <c r="AD883">
        <v>1</v>
      </c>
      <c r="AE883">
        <v>0</v>
      </c>
      <c r="AF883">
        <v>1</v>
      </c>
      <c r="AG883">
        <v>0</v>
      </c>
      <c r="AH883">
        <v>0</v>
      </c>
      <c r="AI883">
        <v>0</v>
      </c>
      <c r="AJ883">
        <v>1</v>
      </c>
    </row>
    <row r="884" spans="1:36">
      <c r="A884" t="s">
        <v>1048</v>
      </c>
      <c r="B884">
        <v>18.5</v>
      </c>
      <c r="C884" s="7">
        <v>46064.071527777778</v>
      </c>
      <c r="D884" s="7">
        <v>46064.842361111114</v>
      </c>
      <c r="E884" t="s">
        <v>23</v>
      </c>
      <c r="F884" t="s">
        <v>50</v>
      </c>
      <c r="G884" t="s">
        <v>25</v>
      </c>
      <c r="H884" t="s">
        <v>34</v>
      </c>
      <c r="I884" t="s">
        <v>27</v>
      </c>
      <c r="J884" t="s">
        <v>43</v>
      </c>
      <c r="K884" t="s">
        <v>37</v>
      </c>
      <c r="L884" t="s">
        <v>85</v>
      </c>
      <c r="M884">
        <v>348</v>
      </c>
      <c r="N884">
        <v>3</v>
      </c>
      <c r="O884">
        <v>0</v>
      </c>
      <c r="P884">
        <v>3</v>
      </c>
      <c r="Q884" t="s">
        <v>31</v>
      </c>
      <c r="R884">
        <v>120</v>
      </c>
      <c r="S884">
        <v>24</v>
      </c>
      <c r="T884" t="s">
        <v>31</v>
      </c>
      <c r="U884" t="s">
        <v>63</v>
      </c>
      <c r="V884">
        <v>2026</v>
      </c>
      <c r="W884">
        <v>2</v>
      </c>
      <c r="X884" t="s">
        <v>1419</v>
      </c>
      <c r="Y884" s="6">
        <v>46054</v>
      </c>
      <c r="Z884" t="s">
        <v>1418</v>
      </c>
      <c r="AA884" t="s">
        <v>31</v>
      </c>
      <c r="AB884" t="s">
        <v>63</v>
      </c>
      <c r="AC884" t="s">
        <v>23</v>
      </c>
      <c r="AD884">
        <v>1</v>
      </c>
      <c r="AE884">
        <v>0</v>
      </c>
      <c r="AF884">
        <v>1</v>
      </c>
      <c r="AG884">
        <v>0</v>
      </c>
      <c r="AH884">
        <v>0</v>
      </c>
      <c r="AI884">
        <v>0</v>
      </c>
      <c r="AJ884">
        <v>1</v>
      </c>
    </row>
    <row r="885" spans="1:36">
      <c r="A885" t="s">
        <v>1050</v>
      </c>
      <c r="B885">
        <v>17.350000000000001</v>
      </c>
      <c r="C885" s="7">
        <v>46185.870833333334</v>
      </c>
      <c r="D885" s="7">
        <v>46186.59389822917</v>
      </c>
      <c r="E885" t="s">
        <v>23</v>
      </c>
      <c r="F885" t="s">
        <v>50</v>
      </c>
      <c r="G885" t="s">
        <v>51</v>
      </c>
      <c r="H885" t="s">
        <v>66</v>
      </c>
      <c r="I885" t="s">
        <v>27</v>
      </c>
      <c r="J885" t="s">
        <v>28</v>
      </c>
      <c r="K885" t="s">
        <v>29</v>
      </c>
      <c r="L885" t="s">
        <v>101</v>
      </c>
      <c r="M885">
        <v>90</v>
      </c>
      <c r="N885">
        <v>4</v>
      </c>
      <c r="O885">
        <v>0</v>
      </c>
      <c r="P885">
        <v>4</v>
      </c>
      <c r="Q885" t="s">
        <v>31</v>
      </c>
      <c r="R885">
        <v>120</v>
      </c>
      <c r="S885">
        <v>24</v>
      </c>
      <c r="T885" t="s">
        <v>63</v>
      </c>
      <c r="U885" t="s">
        <v>63</v>
      </c>
      <c r="V885">
        <v>2026</v>
      </c>
      <c r="W885">
        <v>6</v>
      </c>
      <c r="X885" t="s">
        <v>1421</v>
      </c>
      <c r="Y885" s="6">
        <v>46174</v>
      </c>
      <c r="Z885" t="s">
        <v>1413</v>
      </c>
      <c r="AA885" t="s">
        <v>31</v>
      </c>
      <c r="AB885" t="s">
        <v>63</v>
      </c>
      <c r="AC885" t="s">
        <v>23</v>
      </c>
      <c r="AD885">
        <v>1</v>
      </c>
      <c r="AE885">
        <v>0</v>
      </c>
      <c r="AF885">
        <v>1</v>
      </c>
      <c r="AG885">
        <v>0</v>
      </c>
      <c r="AH885">
        <v>0</v>
      </c>
      <c r="AI885">
        <v>1</v>
      </c>
      <c r="AJ885">
        <v>1</v>
      </c>
    </row>
    <row r="886" spans="1:36">
      <c r="A886" t="s">
        <v>1051</v>
      </c>
      <c r="B886">
        <v>7.89</v>
      </c>
      <c r="C886" s="7">
        <v>46129.648611111108</v>
      </c>
      <c r="D886" s="7">
        <v>46129.977500590277</v>
      </c>
      <c r="E886" t="s">
        <v>23</v>
      </c>
      <c r="F886" t="s">
        <v>40</v>
      </c>
      <c r="G886" t="s">
        <v>51</v>
      </c>
      <c r="H886" t="s">
        <v>54</v>
      </c>
      <c r="I886" t="s">
        <v>27</v>
      </c>
      <c r="J886" t="s">
        <v>48</v>
      </c>
      <c r="K886" t="s">
        <v>67</v>
      </c>
      <c r="L886" t="s">
        <v>30</v>
      </c>
      <c r="M886">
        <v>49</v>
      </c>
      <c r="N886">
        <v>5</v>
      </c>
      <c r="O886">
        <v>0</v>
      </c>
      <c r="P886">
        <v>3</v>
      </c>
      <c r="Q886" t="s">
        <v>31</v>
      </c>
      <c r="R886">
        <v>30</v>
      </c>
      <c r="S886">
        <v>8</v>
      </c>
      <c r="T886" t="s">
        <v>31</v>
      </c>
      <c r="U886" t="s">
        <v>63</v>
      </c>
      <c r="V886">
        <v>2026</v>
      </c>
      <c r="W886">
        <v>4</v>
      </c>
      <c r="X886" t="s">
        <v>1412</v>
      </c>
      <c r="Y886" s="6">
        <v>46113</v>
      </c>
      <c r="Z886" t="s">
        <v>1413</v>
      </c>
      <c r="AA886" t="s">
        <v>31</v>
      </c>
      <c r="AB886" t="s">
        <v>63</v>
      </c>
      <c r="AC886" t="s">
        <v>23</v>
      </c>
      <c r="AD886">
        <v>1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1</v>
      </c>
    </row>
    <row r="887" spans="1:36">
      <c r="A887" t="s">
        <v>1052</v>
      </c>
      <c r="B887">
        <v>21.86</v>
      </c>
      <c r="C887" s="7">
        <v>46056.370833333334</v>
      </c>
      <c r="D887" s="7">
        <v>46057.281683159723</v>
      </c>
      <c r="E887" t="s">
        <v>23</v>
      </c>
      <c r="F887" t="s">
        <v>50</v>
      </c>
      <c r="G887" t="s">
        <v>41</v>
      </c>
      <c r="H887" t="s">
        <v>34</v>
      </c>
      <c r="I887" t="s">
        <v>27</v>
      </c>
      <c r="J887" t="s">
        <v>28</v>
      </c>
      <c r="K887" t="s">
        <v>37</v>
      </c>
      <c r="L887" t="s">
        <v>93</v>
      </c>
      <c r="M887">
        <v>58</v>
      </c>
      <c r="N887">
        <v>3</v>
      </c>
      <c r="O887">
        <v>2</v>
      </c>
      <c r="P887">
        <v>8</v>
      </c>
      <c r="Q887" t="s">
        <v>31</v>
      </c>
      <c r="R887">
        <v>120</v>
      </c>
      <c r="S887">
        <v>24</v>
      </c>
      <c r="T887" t="s">
        <v>63</v>
      </c>
      <c r="U887" t="s">
        <v>63</v>
      </c>
      <c r="V887">
        <v>2026</v>
      </c>
      <c r="W887">
        <v>2</v>
      </c>
      <c r="X887" t="s">
        <v>1419</v>
      </c>
      <c r="Y887" s="6">
        <v>46054</v>
      </c>
      <c r="Z887" t="s">
        <v>1418</v>
      </c>
      <c r="AA887" t="s">
        <v>63</v>
      </c>
      <c r="AB887" t="s">
        <v>63</v>
      </c>
      <c r="AC887" t="s">
        <v>23</v>
      </c>
      <c r="AD887">
        <v>1</v>
      </c>
      <c r="AE887">
        <v>0</v>
      </c>
      <c r="AF887">
        <v>1</v>
      </c>
      <c r="AG887">
        <v>1</v>
      </c>
      <c r="AH887">
        <v>0</v>
      </c>
      <c r="AI887">
        <v>1</v>
      </c>
      <c r="AJ887">
        <v>1</v>
      </c>
    </row>
    <row r="888" spans="1:36">
      <c r="A888" t="s">
        <v>1053</v>
      </c>
      <c r="B888">
        <v>8.9600000000000009</v>
      </c>
      <c r="C888" s="7">
        <v>46189.17291666667</v>
      </c>
      <c r="D888" s="7">
        <v>46189.546366296294</v>
      </c>
      <c r="E888" t="s">
        <v>23</v>
      </c>
      <c r="F888" t="s">
        <v>50</v>
      </c>
      <c r="G888" t="s">
        <v>51</v>
      </c>
      <c r="H888" t="s">
        <v>26</v>
      </c>
      <c r="I888" t="s">
        <v>35</v>
      </c>
      <c r="J888" t="s">
        <v>36</v>
      </c>
      <c r="K888" t="s">
        <v>52</v>
      </c>
      <c r="L888" t="s">
        <v>85</v>
      </c>
      <c r="M888">
        <v>122</v>
      </c>
      <c r="N888">
        <v>4</v>
      </c>
      <c r="O888">
        <v>1</v>
      </c>
      <c r="P888">
        <v>7</v>
      </c>
      <c r="Q888" t="s">
        <v>31</v>
      </c>
      <c r="R888">
        <v>120</v>
      </c>
      <c r="S888">
        <v>24</v>
      </c>
      <c r="T888" t="s">
        <v>31</v>
      </c>
      <c r="U888" t="s">
        <v>63</v>
      </c>
      <c r="V888">
        <v>2026</v>
      </c>
      <c r="W888">
        <v>6</v>
      </c>
      <c r="X888" t="s">
        <v>1421</v>
      </c>
      <c r="Y888" s="6">
        <v>46174</v>
      </c>
      <c r="Z888" t="s">
        <v>1413</v>
      </c>
      <c r="AA888" t="s">
        <v>63</v>
      </c>
      <c r="AB888" t="s">
        <v>63</v>
      </c>
      <c r="AC888" t="s">
        <v>23</v>
      </c>
      <c r="AD888">
        <v>1</v>
      </c>
      <c r="AE888">
        <v>0</v>
      </c>
      <c r="AF888">
        <v>1</v>
      </c>
      <c r="AG888">
        <v>1</v>
      </c>
      <c r="AH888">
        <v>0</v>
      </c>
      <c r="AI888">
        <v>0</v>
      </c>
      <c r="AJ888">
        <v>1</v>
      </c>
    </row>
    <row r="889" spans="1:36">
      <c r="A889" t="s">
        <v>1054</v>
      </c>
      <c r="B889">
        <v>66.63</v>
      </c>
      <c r="C889" s="7">
        <v>46059.076388888891</v>
      </c>
      <c r="D889" s="7">
        <v>46061.852654745373</v>
      </c>
      <c r="E889" t="s">
        <v>23</v>
      </c>
      <c r="F889" t="s">
        <v>33</v>
      </c>
      <c r="G889" t="s">
        <v>25</v>
      </c>
      <c r="H889" t="s">
        <v>26</v>
      </c>
      <c r="I889" t="s">
        <v>42</v>
      </c>
      <c r="J889" t="s">
        <v>28</v>
      </c>
      <c r="K889" t="s">
        <v>37</v>
      </c>
      <c r="L889" t="s">
        <v>38</v>
      </c>
      <c r="M889">
        <v>175</v>
      </c>
      <c r="N889">
        <v>3</v>
      </c>
      <c r="O889">
        <v>0</v>
      </c>
      <c r="P889">
        <v>6</v>
      </c>
      <c r="Q889" t="s">
        <v>31</v>
      </c>
      <c r="R889">
        <v>240</v>
      </c>
      <c r="S889">
        <v>48</v>
      </c>
      <c r="T889" t="s">
        <v>63</v>
      </c>
      <c r="U889" t="s">
        <v>31</v>
      </c>
      <c r="V889">
        <v>2026</v>
      </c>
      <c r="W889">
        <v>2</v>
      </c>
      <c r="X889" t="s">
        <v>1419</v>
      </c>
      <c r="Y889" s="6">
        <v>46054</v>
      </c>
      <c r="Z889" t="s">
        <v>1418</v>
      </c>
      <c r="AA889" t="s">
        <v>31</v>
      </c>
      <c r="AB889" t="s">
        <v>63</v>
      </c>
      <c r="AC889" t="s">
        <v>23</v>
      </c>
      <c r="AD889">
        <v>1</v>
      </c>
      <c r="AE889">
        <v>0</v>
      </c>
      <c r="AF889">
        <v>1</v>
      </c>
      <c r="AG889">
        <v>0</v>
      </c>
      <c r="AH889">
        <v>0</v>
      </c>
      <c r="AI889">
        <v>1</v>
      </c>
      <c r="AJ889">
        <v>0</v>
      </c>
    </row>
    <row r="890" spans="1:36">
      <c r="A890" t="s">
        <v>1055</v>
      </c>
      <c r="B890">
        <v>5.67</v>
      </c>
      <c r="C890" s="7">
        <v>46188.67083333333</v>
      </c>
      <c r="D890" s="7">
        <v>46188.906892673614</v>
      </c>
      <c r="E890" t="s">
        <v>23</v>
      </c>
      <c r="F890" t="s">
        <v>24</v>
      </c>
      <c r="G890" t="s">
        <v>65</v>
      </c>
      <c r="H890" t="s">
        <v>54</v>
      </c>
      <c r="I890" t="s">
        <v>35</v>
      </c>
      <c r="J890" t="s">
        <v>36</v>
      </c>
      <c r="K890" t="s">
        <v>52</v>
      </c>
      <c r="L890" t="s">
        <v>93</v>
      </c>
      <c r="M890">
        <v>34</v>
      </c>
      <c r="N890">
        <v>4</v>
      </c>
      <c r="O890">
        <v>1</v>
      </c>
      <c r="P890">
        <v>6</v>
      </c>
      <c r="Q890" t="s">
        <v>31</v>
      </c>
      <c r="R890">
        <v>15</v>
      </c>
      <c r="S890">
        <v>4</v>
      </c>
      <c r="T890" t="s">
        <v>31</v>
      </c>
      <c r="U890" t="s">
        <v>31</v>
      </c>
      <c r="V890">
        <v>2026</v>
      </c>
      <c r="W890">
        <v>6</v>
      </c>
      <c r="X890" t="s">
        <v>1421</v>
      </c>
      <c r="Y890" s="6">
        <v>46174</v>
      </c>
      <c r="Z890" t="s">
        <v>1413</v>
      </c>
      <c r="AA890" t="s">
        <v>63</v>
      </c>
      <c r="AB890" t="s">
        <v>63</v>
      </c>
      <c r="AC890" t="s">
        <v>23</v>
      </c>
      <c r="AD890">
        <v>1</v>
      </c>
      <c r="AE890">
        <v>0</v>
      </c>
      <c r="AF890">
        <v>1</v>
      </c>
      <c r="AG890">
        <v>1</v>
      </c>
      <c r="AH890">
        <v>0</v>
      </c>
      <c r="AI890">
        <v>0</v>
      </c>
      <c r="AJ890">
        <v>0</v>
      </c>
    </row>
    <row r="891" spans="1:36">
      <c r="A891" t="s">
        <v>1056</v>
      </c>
      <c r="B891">
        <v>73.83</v>
      </c>
      <c r="C891" s="7">
        <v>46169.69027777778</v>
      </c>
      <c r="D891" s="7">
        <v>46172.766403310183</v>
      </c>
      <c r="E891" t="s">
        <v>23</v>
      </c>
      <c r="F891" t="s">
        <v>33</v>
      </c>
      <c r="G891" t="s">
        <v>41</v>
      </c>
      <c r="H891" t="s">
        <v>34</v>
      </c>
      <c r="I891" t="s">
        <v>27</v>
      </c>
      <c r="J891" t="s">
        <v>28</v>
      </c>
      <c r="K891" t="s">
        <v>37</v>
      </c>
      <c r="L891" t="s">
        <v>30</v>
      </c>
      <c r="M891">
        <v>241</v>
      </c>
      <c r="N891">
        <v>3</v>
      </c>
      <c r="O891">
        <v>0</v>
      </c>
      <c r="P891">
        <v>6</v>
      </c>
      <c r="Q891" t="s">
        <v>31</v>
      </c>
      <c r="R891">
        <v>240</v>
      </c>
      <c r="S891">
        <v>48</v>
      </c>
      <c r="T891" t="s">
        <v>31</v>
      </c>
      <c r="U891" t="s">
        <v>31</v>
      </c>
      <c r="V891">
        <v>2026</v>
      </c>
      <c r="W891">
        <v>5</v>
      </c>
      <c r="X891" t="s">
        <v>1416</v>
      </c>
      <c r="Y891" s="6">
        <v>46143</v>
      </c>
      <c r="Z891" t="s">
        <v>1418</v>
      </c>
      <c r="AA891" t="s">
        <v>31</v>
      </c>
      <c r="AB891" t="s">
        <v>63</v>
      </c>
      <c r="AC891" t="s">
        <v>23</v>
      </c>
      <c r="AD891">
        <v>1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</row>
    <row r="892" spans="1:36">
      <c r="A892" t="s">
        <v>1057</v>
      </c>
      <c r="B892">
        <v>23.33</v>
      </c>
      <c r="C892" s="7">
        <v>46065.609027777777</v>
      </c>
      <c r="D892" s="7">
        <v>46066.581278020836</v>
      </c>
      <c r="E892" t="s">
        <v>23</v>
      </c>
      <c r="F892" t="s">
        <v>33</v>
      </c>
      <c r="G892" t="s">
        <v>25</v>
      </c>
      <c r="H892" t="s">
        <v>54</v>
      </c>
      <c r="I892" t="s">
        <v>35</v>
      </c>
      <c r="J892" t="s">
        <v>48</v>
      </c>
      <c r="K892" t="s">
        <v>67</v>
      </c>
      <c r="L892" t="s">
        <v>38</v>
      </c>
      <c r="M892">
        <v>492</v>
      </c>
      <c r="N892">
        <v>3</v>
      </c>
      <c r="O892">
        <v>0</v>
      </c>
      <c r="P892">
        <v>5</v>
      </c>
      <c r="Q892" t="s">
        <v>31</v>
      </c>
      <c r="R892">
        <v>240</v>
      </c>
      <c r="S892">
        <v>48</v>
      </c>
      <c r="T892" t="s">
        <v>31</v>
      </c>
      <c r="U892" t="s">
        <v>63</v>
      </c>
      <c r="V892">
        <v>2026</v>
      </c>
      <c r="W892">
        <v>2</v>
      </c>
      <c r="X892" t="s">
        <v>1419</v>
      </c>
      <c r="Y892" s="6">
        <v>46054</v>
      </c>
      <c r="Z892" t="s">
        <v>1418</v>
      </c>
      <c r="AA892" t="s">
        <v>31</v>
      </c>
      <c r="AB892" t="s">
        <v>63</v>
      </c>
      <c r="AC892" t="s">
        <v>23</v>
      </c>
      <c r="AD892">
        <v>1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1</v>
      </c>
    </row>
    <row r="893" spans="1:36">
      <c r="A893" t="s">
        <v>1058</v>
      </c>
      <c r="B893">
        <v>50.94</v>
      </c>
      <c r="C893" s="7">
        <v>46253.600694444445</v>
      </c>
      <c r="D893" s="7">
        <v>46255.723163761577</v>
      </c>
      <c r="E893" t="s">
        <v>23</v>
      </c>
      <c r="F893" t="s">
        <v>33</v>
      </c>
      <c r="G893" t="s">
        <v>51</v>
      </c>
      <c r="H893" t="s">
        <v>26</v>
      </c>
      <c r="I893" t="s">
        <v>35</v>
      </c>
      <c r="J893" t="s">
        <v>36</v>
      </c>
      <c r="K893" t="s">
        <v>58</v>
      </c>
      <c r="L893" t="s">
        <v>30</v>
      </c>
      <c r="M893">
        <v>116</v>
      </c>
      <c r="N893">
        <v>4</v>
      </c>
      <c r="O893">
        <v>0</v>
      </c>
      <c r="P893">
        <v>2</v>
      </c>
      <c r="Q893" t="s">
        <v>31</v>
      </c>
      <c r="R893">
        <v>240</v>
      </c>
      <c r="S893">
        <v>48</v>
      </c>
      <c r="T893" t="s">
        <v>63</v>
      </c>
      <c r="U893" t="s">
        <v>31</v>
      </c>
      <c r="V893">
        <v>2026</v>
      </c>
      <c r="W893">
        <v>8</v>
      </c>
      <c r="X893" t="s">
        <v>1417</v>
      </c>
      <c r="Y893" s="6">
        <v>46235</v>
      </c>
      <c r="Z893" t="s">
        <v>1413</v>
      </c>
      <c r="AA893" t="s">
        <v>31</v>
      </c>
      <c r="AB893" t="s">
        <v>63</v>
      </c>
      <c r="AC893" t="s">
        <v>23</v>
      </c>
      <c r="AD893">
        <v>1</v>
      </c>
      <c r="AE893">
        <v>0</v>
      </c>
      <c r="AF893">
        <v>1</v>
      </c>
      <c r="AG893">
        <v>0</v>
      </c>
      <c r="AH893">
        <v>0</v>
      </c>
      <c r="AI893">
        <v>1</v>
      </c>
      <c r="AJ893">
        <v>0</v>
      </c>
    </row>
    <row r="894" spans="1:36">
      <c r="A894" t="s">
        <v>1059</v>
      </c>
      <c r="B894">
        <v>2.17</v>
      </c>
      <c r="C894" s="7">
        <v>46158.384722222225</v>
      </c>
      <c r="D894" s="7">
        <v>46158.47502416667</v>
      </c>
      <c r="E894" t="s">
        <v>23</v>
      </c>
      <c r="F894" t="s">
        <v>40</v>
      </c>
      <c r="G894" t="s">
        <v>51</v>
      </c>
      <c r="H894" t="s">
        <v>26</v>
      </c>
      <c r="I894" t="s">
        <v>35</v>
      </c>
      <c r="J894" t="s">
        <v>48</v>
      </c>
      <c r="K894" t="s">
        <v>29</v>
      </c>
      <c r="L894" t="s">
        <v>30</v>
      </c>
      <c r="M894">
        <v>34</v>
      </c>
      <c r="N894">
        <v>5</v>
      </c>
      <c r="O894">
        <v>0</v>
      </c>
      <c r="P894">
        <v>4</v>
      </c>
      <c r="Q894" t="s">
        <v>31</v>
      </c>
      <c r="R894">
        <v>30</v>
      </c>
      <c r="S894">
        <v>8</v>
      </c>
      <c r="T894" t="s">
        <v>31</v>
      </c>
      <c r="U894" t="s">
        <v>63</v>
      </c>
      <c r="V894">
        <v>2026</v>
      </c>
      <c r="W894">
        <v>5</v>
      </c>
      <c r="X894" t="s">
        <v>1416</v>
      </c>
      <c r="Y894" s="6">
        <v>46143</v>
      </c>
      <c r="Z894" t="s">
        <v>1413</v>
      </c>
      <c r="AA894" t="s">
        <v>31</v>
      </c>
      <c r="AB894" t="s">
        <v>63</v>
      </c>
      <c r="AC894" t="s">
        <v>23</v>
      </c>
      <c r="AD894">
        <v>1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1</v>
      </c>
    </row>
    <row r="895" spans="1:36">
      <c r="A895" t="s">
        <v>1060</v>
      </c>
      <c r="B895">
        <v>11.99</v>
      </c>
      <c r="C895" s="7">
        <v>46207.918749999997</v>
      </c>
      <c r="D895" s="7">
        <v>46208.418494259262</v>
      </c>
      <c r="E895" t="s">
        <v>23</v>
      </c>
      <c r="F895" t="s">
        <v>50</v>
      </c>
      <c r="G895" t="s">
        <v>25</v>
      </c>
      <c r="H895" t="s">
        <v>66</v>
      </c>
      <c r="I895" t="s">
        <v>35</v>
      </c>
      <c r="J895" t="s">
        <v>36</v>
      </c>
      <c r="K895" t="s">
        <v>29</v>
      </c>
      <c r="L895" t="s">
        <v>93</v>
      </c>
      <c r="M895">
        <v>346</v>
      </c>
      <c r="N895">
        <v>3</v>
      </c>
      <c r="O895">
        <v>0</v>
      </c>
      <c r="P895">
        <v>2</v>
      </c>
      <c r="Q895" t="s">
        <v>31</v>
      </c>
      <c r="R895">
        <v>120</v>
      </c>
      <c r="S895">
        <v>24</v>
      </c>
      <c r="T895" t="s">
        <v>31</v>
      </c>
      <c r="U895" t="s">
        <v>63</v>
      </c>
      <c r="V895">
        <v>2026</v>
      </c>
      <c r="W895">
        <v>7</v>
      </c>
      <c r="X895" t="s">
        <v>1422</v>
      </c>
      <c r="Y895" s="6">
        <v>46204</v>
      </c>
      <c r="Z895" t="s">
        <v>1418</v>
      </c>
      <c r="AA895" t="s">
        <v>31</v>
      </c>
      <c r="AB895" t="s">
        <v>63</v>
      </c>
      <c r="AC895" t="s">
        <v>23</v>
      </c>
      <c r="AD895">
        <v>1</v>
      </c>
      <c r="AE895">
        <v>0</v>
      </c>
      <c r="AF895">
        <v>1</v>
      </c>
      <c r="AG895">
        <v>0</v>
      </c>
      <c r="AH895">
        <v>0</v>
      </c>
      <c r="AI895">
        <v>0</v>
      </c>
      <c r="AJ895">
        <v>1</v>
      </c>
    </row>
    <row r="896" spans="1:36">
      <c r="A896" t="s">
        <v>1061</v>
      </c>
      <c r="B896">
        <v>8.94</v>
      </c>
      <c r="C896" s="7">
        <v>46131.751388888886</v>
      </c>
      <c r="D896" s="7">
        <v>46132.123820844907</v>
      </c>
      <c r="E896" t="s">
        <v>23</v>
      </c>
      <c r="F896" t="s">
        <v>50</v>
      </c>
      <c r="G896" t="s">
        <v>25</v>
      </c>
      <c r="H896" t="s">
        <v>34</v>
      </c>
      <c r="I896" t="s">
        <v>42</v>
      </c>
      <c r="J896" t="s">
        <v>36</v>
      </c>
      <c r="K896" t="s">
        <v>29</v>
      </c>
      <c r="L896" t="s">
        <v>38</v>
      </c>
      <c r="M896">
        <v>105</v>
      </c>
      <c r="N896">
        <v>4</v>
      </c>
      <c r="O896">
        <v>0</v>
      </c>
      <c r="P896">
        <v>6</v>
      </c>
      <c r="Q896" t="s">
        <v>31</v>
      </c>
      <c r="R896">
        <v>120</v>
      </c>
      <c r="S896">
        <v>24</v>
      </c>
      <c r="T896" t="s">
        <v>63</v>
      </c>
      <c r="U896" t="s">
        <v>63</v>
      </c>
      <c r="V896">
        <v>2026</v>
      </c>
      <c r="W896">
        <v>4</v>
      </c>
      <c r="X896" t="s">
        <v>1412</v>
      </c>
      <c r="Y896" s="6">
        <v>46113</v>
      </c>
      <c r="Z896" t="s">
        <v>1413</v>
      </c>
      <c r="AA896" t="s">
        <v>31</v>
      </c>
      <c r="AB896" t="s">
        <v>63</v>
      </c>
      <c r="AC896" t="s">
        <v>23</v>
      </c>
      <c r="AD896">
        <v>1</v>
      </c>
      <c r="AE896">
        <v>0</v>
      </c>
      <c r="AF896">
        <v>1</v>
      </c>
      <c r="AG896">
        <v>0</v>
      </c>
      <c r="AH896">
        <v>0</v>
      </c>
      <c r="AI896">
        <v>1</v>
      </c>
      <c r="AJ896">
        <v>1</v>
      </c>
    </row>
    <row r="897" spans="1:36">
      <c r="A897" t="s">
        <v>1062</v>
      </c>
      <c r="B897">
        <v>26.21</v>
      </c>
      <c r="C897" s="7">
        <v>46191.40902777778</v>
      </c>
      <c r="D897" s="7">
        <v>46192.500917523146</v>
      </c>
      <c r="E897" t="s">
        <v>23</v>
      </c>
      <c r="F897" t="s">
        <v>50</v>
      </c>
      <c r="G897" t="s">
        <v>51</v>
      </c>
      <c r="H897" t="s">
        <v>66</v>
      </c>
      <c r="I897" t="s">
        <v>42</v>
      </c>
      <c r="J897" t="s">
        <v>36</v>
      </c>
      <c r="K897" t="s">
        <v>37</v>
      </c>
      <c r="L897" t="s">
        <v>44</v>
      </c>
      <c r="M897">
        <v>73</v>
      </c>
      <c r="N897">
        <v>4</v>
      </c>
      <c r="O897">
        <v>1</v>
      </c>
      <c r="P897">
        <v>7</v>
      </c>
      <c r="Q897" t="s">
        <v>31</v>
      </c>
      <c r="R897">
        <v>120</v>
      </c>
      <c r="S897">
        <v>24</v>
      </c>
      <c r="T897" t="s">
        <v>63</v>
      </c>
      <c r="U897" t="s">
        <v>31</v>
      </c>
      <c r="V897">
        <v>2026</v>
      </c>
      <c r="W897">
        <v>6</v>
      </c>
      <c r="X897" t="s">
        <v>1421</v>
      </c>
      <c r="Y897" s="6">
        <v>46174</v>
      </c>
      <c r="Z897" t="s">
        <v>1413</v>
      </c>
      <c r="AA897" t="s">
        <v>63</v>
      </c>
      <c r="AB897" t="s">
        <v>63</v>
      </c>
      <c r="AC897" t="s">
        <v>23</v>
      </c>
      <c r="AD897">
        <v>1</v>
      </c>
      <c r="AE897">
        <v>0</v>
      </c>
      <c r="AF897">
        <v>1</v>
      </c>
      <c r="AG897">
        <v>1</v>
      </c>
      <c r="AH897">
        <v>0</v>
      </c>
      <c r="AI897">
        <v>1</v>
      </c>
      <c r="AJ897">
        <v>0</v>
      </c>
    </row>
    <row r="898" spans="1:36">
      <c r="A898" t="s">
        <v>1063</v>
      </c>
      <c r="B898">
        <v>113.91</v>
      </c>
      <c r="C898" s="7">
        <v>46189.415972222225</v>
      </c>
      <c r="D898" s="7">
        <v>46194.162202638887</v>
      </c>
      <c r="E898" t="s">
        <v>23</v>
      </c>
      <c r="F898" t="s">
        <v>50</v>
      </c>
      <c r="G898" t="s">
        <v>51</v>
      </c>
      <c r="H898" t="s">
        <v>34</v>
      </c>
      <c r="I898" t="s">
        <v>27</v>
      </c>
      <c r="J898" t="s">
        <v>28</v>
      </c>
      <c r="K898" t="s">
        <v>37</v>
      </c>
      <c r="L898" t="s">
        <v>44</v>
      </c>
      <c r="M898">
        <v>70</v>
      </c>
      <c r="N898">
        <v>3</v>
      </c>
      <c r="O898">
        <v>1</v>
      </c>
      <c r="P898">
        <v>11</v>
      </c>
      <c r="Q898" t="s">
        <v>63</v>
      </c>
      <c r="R898">
        <v>120</v>
      </c>
      <c r="S898">
        <v>24</v>
      </c>
      <c r="T898" t="s">
        <v>63</v>
      </c>
      <c r="U898" t="s">
        <v>31</v>
      </c>
      <c r="V898">
        <v>2026</v>
      </c>
      <c r="W898">
        <v>6</v>
      </c>
      <c r="X898" t="s">
        <v>1421</v>
      </c>
      <c r="Y898" s="6">
        <v>46174</v>
      </c>
      <c r="Z898" t="s">
        <v>1418</v>
      </c>
      <c r="AA898" t="s">
        <v>63</v>
      </c>
      <c r="AB898" t="s">
        <v>63</v>
      </c>
      <c r="AC898" t="s">
        <v>23</v>
      </c>
      <c r="AD898">
        <v>1</v>
      </c>
      <c r="AE898">
        <v>0</v>
      </c>
      <c r="AF898">
        <v>1</v>
      </c>
      <c r="AG898">
        <v>1</v>
      </c>
      <c r="AH898">
        <v>1</v>
      </c>
      <c r="AI898">
        <v>1</v>
      </c>
      <c r="AJ898">
        <v>0</v>
      </c>
    </row>
    <row r="899" spans="1:36">
      <c r="A899" t="s">
        <v>1064</v>
      </c>
      <c r="B899">
        <v>15.39</v>
      </c>
      <c r="C899" s="7">
        <v>46213.084027777775</v>
      </c>
      <c r="D899" s="7">
        <v>46213.725235208331</v>
      </c>
      <c r="E899" t="s">
        <v>23</v>
      </c>
      <c r="F899" t="s">
        <v>33</v>
      </c>
      <c r="G899" t="s">
        <v>51</v>
      </c>
      <c r="H899" t="s">
        <v>26</v>
      </c>
      <c r="I899" t="s">
        <v>27</v>
      </c>
      <c r="J899" t="s">
        <v>36</v>
      </c>
      <c r="K899" t="s">
        <v>58</v>
      </c>
      <c r="L899" t="s">
        <v>55</v>
      </c>
      <c r="M899">
        <v>144</v>
      </c>
      <c r="N899">
        <v>4</v>
      </c>
      <c r="O899">
        <v>0</v>
      </c>
      <c r="P899">
        <v>3</v>
      </c>
      <c r="Q899" t="s">
        <v>31</v>
      </c>
      <c r="R899">
        <v>240</v>
      </c>
      <c r="S899">
        <v>48</v>
      </c>
      <c r="T899" t="s">
        <v>63</v>
      </c>
      <c r="U899" t="s">
        <v>63</v>
      </c>
      <c r="V899">
        <v>2026</v>
      </c>
      <c r="W899">
        <v>7</v>
      </c>
      <c r="X899" t="s">
        <v>1422</v>
      </c>
      <c r="Y899" s="6">
        <v>46204</v>
      </c>
      <c r="Z899" t="s">
        <v>1413</v>
      </c>
      <c r="AA899" t="s">
        <v>31</v>
      </c>
      <c r="AB899" t="s">
        <v>63</v>
      </c>
      <c r="AC899" t="s">
        <v>23</v>
      </c>
      <c r="AD899">
        <v>1</v>
      </c>
      <c r="AE899">
        <v>0</v>
      </c>
      <c r="AF899">
        <v>1</v>
      </c>
      <c r="AG899">
        <v>0</v>
      </c>
      <c r="AH899">
        <v>0</v>
      </c>
      <c r="AI899">
        <v>1</v>
      </c>
      <c r="AJ899">
        <v>1</v>
      </c>
    </row>
    <row r="900" spans="1:36">
      <c r="A900" t="s">
        <v>1065</v>
      </c>
      <c r="B900">
        <v>7.49</v>
      </c>
      <c r="C900" s="7">
        <v>46181.093055555553</v>
      </c>
      <c r="D900" s="7">
        <v>46181.404981886575</v>
      </c>
      <c r="E900" t="s">
        <v>23</v>
      </c>
      <c r="F900" t="s">
        <v>40</v>
      </c>
      <c r="G900" t="s">
        <v>25</v>
      </c>
      <c r="H900" t="s">
        <v>75</v>
      </c>
      <c r="I900" t="s">
        <v>35</v>
      </c>
      <c r="J900" t="s">
        <v>43</v>
      </c>
      <c r="K900" t="s">
        <v>52</v>
      </c>
      <c r="L900" t="s">
        <v>93</v>
      </c>
      <c r="M900">
        <v>34</v>
      </c>
      <c r="N900">
        <v>4</v>
      </c>
      <c r="O900">
        <v>1</v>
      </c>
      <c r="P900">
        <v>7</v>
      </c>
      <c r="Q900" t="s">
        <v>31</v>
      </c>
      <c r="R900">
        <v>30</v>
      </c>
      <c r="S900">
        <v>8</v>
      </c>
      <c r="T900" t="s">
        <v>31</v>
      </c>
      <c r="U900" t="s">
        <v>63</v>
      </c>
      <c r="V900">
        <v>2026</v>
      </c>
      <c r="W900">
        <v>6</v>
      </c>
      <c r="X900" t="s">
        <v>1421</v>
      </c>
      <c r="Y900" s="6">
        <v>46174</v>
      </c>
      <c r="Z900" t="s">
        <v>1413</v>
      </c>
      <c r="AA900" t="s">
        <v>63</v>
      </c>
      <c r="AB900" t="s">
        <v>63</v>
      </c>
      <c r="AC900" t="s">
        <v>23</v>
      </c>
      <c r="AD900">
        <v>1</v>
      </c>
      <c r="AE900">
        <v>0</v>
      </c>
      <c r="AF900">
        <v>1</v>
      </c>
      <c r="AG900">
        <v>1</v>
      </c>
      <c r="AH900">
        <v>0</v>
      </c>
      <c r="AI900">
        <v>0</v>
      </c>
      <c r="AJ900">
        <v>1</v>
      </c>
    </row>
    <row r="901" spans="1:36">
      <c r="A901" t="s">
        <v>1066</v>
      </c>
      <c r="B901">
        <v>74.87</v>
      </c>
      <c r="C901" s="7">
        <v>46087.186805555553</v>
      </c>
      <c r="D901" s="7">
        <v>46090.306208842594</v>
      </c>
      <c r="E901" t="s">
        <v>23</v>
      </c>
      <c r="F901" t="s">
        <v>33</v>
      </c>
      <c r="G901" t="s">
        <v>51</v>
      </c>
      <c r="H901" t="s">
        <v>54</v>
      </c>
      <c r="I901" t="s">
        <v>42</v>
      </c>
      <c r="J901" t="s">
        <v>36</v>
      </c>
      <c r="K901" t="s">
        <v>37</v>
      </c>
      <c r="L901" t="s">
        <v>101</v>
      </c>
      <c r="M901">
        <v>86</v>
      </c>
      <c r="N901">
        <v>4</v>
      </c>
      <c r="O901">
        <v>0</v>
      </c>
      <c r="P901">
        <v>6</v>
      </c>
      <c r="Q901" t="s">
        <v>31</v>
      </c>
      <c r="R901">
        <v>240</v>
      </c>
      <c r="S901">
        <v>48</v>
      </c>
      <c r="T901" t="s">
        <v>63</v>
      </c>
      <c r="U901" t="s">
        <v>31</v>
      </c>
      <c r="V901">
        <v>2026</v>
      </c>
      <c r="W901">
        <v>3</v>
      </c>
      <c r="X901" t="s">
        <v>1423</v>
      </c>
      <c r="Y901" s="6">
        <v>46082</v>
      </c>
      <c r="Z901" t="s">
        <v>1413</v>
      </c>
      <c r="AA901" t="s">
        <v>31</v>
      </c>
      <c r="AB901" t="s">
        <v>63</v>
      </c>
      <c r="AC901" t="s">
        <v>23</v>
      </c>
      <c r="AD901">
        <v>1</v>
      </c>
      <c r="AE901">
        <v>0</v>
      </c>
      <c r="AF901">
        <v>1</v>
      </c>
      <c r="AG901">
        <v>0</v>
      </c>
      <c r="AH901">
        <v>0</v>
      </c>
      <c r="AI901">
        <v>1</v>
      </c>
      <c r="AJ901">
        <v>0</v>
      </c>
    </row>
    <row r="902" spans="1:36">
      <c r="A902" t="s">
        <v>1068</v>
      </c>
      <c r="B902">
        <v>16.34</v>
      </c>
      <c r="C902" s="7">
        <v>46091.072916666664</v>
      </c>
      <c r="D902" s="7">
        <v>46091.753802164349</v>
      </c>
      <c r="E902" t="s">
        <v>23</v>
      </c>
      <c r="F902" t="s">
        <v>50</v>
      </c>
      <c r="G902" t="s">
        <v>51</v>
      </c>
      <c r="H902" t="s">
        <v>34</v>
      </c>
      <c r="I902" t="s">
        <v>35</v>
      </c>
      <c r="J902" t="s">
        <v>28</v>
      </c>
      <c r="K902" t="s">
        <v>52</v>
      </c>
      <c r="L902" t="s">
        <v>93</v>
      </c>
      <c r="M902">
        <v>168</v>
      </c>
      <c r="N902">
        <v>4</v>
      </c>
      <c r="O902">
        <v>0</v>
      </c>
      <c r="P902">
        <v>5</v>
      </c>
      <c r="Q902" t="s">
        <v>31</v>
      </c>
      <c r="R902">
        <v>120</v>
      </c>
      <c r="S902">
        <v>24</v>
      </c>
      <c r="T902" t="s">
        <v>31</v>
      </c>
      <c r="U902" t="s">
        <v>63</v>
      </c>
      <c r="V902">
        <v>2026</v>
      </c>
      <c r="W902">
        <v>3</v>
      </c>
      <c r="X902" t="s">
        <v>1423</v>
      </c>
      <c r="Y902" s="6">
        <v>46082</v>
      </c>
      <c r="Z902" t="s">
        <v>1413</v>
      </c>
      <c r="AA902" t="s">
        <v>31</v>
      </c>
      <c r="AB902" t="s">
        <v>63</v>
      </c>
      <c r="AC902" t="s">
        <v>23</v>
      </c>
      <c r="AD902">
        <v>1</v>
      </c>
      <c r="AE902">
        <v>0</v>
      </c>
      <c r="AF902">
        <v>1</v>
      </c>
      <c r="AG902">
        <v>0</v>
      </c>
      <c r="AH902">
        <v>0</v>
      </c>
      <c r="AI902">
        <v>0</v>
      </c>
      <c r="AJ902">
        <v>1</v>
      </c>
    </row>
    <row r="903" spans="1:36">
      <c r="A903" t="s">
        <v>1069</v>
      </c>
      <c r="B903">
        <v>31.13</v>
      </c>
      <c r="C903" s="7">
        <v>46037.224305555559</v>
      </c>
      <c r="D903" s="7">
        <v>46038.521495046298</v>
      </c>
      <c r="E903" t="s">
        <v>23</v>
      </c>
      <c r="F903" t="s">
        <v>50</v>
      </c>
      <c r="G903" t="s">
        <v>25</v>
      </c>
      <c r="H903" t="s">
        <v>34</v>
      </c>
      <c r="I903" t="s">
        <v>42</v>
      </c>
      <c r="J903" t="s">
        <v>36</v>
      </c>
      <c r="K903" t="s">
        <v>37</v>
      </c>
      <c r="L903" t="s">
        <v>71</v>
      </c>
      <c r="M903">
        <v>86</v>
      </c>
      <c r="N903">
        <v>4</v>
      </c>
      <c r="O903">
        <v>0</v>
      </c>
      <c r="P903">
        <v>4</v>
      </c>
      <c r="Q903" t="s">
        <v>31</v>
      </c>
      <c r="R903">
        <v>120</v>
      </c>
      <c r="S903">
        <v>24</v>
      </c>
      <c r="T903" t="s">
        <v>63</v>
      </c>
      <c r="U903" t="s">
        <v>31</v>
      </c>
      <c r="V903">
        <v>2026</v>
      </c>
      <c r="W903">
        <v>1</v>
      </c>
      <c r="X903" t="s">
        <v>1414</v>
      </c>
      <c r="Y903" s="6">
        <v>46023</v>
      </c>
      <c r="Z903" t="s">
        <v>1413</v>
      </c>
      <c r="AA903" t="s">
        <v>31</v>
      </c>
      <c r="AB903" t="s">
        <v>63</v>
      </c>
      <c r="AC903" t="s">
        <v>23</v>
      </c>
      <c r="AD903">
        <v>1</v>
      </c>
      <c r="AE903">
        <v>0</v>
      </c>
      <c r="AF903">
        <v>1</v>
      </c>
      <c r="AG903">
        <v>0</v>
      </c>
      <c r="AH903">
        <v>0</v>
      </c>
      <c r="AI903">
        <v>1</v>
      </c>
      <c r="AJ903">
        <v>0</v>
      </c>
    </row>
    <row r="904" spans="1:36">
      <c r="A904" t="s">
        <v>1070</v>
      </c>
      <c r="B904">
        <v>32.770000000000003</v>
      </c>
      <c r="C904" s="7">
        <v>46061.42083333333</v>
      </c>
      <c r="D904" s="7">
        <v>46062.786244745374</v>
      </c>
      <c r="E904" t="s">
        <v>23</v>
      </c>
      <c r="F904" t="s">
        <v>50</v>
      </c>
      <c r="G904" t="s">
        <v>51</v>
      </c>
      <c r="H904" t="s">
        <v>26</v>
      </c>
      <c r="I904" t="s">
        <v>42</v>
      </c>
      <c r="J904" t="s">
        <v>48</v>
      </c>
      <c r="K904" t="s">
        <v>76</v>
      </c>
      <c r="L904" t="s">
        <v>85</v>
      </c>
      <c r="M904">
        <v>103</v>
      </c>
      <c r="N904">
        <v>4</v>
      </c>
      <c r="O904">
        <v>0</v>
      </c>
      <c r="P904">
        <v>4</v>
      </c>
      <c r="Q904" t="s">
        <v>31</v>
      </c>
      <c r="R904">
        <v>120</v>
      </c>
      <c r="S904">
        <v>24</v>
      </c>
      <c r="T904" t="s">
        <v>63</v>
      </c>
      <c r="U904" t="s">
        <v>31</v>
      </c>
      <c r="V904">
        <v>2026</v>
      </c>
      <c r="W904">
        <v>2</v>
      </c>
      <c r="X904" t="s">
        <v>1419</v>
      </c>
      <c r="Y904" s="6">
        <v>46054</v>
      </c>
      <c r="Z904" t="s">
        <v>1413</v>
      </c>
      <c r="AA904" t="s">
        <v>31</v>
      </c>
      <c r="AB904" t="s">
        <v>63</v>
      </c>
      <c r="AC904" t="s">
        <v>23</v>
      </c>
      <c r="AD904">
        <v>1</v>
      </c>
      <c r="AE904">
        <v>0</v>
      </c>
      <c r="AF904">
        <v>1</v>
      </c>
      <c r="AG904">
        <v>0</v>
      </c>
      <c r="AH904">
        <v>0</v>
      </c>
      <c r="AI904">
        <v>1</v>
      </c>
      <c r="AJ904">
        <v>0</v>
      </c>
    </row>
    <row r="905" spans="1:36">
      <c r="A905" t="s">
        <v>1071</v>
      </c>
      <c r="B905">
        <v>39.29</v>
      </c>
      <c r="C905" s="7">
        <v>46206.696527777778</v>
      </c>
      <c r="D905" s="7">
        <v>46208.333796030092</v>
      </c>
      <c r="E905" t="s">
        <v>23</v>
      </c>
      <c r="F905" t="s">
        <v>33</v>
      </c>
      <c r="G905" t="s">
        <v>51</v>
      </c>
      <c r="H905" t="s">
        <v>26</v>
      </c>
      <c r="I905" t="s">
        <v>35</v>
      </c>
      <c r="J905" t="s">
        <v>43</v>
      </c>
      <c r="K905" t="s">
        <v>67</v>
      </c>
      <c r="L905" t="s">
        <v>85</v>
      </c>
      <c r="M905">
        <v>143</v>
      </c>
      <c r="N905">
        <v>3</v>
      </c>
      <c r="O905">
        <v>0</v>
      </c>
      <c r="P905">
        <v>4</v>
      </c>
      <c r="Q905" t="s">
        <v>31</v>
      </c>
      <c r="R905">
        <v>240</v>
      </c>
      <c r="S905">
        <v>48</v>
      </c>
      <c r="T905" t="s">
        <v>63</v>
      </c>
      <c r="U905" t="s">
        <v>63</v>
      </c>
      <c r="V905">
        <v>2026</v>
      </c>
      <c r="W905">
        <v>7</v>
      </c>
      <c r="X905" t="s">
        <v>1422</v>
      </c>
      <c r="Y905" s="6">
        <v>46204</v>
      </c>
      <c r="Z905" t="s">
        <v>1418</v>
      </c>
      <c r="AA905" t="s">
        <v>31</v>
      </c>
      <c r="AB905" t="s">
        <v>63</v>
      </c>
      <c r="AC905" t="s">
        <v>23</v>
      </c>
      <c r="AD905">
        <v>1</v>
      </c>
      <c r="AE905">
        <v>0</v>
      </c>
      <c r="AF905">
        <v>1</v>
      </c>
      <c r="AG905">
        <v>0</v>
      </c>
      <c r="AH905">
        <v>0</v>
      </c>
      <c r="AI905">
        <v>1</v>
      </c>
      <c r="AJ905">
        <v>1</v>
      </c>
    </row>
    <row r="906" spans="1:36">
      <c r="A906" t="s">
        <v>1072</v>
      </c>
      <c r="B906">
        <v>34.049999999999997</v>
      </c>
      <c r="C906" s="7">
        <v>46238.231249999997</v>
      </c>
      <c r="D906" s="7">
        <v>46239.650035937499</v>
      </c>
      <c r="E906" t="s">
        <v>23</v>
      </c>
      <c r="F906" t="s">
        <v>33</v>
      </c>
      <c r="G906" t="s">
        <v>51</v>
      </c>
      <c r="H906" t="s">
        <v>26</v>
      </c>
      <c r="I906" t="s">
        <v>35</v>
      </c>
      <c r="J906" t="s">
        <v>43</v>
      </c>
      <c r="K906" t="s">
        <v>76</v>
      </c>
      <c r="L906" t="s">
        <v>101</v>
      </c>
      <c r="M906">
        <v>57</v>
      </c>
      <c r="N906">
        <v>4</v>
      </c>
      <c r="O906">
        <v>0</v>
      </c>
      <c r="P906">
        <v>6</v>
      </c>
      <c r="Q906" t="s">
        <v>31</v>
      </c>
      <c r="R906">
        <v>240</v>
      </c>
      <c r="S906">
        <v>48</v>
      </c>
      <c r="T906" t="s">
        <v>63</v>
      </c>
      <c r="U906" t="s">
        <v>63</v>
      </c>
      <c r="V906">
        <v>2026</v>
      </c>
      <c r="W906">
        <v>8</v>
      </c>
      <c r="X906" t="s">
        <v>1417</v>
      </c>
      <c r="Y906" s="6">
        <v>46235</v>
      </c>
      <c r="Z906" t="s">
        <v>1413</v>
      </c>
      <c r="AA906" t="s">
        <v>31</v>
      </c>
      <c r="AB906" t="s">
        <v>63</v>
      </c>
      <c r="AC906" t="s">
        <v>23</v>
      </c>
      <c r="AD906">
        <v>1</v>
      </c>
      <c r="AE906">
        <v>0</v>
      </c>
      <c r="AF906">
        <v>1</v>
      </c>
      <c r="AG906">
        <v>0</v>
      </c>
      <c r="AH906">
        <v>0</v>
      </c>
      <c r="AI906">
        <v>1</v>
      </c>
      <c r="AJ906">
        <v>1</v>
      </c>
    </row>
    <row r="907" spans="1:36">
      <c r="A907" t="s">
        <v>1073</v>
      </c>
      <c r="B907">
        <v>40.08</v>
      </c>
      <c r="C907" s="7">
        <v>46253.132638888892</v>
      </c>
      <c r="D907" s="7">
        <v>46254.802617638888</v>
      </c>
      <c r="E907" t="s">
        <v>23</v>
      </c>
      <c r="F907" t="s">
        <v>40</v>
      </c>
      <c r="G907" t="s">
        <v>25</v>
      </c>
      <c r="H907" t="s">
        <v>66</v>
      </c>
      <c r="I907" t="s">
        <v>27</v>
      </c>
      <c r="J907" t="s">
        <v>36</v>
      </c>
      <c r="K907" t="s">
        <v>58</v>
      </c>
      <c r="L907" t="s">
        <v>62</v>
      </c>
      <c r="M907">
        <v>44</v>
      </c>
      <c r="N907">
        <v>4</v>
      </c>
      <c r="O907">
        <v>0</v>
      </c>
      <c r="P907">
        <v>5</v>
      </c>
      <c r="Q907" t="s">
        <v>31</v>
      </c>
      <c r="R907">
        <v>30</v>
      </c>
      <c r="S907">
        <v>8</v>
      </c>
      <c r="T907" t="s">
        <v>31</v>
      </c>
      <c r="U907" t="s">
        <v>31</v>
      </c>
      <c r="V907">
        <v>2026</v>
      </c>
      <c r="W907">
        <v>8</v>
      </c>
      <c r="X907" t="s">
        <v>1417</v>
      </c>
      <c r="Y907" s="6">
        <v>46235</v>
      </c>
      <c r="Z907" t="s">
        <v>1413</v>
      </c>
      <c r="AA907" t="s">
        <v>31</v>
      </c>
      <c r="AB907" t="s">
        <v>63</v>
      </c>
      <c r="AC907" t="s">
        <v>23</v>
      </c>
      <c r="AD907">
        <v>1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0</v>
      </c>
    </row>
    <row r="908" spans="1:36">
      <c r="A908" t="s">
        <v>1074</v>
      </c>
      <c r="B908">
        <v>11.98</v>
      </c>
      <c r="C908" s="7">
        <v>46037.931250000001</v>
      </c>
      <c r="D908" s="7">
        <v>46038.430496944442</v>
      </c>
      <c r="E908" t="s">
        <v>23</v>
      </c>
      <c r="F908" t="s">
        <v>50</v>
      </c>
      <c r="G908" t="s">
        <v>51</v>
      </c>
      <c r="H908" t="s">
        <v>54</v>
      </c>
      <c r="I908" t="s">
        <v>42</v>
      </c>
      <c r="J908" t="s">
        <v>28</v>
      </c>
      <c r="K908" t="s">
        <v>52</v>
      </c>
      <c r="L908" t="s">
        <v>71</v>
      </c>
      <c r="M908">
        <v>124</v>
      </c>
      <c r="N908">
        <v>4</v>
      </c>
      <c r="O908">
        <v>0</v>
      </c>
      <c r="P908">
        <v>5</v>
      </c>
      <c r="Q908" t="s">
        <v>31</v>
      </c>
      <c r="R908">
        <v>120</v>
      </c>
      <c r="S908">
        <v>24</v>
      </c>
      <c r="T908" t="s">
        <v>31</v>
      </c>
      <c r="U908" t="s">
        <v>63</v>
      </c>
      <c r="V908">
        <v>2026</v>
      </c>
      <c r="W908">
        <v>1</v>
      </c>
      <c r="X908" t="s">
        <v>1414</v>
      </c>
      <c r="Y908" s="6">
        <v>46023</v>
      </c>
      <c r="Z908" t="s">
        <v>1413</v>
      </c>
      <c r="AA908" t="s">
        <v>31</v>
      </c>
      <c r="AB908" t="s">
        <v>63</v>
      </c>
      <c r="AC908" t="s">
        <v>23</v>
      </c>
      <c r="AD908">
        <v>1</v>
      </c>
      <c r="AE908">
        <v>0</v>
      </c>
      <c r="AF908">
        <v>1</v>
      </c>
      <c r="AG908">
        <v>0</v>
      </c>
      <c r="AH908">
        <v>0</v>
      </c>
      <c r="AI908">
        <v>0</v>
      </c>
      <c r="AJ908">
        <v>1</v>
      </c>
    </row>
    <row r="909" spans="1:36">
      <c r="A909" t="s">
        <v>1075</v>
      </c>
      <c r="B909">
        <v>9.3000000000000007</v>
      </c>
      <c r="C909" s="7">
        <v>46045.007638888892</v>
      </c>
      <c r="D909" s="7">
        <v>46045.395016840281</v>
      </c>
      <c r="E909" t="s">
        <v>23</v>
      </c>
      <c r="F909" t="s">
        <v>50</v>
      </c>
      <c r="G909" t="s">
        <v>25</v>
      </c>
      <c r="H909" t="s">
        <v>26</v>
      </c>
      <c r="I909" t="s">
        <v>35</v>
      </c>
      <c r="J909" t="s">
        <v>36</v>
      </c>
      <c r="K909" t="s">
        <v>52</v>
      </c>
      <c r="L909" t="s">
        <v>85</v>
      </c>
      <c r="M909">
        <v>81</v>
      </c>
      <c r="N909">
        <v>4</v>
      </c>
      <c r="O909">
        <v>0</v>
      </c>
      <c r="P909">
        <v>3</v>
      </c>
      <c r="Q909" t="s">
        <v>31</v>
      </c>
      <c r="R909">
        <v>120</v>
      </c>
      <c r="S909">
        <v>24</v>
      </c>
      <c r="T909" t="s">
        <v>63</v>
      </c>
      <c r="U909" t="s">
        <v>63</v>
      </c>
      <c r="V909">
        <v>2026</v>
      </c>
      <c r="W909">
        <v>1</v>
      </c>
      <c r="X909" t="s">
        <v>1414</v>
      </c>
      <c r="Y909" s="6">
        <v>46023</v>
      </c>
      <c r="Z909" t="s">
        <v>1413</v>
      </c>
      <c r="AA909" t="s">
        <v>31</v>
      </c>
      <c r="AB909" t="s">
        <v>63</v>
      </c>
      <c r="AC909" t="s">
        <v>23</v>
      </c>
      <c r="AD909">
        <v>1</v>
      </c>
      <c r="AE909">
        <v>0</v>
      </c>
      <c r="AF909">
        <v>1</v>
      </c>
      <c r="AG909">
        <v>0</v>
      </c>
      <c r="AH909">
        <v>0</v>
      </c>
      <c r="AI909">
        <v>1</v>
      </c>
      <c r="AJ909">
        <v>1</v>
      </c>
    </row>
    <row r="910" spans="1:36">
      <c r="A910" t="s">
        <v>1076</v>
      </c>
      <c r="B910">
        <v>5.75</v>
      </c>
      <c r="C910" s="7">
        <v>46177.838194444441</v>
      </c>
      <c r="D910" s="7">
        <v>46178.077867546293</v>
      </c>
      <c r="E910" t="s">
        <v>23</v>
      </c>
      <c r="F910" t="s">
        <v>40</v>
      </c>
      <c r="G910" t="s">
        <v>25</v>
      </c>
      <c r="H910" t="s">
        <v>26</v>
      </c>
      <c r="I910" t="s">
        <v>42</v>
      </c>
      <c r="J910" t="s">
        <v>36</v>
      </c>
      <c r="K910" t="s">
        <v>52</v>
      </c>
      <c r="L910" t="s">
        <v>55</v>
      </c>
      <c r="M910">
        <v>35</v>
      </c>
      <c r="N910">
        <v>4</v>
      </c>
      <c r="O910">
        <v>0</v>
      </c>
      <c r="P910">
        <v>6</v>
      </c>
      <c r="Q910" t="s">
        <v>31</v>
      </c>
      <c r="R910">
        <v>30</v>
      </c>
      <c r="S910">
        <v>8</v>
      </c>
      <c r="T910" t="s">
        <v>31</v>
      </c>
      <c r="U910" t="s">
        <v>63</v>
      </c>
      <c r="V910">
        <v>2026</v>
      </c>
      <c r="W910">
        <v>6</v>
      </c>
      <c r="X910" t="s">
        <v>1421</v>
      </c>
      <c r="Y910" s="6">
        <v>46174</v>
      </c>
      <c r="Z910" t="s">
        <v>1413</v>
      </c>
      <c r="AA910" t="s">
        <v>31</v>
      </c>
      <c r="AB910" t="s">
        <v>63</v>
      </c>
      <c r="AC910" t="s">
        <v>23</v>
      </c>
      <c r="AD910">
        <v>1</v>
      </c>
      <c r="AE910">
        <v>0</v>
      </c>
      <c r="AF910">
        <v>1</v>
      </c>
      <c r="AG910">
        <v>0</v>
      </c>
      <c r="AH910">
        <v>0</v>
      </c>
      <c r="AI910">
        <v>0</v>
      </c>
      <c r="AJ910">
        <v>1</v>
      </c>
    </row>
    <row r="911" spans="1:36">
      <c r="A911" t="s">
        <v>1077</v>
      </c>
      <c r="B911">
        <v>9.35</v>
      </c>
      <c r="C911" s="7">
        <v>46040.351388888892</v>
      </c>
      <c r="D911" s="7">
        <v>46040.740998310182</v>
      </c>
      <c r="E911" t="s">
        <v>23</v>
      </c>
      <c r="F911" t="s">
        <v>24</v>
      </c>
      <c r="G911" t="s">
        <v>51</v>
      </c>
      <c r="H911" t="s">
        <v>26</v>
      </c>
      <c r="I911" t="s">
        <v>27</v>
      </c>
      <c r="J911" t="s">
        <v>28</v>
      </c>
      <c r="K911" t="s">
        <v>58</v>
      </c>
      <c r="L911" t="s">
        <v>55</v>
      </c>
      <c r="M911">
        <v>3</v>
      </c>
      <c r="N911">
        <v>5</v>
      </c>
      <c r="O911">
        <v>0</v>
      </c>
      <c r="P911">
        <v>5</v>
      </c>
      <c r="Q911" t="s">
        <v>31</v>
      </c>
      <c r="R911">
        <v>15</v>
      </c>
      <c r="S911">
        <v>4</v>
      </c>
      <c r="T911" t="s">
        <v>63</v>
      </c>
      <c r="U911" t="s">
        <v>31</v>
      </c>
      <c r="V911">
        <v>2026</v>
      </c>
      <c r="W911">
        <v>1</v>
      </c>
      <c r="X911" t="s">
        <v>1414</v>
      </c>
      <c r="Y911" s="6">
        <v>46023</v>
      </c>
      <c r="Z911" t="s">
        <v>1413</v>
      </c>
      <c r="AA911" t="s">
        <v>31</v>
      </c>
      <c r="AB911" t="s">
        <v>63</v>
      </c>
      <c r="AC911" t="s">
        <v>23</v>
      </c>
      <c r="AD911">
        <v>1</v>
      </c>
      <c r="AE911">
        <v>0</v>
      </c>
      <c r="AF911">
        <v>1</v>
      </c>
      <c r="AG911">
        <v>0</v>
      </c>
      <c r="AH911">
        <v>0</v>
      </c>
      <c r="AI911">
        <v>1</v>
      </c>
      <c r="AJ911">
        <v>0</v>
      </c>
    </row>
    <row r="912" spans="1:36">
      <c r="A912" t="s">
        <v>1078</v>
      </c>
      <c r="B912">
        <v>8.6300000000000008</v>
      </c>
      <c r="C912" s="7">
        <v>46069.619444444441</v>
      </c>
      <c r="D912" s="7">
        <v>46069.978834085647</v>
      </c>
      <c r="E912" t="s">
        <v>23</v>
      </c>
      <c r="F912" t="s">
        <v>50</v>
      </c>
      <c r="G912" t="s">
        <v>41</v>
      </c>
      <c r="H912" t="s">
        <v>26</v>
      </c>
      <c r="I912" t="s">
        <v>42</v>
      </c>
      <c r="J912" t="s">
        <v>43</v>
      </c>
      <c r="K912" t="s">
        <v>52</v>
      </c>
      <c r="L912" t="s">
        <v>71</v>
      </c>
      <c r="M912">
        <v>160</v>
      </c>
      <c r="N912">
        <v>4</v>
      </c>
      <c r="O912">
        <v>0</v>
      </c>
      <c r="P912">
        <v>6</v>
      </c>
      <c r="Q912" t="s">
        <v>31</v>
      </c>
      <c r="R912">
        <v>120</v>
      </c>
      <c r="S912">
        <v>24</v>
      </c>
      <c r="T912" t="s">
        <v>31</v>
      </c>
      <c r="U912" t="s">
        <v>63</v>
      </c>
      <c r="V912">
        <v>2026</v>
      </c>
      <c r="W912">
        <v>2</v>
      </c>
      <c r="X912" t="s">
        <v>1419</v>
      </c>
      <c r="Y912" s="6">
        <v>46054</v>
      </c>
      <c r="Z912" t="s">
        <v>1413</v>
      </c>
      <c r="AA912" t="s">
        <v>31</v>
      </c>
      <c r="AB912" t="s">
        <v>63</v>
      </c>
      <c r="AC912" t="s">
        <v>23</v>
      </c>
      <c r="AD912">
        <v>1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1</v>
      </c>
    </row>
    <row r="913" spans="1:36">
      <c r="A913" t="s">
        <v>1079</v>
      </c>
      <c r="B913">
        <v>81.89</v>
      </c>
      <c r="C913" s="7">
        <v>46190.080555555556</v>
      </c>
      <c r="D913" s="7">
        <v>46193.492799085645</v>
      </c>
      <c r="E913" t="s">
        <v>23</v>
      </c>
      <c r="F913" t="s">
        <v>33</v>
      </c>
      <c r="G913" t="s">
        <v>25</v>
      </c>
      <c r="H913" t="s">
        <v>54</v>
      </c>
      <c r="I913" t="s">
        <v>42</v>
      </c>
      <c r="J913" t="s">
        <v>48</v>
      </c>
      <c r="K913" t="s">
        <v>37</v>
      </c>
      <c r="L913" t="s">
        <v>85</v>
      </c>
      <c r="M913">
        <v>227</v>
      </c>
      <c r="N913">
        <v>3</v>
      </c>
      <c r="O913">
        <v>0</v>
      </c>
      <c r="P913">
        <v>2</v>
      </c>
      <c r="Q913" t="s">
        <v>31</v>
      </c>
      <c r="R913">
        <v>240</v>
      </c>
      <c r="S913">
        <v>48</v>
      </c>
      <c r="T913" t="s">
        <v>63</v>
      </c>
      <c r="U913" t="s">
        <v>31</v>
      </c>
      <c r="V913">
        <v>2026</v>
      </c>
      <c r="W913">
        <v>6</v>
      </c>
      <c r="X913" t="s">
        <v>1421</v>
      </c>
      <c r="Y913" s="6">
        <v>46174</v>
      </c>
      <c r="Z913" t="s">
        <v>1418</v>
      </c>
      <c r="AA913" t="s">
        <v>31</v>
      </c>
      <c r="AB913" t="s">
        <v>63</v>
      </c>
      <c r="AC913" t="s">
        <v>23</v>
      </c>
      <c r="AD913">
        <v>1</v>
      </c>
      <c r="AE913">
        <v>0</v>
      </c>
      <c r="AF913">
        <v>1</v>
      </c>
      <c r="AG913">
        <v>0</v>
      </c>
      <c r="AH913">
        <v>0</v>
      </c>
      <c r="AI913">
        <v>1</v>
      </c>
      <c r="AJ913">
        <v>0</v>
      </c>
    </row>
    <row r="914" spans="1:36">
      <c r="A914" t="s">
        <v>1080</v>
      </c>
      <c r="B914">
        <v>10.220000000000001</v>
      </c>
      <c r="C914" s="7">
        <v>46222.225694444445</v>
      </c>
      <c r="D914" s="7">
        <v>46222.651665833335</v>
      </c>
      <c r="E914" t="s">
        <v>23</v>
      </c>
      <c r="F914" t="s">
        <v>40</v>
      </c>
      <c r="G914" t="s">
        <v>41</v>
      </c>
      <c r="H914" t="s">
        <v>26</v>
      </c>
      <c r="I914" t="s">
        <v>27</v>
      </c>
      <c r="J914" t="s">
        <v>36</v>
      </c>
      <c r="K914" t="s">
        <v>37</v>
      </c>
      <c r="L914" t="s">
        <v>101</v>
      </c>
      <c r="M914">
        <v>16</v>
      </c>
      <c r="N914">
        <v>5</v>
      </c>
      <c r="O914">
        <v>0</v>
      </c>
      <c r="P914">
        <v>5</v>
      </c>
      <c r="Q914" t="s">
        <v>31</v>
      </c>
      <c r="R914">
        <v>30</v>
      </c>
      <c r="S914">
        <v>8</v>
      </c>
      <c r="T914" t="s">
        <v>63</v>
      </c>
      <c r="U914" t="s">
        <v>31</v>
      </c>
      <c r="V914">
        <v>2026</v>
      </c>
      <c r="W914">
        <v>7</v>
      </c>
      <c r="X914" t="s">
        <v>1422</v>
      </c>
      <c r="Y914" s="6">
        <v>46204</v>
      </c>
      <c r="Z914" t="s">
        <v>1413</v>
      </c>
      <c r="AA914" t="s">
        <v>31</v>
      </c>
      <c r="AB914" t="s">
        <v>63</v>
      </c>
      <c r="AC914" t="s">
        <v>23</v>
      </c>
      <c r="AD914">
        <v>1</v>
      </c>
      <c r="AE914">
        <v>0</v>
      </c>
      <c r="AF914">
        <v>1</v>
      </c>
      <c r="AG914">
        <v>0</v>
      </c>
      <c r="AH914">
        <v>0</v>
      </c>
      <c r="AI914">
        <v>1</v>
      </c>
      <c r="AJ914">
        <v>0</v>
      </c>
    </row>
    <row r="915" spans="1:36">
      <c r="A915" t="s">
        <v>1081</v>
      </c>
      <c r="B915">
        <v>63.82</v>
      </c>
      <c r="C915" s="7">
        <v>46241.934027777781</v>
      </c>
      <c r="D915" s="7">
        <v>46244.593269618053</v>
      </c>
      <c r="E915" t="s">
        <v>23</v>
      </c>
      <c r="F915" t="s">
        <v>50</v>
      </c>
      <c r="G915" t="s">
        <v>51</v>
      </c>
      <c r="H915" t="s">
        <v>66</v>
      </c>
      <c r="I915" t="s">
        <v>35</v>
      </c>
      <c r="J915" t="s">
        <v>28</v>
      </c>
      <c r="K915" t="s">
        <v>37</v>
      </c>
      <c r="L915" t="s">
        <v>30</v>
      </c>
      <c r="M915">
        <v>124</v>
      </c>
      <c r="N915">
        <v>3</v>
      </c>
      <c r="O915">
        <v>0</v>
      </c>
      <c r="P915">
        <v>2</v>
      </c>
      <c r="Q915" t="s">
        <v>31</v>
      </c>
      <c r="R915">
        <v>120</v>
      </c>
      <c r="S915">
        <v>24</v>
      </c>
      <c r="T915" t="s">
        <v>31</v>
      </c>
      <c r="U915" t="s">
        <v>31</v>
      </c>
      <c r="V915">
        <v>2026</v>
      </c>
      <c r="W915">
        <v>8</v>
      </c>
      <c r="X915" t="s">
        <v>1417</v>
      </c>
      <c r="Y915" s="6">
        <v>46235</v>
      </c>
      <c r="Z915" t="s">
        <v>1418</v>
      </c>
      <c r="AA915" t="s">
        <v>31</v>
      </c>
      <c r="AB915" t="s">
        <v>63</v>
      </c>
      <c r="AC915" t="s">
        <v>23</v>
      </c>
      <c r="AD915">
        <v>1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</row>
    <row r="916" spans="1:36">
      <c r="A916" t="s">
        <v>1082</v>
      </c>
      <c r="B916">
        <v>21.21</v>
      </c>
      <c r="C916" s="7">
        <v>46093.058333333334</v>
      </c>
      <c r="D916" s="7">
        <v>46093.941879571757</v>
      </c>
      <c r="E916" t="s">
        <v>23</v>
      </c>
      <c r="F916" t="s">
        <v>33</v>
      </c>
      <c r="G916" t="s">
        <v>25</v>
      </c>
      <c r="H916" t="s">
        <v>75</v>
      </c>
      <c r="I916" t="s">
        <v>42</v>
      </c>
      <c r="J916" t="s">
        <v>48</v>
      </c>
      <c r="K916" t="s">
        <v>52</v>
      </c>
      <c r="L916" t="s">
        <v>44</v>
      </c>
      <c r="M916">
        <v>89</v>
      </c>
      <c r="N916">
        <v>4</v>
      </c>
      <c r="O916">
        <v>0</v>
      </c>
      <c r="P916">
        <v>7</v>
      </c>
      <c r="Q916" t="s">
        <v>31</v>
      </c>
      <c r="R916">
        <v>240</v>
      </c>
      <c r="S916">
        <v>48</v>
      </c>
      <c r="T916" t="s">
        <v>63</v>
      </c>
      <c r="U916" t="s">
        <v>63</v>
      </c>
      <c r="V916">
        <v>2026</v>
      </c>
      <c r="W916">
        <v>3</v>
      </c>
      <c r="X916" t="s">
        <v>1423</v>
      </c>
      <c r="Y916" s="6">
        <v>46082</v>
      </c>
      <c r="Z916" t="s">
        <v>1413</v>
      </c>
      <c r="AA916" t="s">
        <v>31</v>
      </c>
      <c r="AB916" t="s">
        <v>63</v>
      </c>
      <c r="AC916" t="s">
        <v>23</v>
      </c>
      <c r="AD916">
        <v>1</v>
      </c>
      <c r="AE916">
        <v>0</v>
      </c>
      <c r="AF916">
        <v>1</v>
      </c>
      <c r="AG916">
        <v>0</v>
      </c>
      <c r="AH916">
        <v>0</v>
      </c>
      <c r="AI916">
        <v>1</v>
      </c>
      <c r="AJ916">
        <v>1</v>
      </c>
    </row>
    <row r="917" spans="1:36">
      <c r="A917" t="s">
        <v>1083</v>
      </c>
      <c r="B917">
        <v>3.52</v>
      </c>
      <c r="C917" s="7">
        <v>46064.176388888889</v>
      </c>
      <c r="D917" s="7">
        <v>46064.322997673611</v>
      </c>
      <c r="E917" t="s">
        <v>23</v>
      </c>
      <c r="F917" t="s">
        <v>40</v>
      </c>
      <c r="G917" t="s">
        <v>51</v>
      </c>
      <c r="H917" t="s">
        <v>54</v>
      </c>
      <c r="I917" t="s">
        <v>35</v>
      </c>
      <c r="J917" t="s">
        <v>43</v>
      </c>
      <c r="K917" t="s">
        <v>29</v>
      </c>
      <c r="L917" t="s">
        <v>55</v>
      </c>
      <c r="M917">
        <v>28</v>
      </c>
      <c r="N917">
        <v>4</v>
      </c>
      <c r="O917">
        <v>0</v>
      </c>
      <c r="P917">
        <v>2</v>
      </c>
      <c r="Q917" t="s">
        <v>31</v>
      </c>
      <c r="R917">
        <v>30</v>
      </c>
      <c r="S917">
        <v>8</v>
      </c>
      <c r="T917" t="s">
        <v>63</v>
      </c>
      <c r="U917" t="s">
        <v>63</v>
      </c>
      <c r="V917">
        <v>2026</v>
      </c>
      <c r="W917">
        <v>2</v>
      </c>
      <c r="X917" t="s">
        <v>1419</v>
      </c>
      <c r="Y917" s="6">
        <v>46054</v>
      </c>
      <c r="Z917" t="s">
        <v>1413</v>
      </c>
      <c r="AA917" t="s">
        <v>31</v>
      </c>
      <c r="AB917" t="s">
        <v>63</v>
      </c>
      <c r="AC917" t="s">
        <v>23</v>
      </c>
      <c r="AD917">
        <v>1</v>
      </c>
      <c r="AE917">
        <v>0</v>
      </c>
      <c r="AF917">
        <v>1</v>
      </c>
      <c r="AG917">
        <v>0</v>
      </c>
      <c r="AH917">
        <v>0</v>
      </c>
      <c r="AI917">
        <v>1</v>
      </c>
      <c r="AJ917">
        <v>1</v>
      </c>
    </row>
    <row r="918" spans="1:36">
      <c r="A918" t="s">
        <v>1084</v>
      </c>
      <c r="B918">
        <v>29.21</v>
      </c>
      <c r="C918" s="7">
        <v>46078.78402777778</v>
      </c>
      <c r="D918" s="7">
        <v>46080.001201747684</v>
      </c>
      <c r="E918" t="s">
        <v>23</v>
      </c>
      <c r="F918" t="s">
        <v>50</v>
      </c>
      <c r="G918" t="s">
        <v>51</v>
      </c>
      <c r="H918" t="s">
        <v>26</v>
      </c>
      <c r="I918" t="s">
        <v>35</v>
      </c>
      <c r="J918" t="s">
        <v>48</v>
      </c>
      <c r="K918" t="s">
        <v>58</v>
      </c>
      <c r="L918" t="s">
        <v>68</v>
      </c>
      <c r="M918">
        <v>99</v>
      </c>
      <c r="N918">
        <v>4</v>
      </c>
      <c r="O918">
        <v>0</v>
      </c>
      <c r="P918">
        <v>2</v>
      </c>
      <c r="Q918" t="s">
        <v>31</v>
      </c>
      <c r="R918">
        <v>120</v>
      </c>
      <c r="S918">
        <v>24</v>
      </c>
      <c r="T918" t="s">
        <v>63</v>
      </c>
      <c r="U918" t="s">
        <v>31</v>
      </c>
      <c r="V918">
        <v>2026</v>
      </c>
      <c r="W918">
        <v>2</v>
      </c>
      <c r="X918" t="s">
        <v>1419</v>
      </c>
      <c r="Y918" s="6">
        <v>46054</v>
      </c>
      <c r="Z918" t="s">
        <v>1413</v>
      </c>
      <c r="AA918" t="s">
        <v>31</v>
      </c>
      <c r="AB918" t="s">
        <v>63</v>
      </c>
      <c r="AC918" t="s">
        <v>23</v>
      </c>
      <c r="AD918">
        <v>1</v>
      </c>
      <c r="AE918">
        <v>0</v>
      </c>
      <c r="AF918">
        <v>1</v>
      </c>
      <c r="AG918">
        <v>0</v>
      </c>
      <c r="AH918">
        <v>0</v>
      </c>
      <c r="AI918">
        <v>1</v>
      </c>
      <c r="AJ918">
        <v>0</v>
      </c>
    </row>
    <row r="919" spans="1:36">
      <c r="A919" t="s">
        <v>1086</v>
      </c>
      <c r="B919">
        <v>38.119999999999997</v>
      </c>
      <c r="C919" s="7">
        <v>46100.01666666667</v>
      </c>
      <c r="D919" s="7">
        <v>46101.605145486108</v>
      </c>
      <c r="E919" t="s">
        <v>23</v>
      </c>
      <c r="F919" t="s">
        <v>33</v>
      </c>
      <c r="G919" t="s">
        <v>41</v>
      </c>
      <c r="H919" t="s">
        <v>26</v>
      </c>
      <c r="I919" t="s">
        <v>35</v>
      </c>
      <c r="J919" t="s">
        <v>43</v>
      </c>
      <c r="K919" t="s">
        <v>52</v>
      </c>
      <c r="L919" t="s">
        <v>71</v>
      </c>
      <c r="M919">
        <v>442</v>
      </c>
      <c r="N919">
        <v>2</v>
      </c>
      <c r="O919">
        <v>2</v>
      </c>
      <c r="P919">
        <v>13</v>
      </c>
      <c r="Q919" t="s">
        <v>31</v>
      </c>
      <c r="R919">
        <v>240</v>
      </c>
      <c r="S919">
        <v>48</v>
      </c>
      <c r="T919" t="s">
        <v>31</v>
      </c>
      <c r="U919" t="s">
        <v>63</v>
      </c>
      <c r="V919">
        <v>2026</v>
      </c>
      <c r="W919">
        <v>3</v>
      </c>
      <c r="X919" t="s">
        <v>1423</v>
      </c>
      <c r="Y919" s="6">
        <v>46082</v>
      </c>
      <c r="Z919" t="s">
        <v>1415</v>
      </c>
      <c r="AA919" t="s">
        <v>63</v>
      </c>
      <c r="AB919" t="s">
        <v>63</v>
      </c>
      <c r="AC919" t="s">
        <v>23</v>
      </c>
      <c r="AD919">
        <v>1</v>
      </c>
      <c r="AE919">
        <v>0</v>
      </c>
      <c r="AF919">
        <v>1</v>
      </c>
      <c r="AG919">
        <v>1</v>
      </c>
      <c r="AH919">
        <v>0</v>
      </c>
      <c r="AI919">
        <v>0</v>
      </c>
      <c r="AJ919">
        <v>1</v>
      </c>
    </row>
    <row r="920" spans="1:36">
      <c r="A920" t="s">
        <v>1087</v>
      </c>
      <c r="B920">
        <v>34.700000000000003</v>
      </c>
      <c r="C920" s="7">
        <v>46031.440972222219</v>
      </c>
      <c r="D920" s="7">
        <v>46032.886628831016</v>
      </c>
      <c r="E920" t="s">
        <v>23</v>
      </c>
      <c r="F920" t="s">
        <v>33</v>
      </c>
      <c r="G920" t="s">
        <v>51</v>
      </c>
      <c r="H920" t="s">
        <v>26</v>
      </c>
      <c r="I920" t="s">
        <v>42</v>
      </c>
      <c r="J920" t="s">
        <v>28</v>
      </c>
      <c r="K920" t="s">
        <v>67</v>
      </c>
      <c r="L920" t="s">
        <v>44</v>
      </c>
      <c r="M920">
        <v>207</v>
      </c>
      <c r="N920">
        <v>4</v>
      </c>
      <c r="O920">
        <v>0</v>
      </c>
      <c r="P920">
        <v>6</v>
      </c>
      <c r="Q920" t="s">
        <v>31</v>
      </c>
      <c r="R920">
        <v>240</v>
      </c>
      <c r="S920">
        <v>48</v>
      </c>
      <c r="T920" t="s">
        <v>63</v>
      </c>
      <c r="U920" t="s">
        <v>63</v>
      </c>
      <c r="V920">
        <v>2026</v>
      </c>
      <c r="W920">
        <v>1</v>
      </c>
      <c r="X920" t="s">
        <v>1414</v>
      </c>
      <c r="Y920" s="6">
        <v>46023</v>
      </c>
      <c r="Z920" t="s">
        <v>1413</v>
      </c>
      <c r="AA920" t="s">
        <v>31</v>
      </c>
      <c r="AB920" t="s">
        <v>63</v>
      </c>
      <c r="AC920" t="s">
        <v>23</v>
      </c>
      <c r="AD920">
        <v>1</v>
      </c>
      <c r="AE920">
        <v>0</v>
      </c>
      <c r="AF920">
        <v>1</v>
      </c>
      <c r="AG920">
        <v>0</v>
      </c>
      <c r="AH920">
        <v>0</v>
      </c>
      <c r="AI920">
        <v>1</v>
      </c>
      <c r="AJ920">
        <v>1</v>
      </c>
    </row>
    <row r="921" spans="1:36">
      <c r="A921" t="s">
        <v>1088</v>
      </c>
      <c r="B921">
        <v>40.98</v>
      </c>
      <c r="C921" s="7">
        <v>46101.084722222222</v>
      </c>
      <c r="D921" s="7">
        <v>46102.792161724537</v>
      </c>
      <c r="E921" t="s">
        <v>23</v>
      </c>
      <c r="F921" t="s">
        <v>33</v>
      </c>
      <c r="G921" t="s">
        <v>51</v>
      </c>
      <c r="H921" t="s">
        <v>26</v>
      </c>
      <c r="I921" t="s">
        <v>42</v>
      </c>
      <c r="J921" t="s">
        <v>28</v>
      </c>
      <c r="K921" t="s">
        <v>52</v>
      </c>
      <c r="L921" t="s">
        <v>68</v>
      </c>
      <c r="M921">
        <v>166</v>
      </c>
      <c r="N921">
        <v>3</v>
      </c>
      <c r="O921">
        <v>1</v>
      </c>
      <c r="P921">
        <v>7</v>
      </c>
      <c r="Q921" t="s">
        <v>31</v>
      </c>
      <c r="R921">
        <v>240</v>
      </c>
      <c r="S921">
        <v>48</v>
      </c>
      <c r="T921" t="s">
        <v>63</v>
      </c>
      <c r="U921" t="s">
        <v>63</v>
      </c>
      <c r="V921">
        <v>2026</v>
      </c>
      <c r="W921">
        <v>3</v>
      </c>
      <c r="X921" t="s">
        <v>1423</v>
      </c>
      <c r="Y921" s="6">
        <v>46082</v>
      </c>
      <c r="Z921" t="s">
        <v>1418</v>
      </c>
      <c r="AA921" t="s">
        <v>63</v>
      </c>
      <c r="AB921" t="s">
        <v>63</v>
      </c>
      <c r="AC921" t="s">
        <v>23</v>
      </c>
      <c r="AD921">
        <v>1</v>
      </c>
      <c r="AE921">
        <v>0</v>
      </c>
      <c r="AF921">
        <v>1</v>
      </c>
      <c r="AG921">
        <v>1</v>
      </c>
      <c r="AH921">
        <v>0</v>
      </c>
      <c r="AI921">
        <v>1</v>
      </c>
      <c r="AJ921">
        <v>1</v>
      </c>
    </row>
    <row r="922" spans="1:36">
      <c r="A922" t="s">
        <v>1089</v>
      </c>
      <c r="B922">
        <v>19.57</v>
      </c>
      <c r="C922" s="7">
        <v>46218.17291666667</v>
      </c>
      <c r="D922" s="7">
        <v>46218.988194444442</v>
      </c>
      <c r="E922" t="s">
        <v>23</v>
      </c>
      <c r="F922" t="s">
        <v>50</v>
      </c>
      <c r="G922" t="s">
        <v>25</v>
      </c>
      <c r="H922" t="s">
        <v>26</v>
      </c>
      <c r="I922" t="s">
        <v>35</v>
      </c>
      <c r="J922" t="s">
        <v>48</v>
      </c>
      <c r="K922" t="s">
        <v>37</v>
      </c>
      <c r="L922" t="s">
        <v>71</v>
      </c>
      <c r="M922">
        <v>101</v>
      </c>
      <c r="N922">
        <v>4</v>
      </c>
      <c r="O922">
        <v>1</v>
      </c>
      <c r="P922">
        <v>11</v>
      </c>
      <c r="Q922" t="s">
        <v>31</v>
      </c>
      <c r="R922">
        <v>120</v>
      </c>
      <c r="S922">
        <v>24</v>
      </c>
      <c r="T922" t="s">
        <v>63</v>
      </c>
      <c r="U922" t="s">
        <v>63</v>
      </c>
      <c r="V922">
        <v>2026</v>
      </c>
      <c r="W922">
        <v>7</v>
      </c>
      <c r="X922" t="s">
        <v>1422</v>
      </c>
      <c r="Y922" s="6">
        <v>46204</v>
      </c>
      <c r="Z922" t="s">
        <v>1413</v>
      </c>
      <c r="AA922" t="s">
        <v>63</v>
      </c>
      <c r="AB922" t="s">
        <v>63</v>
      </c>
      <c r="AC922" t="s">
        <v>23</v>
      </c>
      <c r="AD922">
        <v>1</v>
      </c>
      <c r="AE922">
        <v>0</v>
      </c>
      <c r="AF922">
        <v>1</v>
      </c>
      <c r="AG922">
        <v>1</v>
      </c>
      <c r="AH922">
        <v>0</v>
      </c>
      <c r="AI922">
        <v>1</v>
      </c>
      <c r="AJ922">
        <v>1</v>
      </c>
    </row>
    <row r="923" spans="1:36">
      <c r="A923" t="s">
        <v>1091</v>
      </c>
      <c r="B923">
        <v>35.9</v>
      </c>
      <c r="C923" s="7">
        <v>46246.39166666667</v>
      </c>
      <c r="D923" s="7">
        <v>46247.887460138889</v>
      </c>
      <c r="E923" t="s">
        <v>23</v>
      </c>
      <c r="F923" t="s">
        <v>50</v>
      </c>
      <c r="G923" t="s">
        <v>51</v>
      </c>
      <c r="H923" t="s">
        <v>66</v>
      </c>
      <c r="I923" t="s">
        <v>35</v>
      </c>
      <c r="J923" t="s">
        <v>48</v>
      </c>
      <c r="K923" t="s">
        <v>37</v>
      </c>
      <c r="L923" t="s">
        <v>68</v>
      </c>
      <c r="M923">
        <v>125</v>
      </c>
      <c r="N923">
        <v>4</v>
      </c>
      <c r="O923">
        <v>0</v>
      </c>
      <c r="P923">
        <v>5</v>
      </c>
      <c r="Q923" t="s">
        <v>31</v>
      </c>
      <c r="R923">
        <v>120</v>
      </c>
      <c r="S923">
        <v>24</v>
      </c>
      <c r="T923" t="s">
        <v>31</v>
      </c>
      <c r="U923" t="s">
        <v>31</v>
      </c>
      <c r="V923">
        <v>2026</v>
      </c>
      <c r="W923">
        <v>8</v>
      </c>
      <c r="X923" t="s">
        <v>1417</v>
      </c>
      <c r="Y923" s="6">
        <v>46235</v>
      </c>
      <c r="Z923" t="s">
        <v>1413</v>
      </c>
      <c r="AA923" t="s">
        <v>31</v>
      </c>
      <c r="AB923" t="s">
        <v>63</v>
      </c>
      <c r="AC923" t="s">
        <v>23</v>
      </c>
      <c r="AD923">
        <v>1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</row>
    <row r="924" spans="1:36">
      <c r="A924" t="s">
        <v>1092</v>
      </c>
      <c r="B924">
        <v>8.61</v>
      </c>
      <c r="C924" s="7">
        <v>46195.245833333334</v>
      </c>
      <c r="D924" s="7">
        <v>46195.604483020834</v>
      </c>
      <c r="E924" t="s">
        <v>23</v>
      </c>
      <c r="F924" t="s">
        <v>24</v>
      </c>
      <c r="G924" t="s">
        <v>51</v>
      </c>
      <c r="H924" t="s">
        <v>75</v>
      </c>
      <c r="I924" t="s">
        <v>42</v>
      </c>
      <c r="J924" t="s">
        <v>43</v>
      </c>
      <c r="K924" t="s">
        <v>37</v>
      </c>
      <c r="L924" t="s">
        <v>55</v>
      </c>
      <c r="M924">
        <v>21</v>
      </c>
      <c r="N924">
        <v>3</v>
      </c>
      <c r="O924">
        <v>3</v>
      </c>
      <c r="P924">
        <v>12</v>
      </c>
      <c r="Q924" t="s">
        <v>31</v>
      </c>
      <c r="R924">
        <v>15</v>
      </c>
      <c r="S924">
        <v>4</v>
      </c>
      <c r="T924" t="s">
        <v>31</v>
      </c>
      <c r="U924" t="s">
        <v>31</v>
      </c>
      <c r="V924">
        <v>2026</v>
      </c>
      <c r="W924">
        <v>6</v>
      </c>
      <c r="X924" t="s">
        <v>1421</v>
      </c>
      <c r="Y924" s="6">
        <v>46174</v>
      </c>
      <c r="Z924" t="s">
        <v>1418</v>
      </c>
      <c r="AA924" t="s">
        <v>63</v>
      </c>
      <c r="AB924" t="s">
        <v>63</v>
      </c>
      <c r="AC924" t="s">
        <v>23</v>
      </c>
      <c r="AD924">
        <v>1</v>
      </c>
      <c r="AE924">
        <v>0</v>
      </c>
      <c r="AF924">
        <v>1</v>
      </c>
      <c r="AG924">
        <v>1</v>
      </c>
      <c r="AH924">
        <v>0</v>
      </c>
      <c r="AI924">
        <v>0</v>
      </c>
      <c r="AJ924">
        <v>0</v>
      </c>
    </row>
    <row r="925" spans="1:36">
      <c r="A925" t="s">
        <v>1093</v>
      </c>
      <c r="B925">
        <v>60.99</v>
      </c>
      <c r="C925" s="7">
        <v>46219.29583333333</v>
      </c>
      <c r="D925" s="7">
        <v>46221.836989618052</v>
      </c>
      <c r="E925" t="s">
        <v>23</v>
      </c>
      <c r="F925" t="s">
        <v>33</v>
      </c>
      <c r="G925" t="s">
        <v>25</v>
      </c>
      <c r="H925" t="s">
        <v>26</v>
      </c>
      <c r="I925" t="s">
        <v>35</v>
      </c>
      <c r="J925" t="s">
        <v>36</v>
      </c>
      <c r="K925" t="s">
        <v>37</v>
      </c>
      <c r="L925" t="s">
        <v>30</v>
      </c>
      <c r="M925">
        <v>99</v>
      </c>
      <c r="N925">
        <v>4</v>
      </c>
      <c r="O925">
        <v>0</v>
      </c>
      <c r="P925">
        <v>5</v>
      </c>
      <c r="Q925" t="s">
        <v>31</v>
      </c>
      <c r="R925">
        <v>240</v>
      </c>
      <c r="S925">
        <v>48</v>
      </c>
      <c r="T925" t="s">
        <v>63</v>
      </c>
      <c r="U925" t="s">
        <v>31</v>
      </c>
      <c r="V925">
        <v>2026</v>
      </c>
      <c r="W925">
        <v>7</v>
      </c>
      <c r="X925" t="s">
        <v>1422</v>
      </c>
      <c r="Y925" s="6">
        <v>46204</v>
      </c>
      <c r="Z925" t="s">
        <v>1413</v>
      </c>
      <c r="AA925" t="s">
        <v>31</v>
      </c>
      <c r="AB925" t="s">
        <v>63</v>
      </c>
      <c r="AC925" t="s">
        <v>23</v>
      </c>
      <c r="AD925">
        <v>1</v>
      </c>
      <c r="AE925">
        <v>0</v>
      </c>
      <c r="AF925">
        <v>1</v>
      </c>
      <c r="AG925">
        <v>0</v>
      </c>
      <c r="AH925">
        <v>0</v>
      </c>
      <c r="AI925">
        <v>1</v>
      </c>
      <c r="AJ925">
        <v>0</v>
      </c>
    </row>
    <row r="926" spans="1:36">
      <c r="A926" t="s">
        <v>1094</v>
      </c>
      <c r="B926">
        <v>8</v>
      </c>
      <c r="C926" s="7">
        <v>46088.038888888892</v>
      </c>
      <c r="D926" s="7">
        <v>46088.372238159725</v>
      </c>
      <c r="E926" t="s">
        <v>23</v>
      </c>
      <c r="F926" t="s">
        <v>1402</v>
      </c>
      <c r="G926" t="s">
        <v>25</v>
      </c>
      <c r="H926" t="s">
        <v>75</v>
      </c>
      <c r="I926" t="s">
        <v>27</v>
      </c>
      <c r="J926" t="s">
        <v>43</v>
      </c>
      <c r="K926" t="s">
        <v>29</v>
      </c>
      <c r="L926" t="s">
        <v>93</v>
      </c>
      <c r="M926">
        <v>104</v>
      </c>
      <c r="N926">
        <v>4</v>
      </c>
      <c r="O926">
        <v>0</v>
      </c>
      <c r="P926">
        <v>7</v>
      </c>
      <c r="Q926" t="s">
        <v>31</v>
      </c>
      <c r="V926">
        <v>2026</v>
      </c>
      <c r="W926">
        <v>3</v>
      </c>
      <c r="X926" t="s">
        <v>1423</v>
      </c>
      <c r="Y926" s="6">
        <v>46082</v>
      </c>
      <c r="Z926" t="s">
        <v>1413</v>
      </c>
      <c r="AA926" t="s">
        <v>31</v>
      </c>
      <c r="AB926" t="s">
        <v>63</v>
      </c>
      <c r="AC926" t="s">
        <v>23</v>
      </c>
      <c r="AD926">
        <v>1</v>
      </c>
      <c r="AE926">
        <v>0</v>
      </c>
      <c r="AF926">
        <v>1</v>
      </c>
      <c r="AG926">
        <v>0</v>
      </c>
      <c r="AH926">
        <v>0</v>
      </c>
    </row>
    <row r="927" spans="1:36">
      <c r="A927" t="s">
        <v>1095</v>
      </c>
      <c r="B927">
        <v>30.78</v>
      </c>
      <c r="C927" s="7">
        <v>46033.438888888886</v>
      </c>
      <c r="D927" s="7">
        <v>46034.721212870369</v>
      </c>
      <c r="E927" t="s">
        <v>23</v>
      </c>
      <c r="F927" t="s">
        <v>33</v>
      </c>
      <c r="G927" t="s">
        <v>51</v>
      </c>
      <c r="H927" t="s">
        <v>66</v>
      </c>
      <c r="I927" t="s">
        <v>35</v>
      </c>
      <c r="J927" t="s">
        <v>36</v>
      </c>
      <c r="K927" t="s">
        <v>67</v>
      </c>
      <c r="L927" t="s">
        <v>44</v>
      </c>
      <c r="M927">
        <v>438</v>
      </c>
      <c r="N927">
        <v>3</v>
      </c>
      <c r="O927">
        <v>0</v>
      </c>
      <c r="P927">
        <v>6</v>
      </c>
      <c r="Q927" t="s">
        <v>31</v>
      </c>
      <c r="R927">
        <v>240</v>
      </c>
      <c r="S927">
        <v>48</v>
      </c>
      <c r="T927" t="s">
        <v>31</v>
      </c>
      <c r="U927" t="s">
        <v>63</v>
      </c>
      <c r="V927">
        <v>2026</v>
      </c>
      <c r="W927">
        <v>1</v>
      </c>
      <c r="X927" t="s">
        <v>1414</v>
      </c>
      <c r="Y927" s="6">
        <v>46023</v>
      </c>
      <c r="Z927" t="s">
        <v>1418</v>
      </c>
      <c r="AA927" t="s">
        <v>31</v>
      </c>
      <c r="AB927" t="s">
        <v>63</v>
      </c>
      <c r="AC927" t="s">
        <v>23</v>
      </c>
      <c r="AD927">
        <v>1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1</v>
      </c>
    </row>
    <row r="928" spans="1:36">
      <c r="A928" t="s">
        <v>1096</v>
      </c>
      <c r="B928">
        <v>21.53</v>
      </c>
      <c r="C928" s="7">
        <v>46068.245833333334</v>
      </c>
      <c r="D928" s="7">
        <v>46069.143109513891</v>
      </c>
      <c r="E928" t="s">
        <v>23</v>
      </c>
      <c r="F928" t="s">
        <v>33</v>
      </c>
      <c r="G928" t="s">
        <v>51</v>
      </c>
      <c r="H928" t="s">
        <v>26</v>
      </c>
      <c r="I928" t="s">
        <v>35</v>
      </c>
      <c r="J928" t="s">
        <v>43</v>
      </c>
      <c r="K928" t="s">
        <v>29</v>
      </c>
      <c r="L928" t="s">
        <v>68</v>
      </c>
      <c r="M928">
        <v>252</v>
      </c>
      <c r="N928">
        <v>3</v>
      </c>
      <c r="O928">
        <v>0</v>
      </c>
      <c r="P928">
        <v>3</v>
      </c>
      <c r="Q928" t="s">
        <v>31</v>
      </c>
      <c r="R928">
        <v>240</v>
      </c>
      <c r="S928">
        <v>48</v>
      </c>
      <c r="T928" t="s">
        <v>31</v>
      </c>
      <c r="U928" t="s">
        <v>63</v>
      </c>
      <c r="V928">
        <v>2026</v>
      </c>
      <c r="W928">
        <v>2</v>
      </c>
      <c r="X928" t="s">
        <v>1419</v>
      </c>
      <c r="Y928" s="6">
        <v>46054</v>
      </c>
      <c r="Z928" t="s">
        <v>1418</v>
      </c>
      <c r="AA928" t="s">
        <v>31</v>
      </c>
      <c r="AB928" t="s">
        <v>63</v>
      </c>
      <c r="AC928" t="s">
        <v>23</v>
      </c>
      <c r="AD928">
        <v>1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1</v>
      </c>
    </row>
    <row r="929" spans="1:36">
      <c r="A929" t="s">
        <v>1097</v>
      </c>
      <c r="C929" s="7">
        <v>46126.344444444447</v>
      </c>
      <c r="D929" s="7"/>
      <c r="E929" t="s">
        <v>57</v>
      </c>
      <c r="F929" t="s">
        <v>50</v>
      </c>
      <c r="G929" t="s">
        <v>51</v>
      </c>
      <c r="H929" t="s">
        <v>26</v>
      </c>
      <c r="I929" t="s">
        <v>35</v>
      </c>
      <c r="J929" t="s">
        <v>36</v>
      </c>
      <c r="K929" t="s">
        <v>67</v>
      </c>
      <c r="L929" t="s">
        <v>93</v>
      </c>
      <c r="M929">
        <v>73</v>
      </c>
      <c r="O929">
        <v>0</v>
      </c>
      <c r="P929">
        <v>4</v>
      </c>
      <c r="Q929" t="s">
        <v>31</v>
      </c>
      <c r="R929">
        <v>120</v>
      </c>
      <c r="S929">
        <v>24</v>
      </c>
      <c r="T929" t="s">
        <v>63</v>
      </c>
      <c r="U929" t="s">
        <v>74</v>
      </c>
      <c r="V929">
        <v>2026</v>
      </c>
      <c r="W929">
        <v>4</v>
      </c>
      <c r="X929" t="s">
        <v>1412</v>
      </c>
      <c r="Y929" s="6">
        <v>46113</v>
      </c>
      <c r="Z929" t="s">
        <v>1420</v>
      </c>
      <c r="AA929" t="s">
        <v>31</v>
      </c>
      <c r="AB929" t="s">
        <v>31</v>
      </c>
      <c r="AC929" t="s">
        <v>57</v>
      </c>
      <c r="AD929">
        <v>1</v>
      </c>
      <c r="AE929">
        <v>1</v>
      </c>
      <c r="AF929">
        <v>0</v>
      </c>
      <c r="AG929">
        <v>0</v>
      </c>
      <c r="AH929">
        <v>0</v>
      </c>
      <c r="AI929">
        <v>1</v>
      </c>
    </row>
    <row r="930" spans="1:36">
      <c r="A930" t="s">
        <v>1098</v>
      </c>
      <c r="B930">
        <v>14.64</v>
      </c>
      <c r="C930" s="7">
        <v>46137.032638888886</v>
      </c>
      <c r="D930" s="7">
        <v>46137.642681747682</v>
      </c>
      <c r="E930" t="s">
        <v>23</v>
      </c>
      <c r="F930" t="s">
        <v>50</v>
      </c>
      <c r="G930" t="s">
        <v>25</v>
      </c>
      <c r="H930" t="s">
        <v>34</v>
      </c>
      <c r="I930" t="s">
        <v>35</v>
      </c>
      <c r="J930" t="s">
        <v>36</v>
      </c>
      <c r="K930" t="s">
        <v>37</v>
      </c>
      <c r="L930" t="s">
        <v>30</v>
      </c>
      <c r="M930">
        <v>93</v>
      </c>
      <c r="N930">
        <v>4</v>
      </c>
      <c r="O930">
        <v>0</v>
      </c>
      <c r="P930">
        <v>4</v>
      </c>
      <c r="Q930" t="s">
        <v>31</v>
      </c>
      <c r="R930">
        <v>120</v>
      </c>
      <c r="S930">
        <v>24</v>
      </c>
      <c r="T930" t="s">
        <v>63</v>
      </c>
      <c r="U930" t="s">
        <v>63</v>
      </c>
      <c r="V930">
        <v>2026</v>
      </c>
      <c r="W930">
        <v>4</v>
      </c>
      <c r="X930" t="s">
        <v>1412</v>
      </c>
      <c r="Y930" s="6">
        <v>46113</v>
      </c>
      <c r="Z930" t="s">
        <v>1413</v>
      </c>
      <c r="AA930" t="s">
        <v>31</v>
      </c>
      <c r="AB930" t="s">
        <v>63</v>
      </c>
      <c r="AC930" t="s">
        <v>23</v>
      </c>
      <c r="AD930">
        <v>1</v>
      </c>
      <c r="AE930">
        <v>0</v>
      </c>
      <c r="AF930">
        <v>1</v>
      </c>
      <c r="AG930">
        <v>0</v>
      </c>
      <c r="AH930">
        <v>0</v>
      </c>
      <c r="AI930">
        <v>1</v>
      </c>
      <c r="AJ930">
        <v>1</v>
      </c>
    </row>
    <row r="931" spans="1:36">
      <c r="A931" t="s">
        <v>1099</v>
      </c>
      <c r="B931">
        <v>28.54</v>
      </c>
      <c r="C931" s="7">
        <v>46128.65347222222</v>
      </c>
      <c r="D931" s="7">
        <v>46129.842480023151</v>
      </c>
      <c r="E931" t="s">
        <v>23</v>
      </c>
      <c r="F931" t="s">
        <v>50</v>
      </c>
      <c r="G931" t="s">
        <v>51</v>
      </c>
      <c r="H931" t="s">
        <v>34</v>
      </c>
      <c r="I931" t="s">
        <v>35</v>
      </c>
      <c r="J931" t="s">
        <v>28</v>
      </c>
      <c r="K931" t="s">
        <v>52</v>
      </c>
      <c r="L931" t="s">
        <v>38</v>
      </c>
      <c r="M931">
        <v>74</v>
      </c>
      <c r="N931">
        <v>4</v>
      </c>
      <c r="O931">
        <v>0</v>
      </c>
      <c r="P931">
        <v>5</v>
      </c>
      <c r="Q931" t="s">
        <v>31</v>
      </c>
      <c r="R931">
        <v>120</v>
      </c>
      <c r="S931">
        <v>24</v>
      </c>
      <c r="T931" t="s">
        <v>63</v>
      </c>
      <c r="U931" t="s">
        <v>31</v>
      </c>
      <c r="V931">
        <v>2026</v>
      </c>
      <c r="W931">
        <v>4</v>
      </c>
      <c r="X931" t="s">
        <v>1412</v>
      </c>
      <c r="Y931" s="6">
        <v>46113</v>
      </c>
      <c r="Z931" t="s">
        <v>1413</v>
      </c>
      <c r="AA931" t="s">
        <v>31</v>
      </c>
      <c r="AB931" t="s">
        <v>63</v>
      </c>
      <c r="AC931" t="s">
        <v>23</v>
      </c>
      <c r="AD931">
        <v>1</v>
      </c>
      <c r="AE931">
        <v>0</v>
      </c>
      <c r="AF931">
        <v>1</v>
      </c>
      <c r="AG931">
        <v>0</v>
      </c>
      <c r="AH931">
        <v>0</v>
      </c>
      <c r="AI931">
        <v>1</v>
      </c>
      <c r="AJ931">
        <v>0</v>
      </c>
    </row>
    <row r="932" spans="1:36">
      <c r="A932" t="s">
        <v>1100</v>
      </c>
      <c r="B932">
        <v>35.369999999999997</v>
      </c>
      <c r="C932" s="7">
        <v>46115.354166666664</v>
      </c>
      <c r="D932" s="7">
        <v>46116.827770300923</v>
      </c>
      <c r="E932" t="s">
        <v>23</v>
      </c>
      <c r="F932" t="s">
        <v>33</v>
      </c>
      <c r="G932" t="s">
        <v>25</v>
      </c>
      <c r="H932" t="s">
        <v>26</v>
      </c>
      <c r="I932" t="s">
        <v>35</v>
      </c>
      <c r="J932" t="s">
        <v>43</v>
      </c>
      <c r="K932" t="s">
        <v>76</v>
      </c>
      <c r="L932" t="s">
        <v>101</v>
      </c>
      <c r="M932">
        <v>135</v>
      </c>
      <c r="N932">
        <v>4</v>
      </c>
      <c r="O932">
        <v>0</v>
      </c>
      <c r="P932">
        <v>5</v>
      </c>
      <c r="Q932" t="s">
        <v>31</v>
      </c>
      <c r="R932">
        <v>240</v>
      </c>
      <c r="S932">
        <v>48</v>
      </c>
      <c r="T932" t="s">
        <v>63</v>
      </c>
      <c r="U932" t="s">
        <v>63</v>
      </c>
      <c r="V932">
        <v>2026</v>
      </c>
      <c r="W932">
        <v>4</v>
      </c>
      <c r="X932" t="s">
        <v>1412</v>
      </c>
      <c r="Y932" s="6">
        <v>46113</v>
      </c>
      <c r="Z932" t="s">
        <v>1413</v>
      </c>
      <c r="AA932" t="s">
        <v>31</v>
      </c>
      <c r="AB932" t="s">
        <v>63</v>
      </c>
      <c r="AC932" t="s">
        <v>23</v>
      </c>
      <c r="AD932">
        <v>1</v>
      </c>
      <c r="AE932">
        <v>0</v>
      </c>
      <c r="AF932">
        <v>1</v>
      </c>
      <c r="AG932">
        <v>0</v>
      </c>
      <c r="AH932">
        <v>0</v>
      </c>
      <c r="AI932">
        <v>1</v>
      </c>
      <c r="AJ932">
        <v>1</v>
      </c>
    </row>
    <row r="933" spans="1:36">
      <c r="A933" t="s">
        <v>1101</v>
      </c>
      <c r="B933">
        <v>31.57</v>
      </c>
      <c r="C933" s="7">
        <v>46186.348611111112</v>
      </c>
      <c r="D933" s="7">
        <v>46187.664100358794</v>
      </c>
      <c r="E933" t="s">
        <v>23</v>
      </c>
      <c r="F933" t="s">
        <v>33</v>
      </c>
      <c r="G933" t="s">
        <v>51</v>
      </c>
      <c r="H933" t="s">
        <v>54</v>
      </c>
      <c r="I933" t="s">
        <v>42</v>
      </c>
      <c r="J933" t="s">
        <v>48</v>
      </c>
      <c r="K933" t="s">
        <v>29</v>
      </c>
      <c r="L933" t="s">
        <v>62</v>
      </c>
      <c r="M933">
        <v>62</v>
      </c>
      <c r="N933">
        <v>4</v>
      </c>
      <c r="O933">
        <v>1</v>
      </c>
      <c r="P933">
        <v>14</v>
      </c>
      <c r="Q933" t="s">
        <v>63</v>
      </c>
      <c r="R933">
        <v>240</v>
      </c>
      <c r="S933">
        <v>48</v>
      </c>
      <c r="T933" t="s">
        <v>63</v>
      </c>
      <c r="U933" t="s">
        <v>63</v>
      </c>
      <c r="V933">
        <v>2026</v>
      </c>
      <c r="W933">
        <v>6</v>
      </c>
      <c r="X933" t="s">
        <v>1421</v>
      </c>
      <c r="Y933" s="6">
        <v>46174</v>
      </c>
      <c r="Z933" t="s">
        <v>1413</v>
      </c>
      <c r="AA933" t="s">
        <v>63</v>
      </c>
      <c r="AB933" t="s">
        <v>63</v>
      </c>
      <c r="AC933" t="s">
        <v>23</v>
      </c>
      <c r="AD933">
        <v>1</v>
      </c>
      <c r="AE933">
        <v>0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 t="s">
        <v>1102</v>
      </c>
      <c r="B934">
        <v>17.07</v>
      </c>
      <c r="C934" s="7">
        <v>46202.810416666667</v>
      </c>
      <c r="D934" s="7">
        <v>46203.521523194446</v>
      </c>
      <c r="E934" t="s">
        <v>23</v>
      </c>
      <c r="F934" t="s">
        <v>50</v>
      </c>
      <c r="G934" t="s">
        <v>25</v>
      </c>
      <c r="H934" t="s">
        <v>26</v>
      </c>
      <c r="I934" t="s">
        <v>42</v>
      </c>
      <c r="J934" t="s">
        <v>43</v>
      </c>
      <c r="K934" t="s">
        <v>67</v>
      </c>
      <c r="L934" t="s">
        <v>93</v>
      </c>
      <c r="M934">
        <v>124</v>
      </c>
      <c r="N934">
        <v>4</v>
      </c>
      <c r="O934">
        <v>0</v>
      </c>
      <c r="P934">
        <v>2</v>
      </c>
      <c r="Q934" t="s">
        <v>31</v>
      </c>
      <c r="R934">
        <v>120</v>
      </c>
      <c r="S934">
        <v>24</v>
      </c>
      <c r="T934" t="s">
        <v>31</v>
      </c>
      <c r="U934" t="s">
        <v>63</v>
      </c>
      <c r="V934">
        <v>2026</v>
      </c>
      <c r="W934">
        <v>6</v>
      </c>
      <c r="X934" t="s">
        <v>1421</v>
      </c>
      <c r="Y934" s="6">
        <v>46174</v>
      </c>
      <c r="Z934" t="s">
        <v>1413</v>
      </c>
      <c r="AA934" t="s">
        <v>31</v>
      </c>
      <c r="AB934" t="s">
        <v>63</v>
      </c>
      <c r="AC934" t="s">
        <v>23</v>
      </c>
      <c r="AD934">
        <v>1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1</v>
      </c>
    </row>
    <row r="935" spans="1:36">
      <c r="A935" t="s">
        <v>1103</v>
      </c>
      <c r="B935">
        <v>12.83</v>
      </c>
      <c r="C935" s="7">
        <v>46226.452777777777</v>
      </c>
      <c r="D935" s="7">
        <v>46226.987442106481</v>
      </c>
      <c r="E935" t="s">
        <v>23</v>
      </c>
      <c r="F935" t="s">
        <v>40</v>
      </c>
      <c r="G935" t="s">
        <v>51</v>
      </c>
      <c r="H935" t="s">
        <v>26</v>
      </c>
      <c r="I935" t="s">
        <v>27</v>
      </c>
      <c r="J935" t="s">
        <v>28</v>
      </c>
      <c r="K935" t="s">
        <v>67</v>
      </c>
      <c r="L935" t="s">
        <v>71</v>
      </c>
      <c r="M935">
        <v>36</v>
      </c>
      <c r="N935">
        <v>4</v>
      </c>
      <c r="O935">
        <v>0</v>
      </c>
      <c r="P935">
        <v>5</v>
      </c>
      <c r="Q935" t="s">
        <v>31</v>
      </c>
      <c r="R935">
        <v>30</v>
      </c>
      <c r="S935">
        <v>8</v>
      </c>
      <c r="T935" t="s">
        <v>31</v>
      </c>
      <c r="U935" t="s">
        <v>31</v>
      </c>
      <c r="V935">
        <v>2026</v>
      </c>
      <c r="W935">
        <v>7</v>
      </c>
      <c r="X935" t="s">
        <v>1422</v>
      </c>
      <c r="Y935" s="6">
        <v>46204</v>
      </c>
      <c r="Z935" t="s">
        <v>1413</v>
      </c>
      <c r="AA935" t="s">
        <v>31</v>
      </c>
      <c r="AB935" t="s">
        <v>63</v>
      </c>
      <c r="AC935" t="s">
        <v>23</v>
      </c>
      <c r="AD935">
        <v>1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</row>
    <row r="936" spans="1:36">
      <c r="A936" t="s">
        <v>1104</v>
      </c>
      <c r="B936">
        <v>18.39</v>
      </c>
      <c r="C936" s="7">
        <v>46067.604861111111</v>
      </c>
      <c r="D936" s="7">
        <v>46068.371131041669</v>
      </c>
      <c r="E936" t="s">
        <v>23</v>
      </c>
      <c r="F936" t="s">
        <v>40</v>
      </c>
      <c r="G936" t="s">
        <v>25</v>
      </c>
      <c r="H936" t="s">
        <v>34</v>
      </c>
      <c r="I936" t="s">
        <v>27</v>
      </c>
      <c r="J936" t="s">
        <v>28</v>
      </c>
      <c r="K936" t="s">
        <v>67</v>
      </c>
      <c r="L936" t="s">
        <v>62</v>
      </c>
      <c r="M936">
        <v>28</v>
      </c>
      <c r="N936">
        <v>4</v>
      </c>
      <c r="O936">
        <v>0</v>
      </c>
      <c r="P936">
        <v>5</v>
      </c>
      <c r="Q936" t="s">
        <v>31</v>
      </c>
      <c r="R936">
        <v>30</v>
      </c>
      <c r="S936">
        <v>8</v>
      </c>
      <c r="T936" t="s">
        <v>63</v>
      </c>
      <c r="U936" t="s">
        <v>31</v>
      </c>
      <c r="V936">
        <v>2026</v>
      </c>
      <c r="W936">
        <v>2</v>
      </c>
      <c r="X936" t="s">
        <v>1419</v>
      </c>
      <c r="Y936" s="6">
        <v>46054</v>
      </c>
      <c r="Z936" t="s">
        <v>1413</v>
      </c>
      <c r="AA936" t="s">
        <v>31</v>
      </c>
      <c r="AB936" t="s">
        <v>63</v>
      </c>
      <c r="AC936" t="s">
        <v>23</v>
      </c>
      <c r="AD936">
        <v>1</v>
      </c>
      <c r="AE936">
        <v>0</v>
      </c>
      <c r="AF936">
        <v>1</v>
      </c>
      <c r="AG936">
        <v>0</v>
      </c>
      <c r="AH936">
        <v>0</v>
      </c>
      <c r="AI936">
        <v>1</v>
      </c>
      <c r="AJ936">
        <v>0</v>
      </c>
    </row>
    <row r="937" spans="1:36">
      <c r="A937" t="s">
        <v>1105</v>
      </c>
      <c r="B937">
        <v>7.44</v>
      </c>
      <c r="C937" s="7">
        <v>46041.506249999999</v>
      </c>
      <c r="D937" s="7">
        <v>46041.816114270834</v>
      </c>
      <c r="E937" t="s">
        <v>23</v>
      </c>
      <c r="F937" t="s">
        <v>33</v>
      </c>
      <c r="G937" t="s">
        <v>65</v>
      </c>
      <c r="H937" t="s">
        <v>34</v>
      </c>
      <c r="I937" t="s">
        <v>42</v>
      </c>
      <c r="J937" t="s">
        <v>36</v>
      </c>
      <c r="K937" t="s">
        <v>29</v>
      </c>
      <c r="L937" t="s">
        <v>68</v>
      </c>
      <c r="M937">
        <v>346</v>
      </c>
      <c r="N937">
        <v>3</v>
      </c>
      <c r="O937">
        <v>0</v>
      </c>
      <c r="P937">
        <v>6</v>
      </c>
      <c r="Q937" t="s">
        <v>31</v>
      </c>
      <c r="R937">
        <v>240</v>
      </c>
      <c r="S937">
        <v>48</v>
      </c>
      <c r="T937" t="s">
        <v>31</v>
      </c>
      <c r="U937" t="s">
        <v>63</v>
      </c>
      <c r="V937">
        <v>2026</v>
      </c>
      <c r="W937">
        <v>1</v>
      </c>
      <c r="X937" t="s">
        <v>1414</v>
      </c>
      <c r="Y937" s="6">
        <v>46023</v>
      </c>
      <c r="Z937" t="s">
        <v>1418</v>
      </c>
      <c r="AA937" t="s">
        <v>31</v>
      </c>
      <c r="AB937" t="s">
        <v>63</v>
      </c>
      <c r="AC937" t="s">
        <v>23</v>
      </c>
      <c r="AD937">
        <v>1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1</v>
      </c>
    </row>
    <row r="938" spans="1:36">
      <c r="A938" t="s">
        <v>1107</v>
      </c>
      <c r="B938">
        <v>78.41</v>
      </c>
      <c r="C938" s="7">
        <v>46092.336111111108</v>
      </c>
      <c r="D938" s="7">
        <v>46095.603387858799</v>
      </c>
      <c r="E938" t="s">
        <v>23</v>
      </c>
      <c r="F938" t="s">
        <v>50</v>
      </c>
      <c r="G938" t="s">
        <v>51</v>
      </c>
      <c r="H938" t="s">
        <v>26</v>
      </c>
      <c r="I938" t="s">
        <v>27</v>
      </c>
      <c r="J938" t="s">
        <v>28</v>
      </c>
      <c r="K938" t="s">
        <v>58</v>
      </c>
      <c r="L938" t="s">
        <v>62</v>
      </c>
      <c r="M938">
        <v>73</v>
      </c>
      <c r="N938">
        <v>4</v>
      </c>
      <c r="O938">
        <v>0</v>
      </c>
      <c r="P938">
        <v>7</v>
      </c>
      <c r="Q938" t="s">
        <v>31</v>
      </c>
      <c r="R938">
        <v>120</v>
      </c>
      <c r="S938">
        <v>24</v>
      </c>
      <c r="T938" t="s">
        <v>63</v>
      </c>
      <c r="U938" t="s">
        <v>31</v>
      </c>
      <c r="V938">
        <v>2026</v>
      </c>
      <c r="W938">
        <v>3</v>
      </c>
      <c r="X938" t="s">
        <v>1423</v>
      </c>
      <c r="Y938" s="6">
        <v>46082</v>
      </c>
      <c r="Z938" t="s">
        <v>1413</v>
      </c>
      <c r="AA938" t="s">
        <v>31</v>
      </c>
      <c r="AB938" t="s">
        <v>63</v>
      </c>
      <c r="AC938" t="s">
        <v>23</v>
      </c>
      <c r="AD938">
        <v>1</v>
      </c>
      <c r="AE938">
        <v>0</v>
      </c>
      <c r="AF938">
        <v>1</v>
      </c>
      <c r="AG938">
        <v>0</v>
      </c>
      <c r="AH938">
        <v>0</v>
      </c>
      <c r="AI938">
        <v>1</v>
      </c>
      <c r="AJ938">
        <v>0</v>
      </c>
    </row>
    <row r="939" spans="1:36">
      <c r="A939" t="s">
        <v>1108</v>
      </c>
      <c r="B939">
        <v>10.01</v>
      </c>
      <c r="C939" s="7">
        <v>46102.429166666669</v>
      </c>
      <c r="D939" s="7">
        <v>46102.846386493053</v>
      </c>
      <c r="E939" t="s">
        <v>23</v>
      </c>
      <c r="F939" t="s">
        <v>50</v>
      </c>
      <c r="G939" t="s">
        <v>41</v>
      </c>
      <c r="H939" t="s">
        <v>26</v>
      </c>
      <c r="I939" t="s">
        <v>27</v>
      </c>
      <c r="J939" t="s">
        <v>28</v>
      </c>
      <c r="K939" t="s">
        <v>52</v>
      </c>
      <c r="L939" t="s">
        <v>30</v>
      </c>
      <c r="M939">
        <v>122</v>
      </c>
      <c r="N939">
        <v>4</v>
      </c>
      <c r="O939">
        <v>1</v>
      </c>
      <c r="P939">
        <v>8</v>
      </c>
      <c r="Q939" t="s">
        <v>31</v>
      </c>
      <c r="R939">
        <v>120</v>
      </c>
      <c r="S939">
        <v>24</v>
      </c>
      <c r="T939" t="s">
        <v>31</v>
      </c>
      <c r="U939" t="s">
        <v>63</v>
      </c>
      <c r="V939">
        <v>2026</v>
      </c>
      <c r="W939">
        <v>3</v>
      </c>
      <c r="X939" t="s">
        <v>1423</v>
      </c>
      <c r="Y939" s="6">
        <v>46082</v>
      </c>
      <c r="Z939" t="s">
        <v>1413</v>
      </c>
      <c r="AA939" t="s">
        <v>63</v>
      </c>
      <c r="AB939" t="s">
        <v>63</v>
      </c>
      <c r="AC939" t="s">
        <v>23</v>
      </c>
      <c r="AD939">
        <v>1</v>
      </c>
      <c r="AE939">
        <v>0</v>
      </c>
      <c r="AF939">
        <v>1</v>
      </c>
      <c r="AG939">
        <v>1</v>
      </c>
      <c r="AH939">
        <v>0</v>
      </c>
      <c r="AI939">
        <v>0</v>
      </c>
      <c r="AJ939">
        <v>1</v>
      </c>
    </row>
    <row r="940" spans="1:36">
      <c r="A940" t="s">
        <v>1109</v>
      </c>
      <c r="B940">
        <v>15.95</v>
      </c>
      <c r="C940" s="7">
        <v>46200.34375</v>
      </c>
      <c r="D940" s="7">
        <v>46201.008522418982</v>
      </c>
      <c r="E940" t="s">
        <v>23</v>
      </c>
      <c r="F940" t="s">
        <v>50</v>
      </c>
      <c r="G940" t="s">
        <v>51</v>
      </c>
      <c r="H940" t="s">
        <v>34</v>
      </c>
      <c r="I940" t="s">
        <v>42</v>
      </c>
      <c r="J940" t="s">
        <v>36</v>
      </c>
      <c r="K940" t="s">
        <v>52</v>
      </c>
      <c r="L940" t="s">
        <v>62</v>
      </c>
      <c r="M940">
        <v>52</v>
      </c>
      <c r="N940">
        <v>4</v>
      </c>
      <c r="O940">
        <v>0</v>
      </c>
      <c r="P940">
        <v>7</v>
      </c>
      <c r="Q940" t="s">
        <v>31</v>
      </c>
      <c r="R940">
        <v>120</v>
      </c>
      <c r="S940">
        <v>24</v>
      </c>
      <c r="T940" t="s">
        <v>63</v>
      </c>
      <c r="U940" t="s">
        <v>63</v>
      </c>
      <c r="V940">
        <v>2026</v>
      </c>
      <c r="W940">
        <v>6</v>
      </c>
      <c r="X940" t="s">
        <v>1421</v>
      </c>
      <c r="Y940" s="6">
        <v>46174</v>
      </c>
      <c r="Z940" t="s">
        <v>1413</v>
      </c>
      <c r="AA940" t="s">
        <v>31</v>
      </c>
      <c r="AB940" t="s">
        <v>63</v>
      </c>
      <c r="AC940" t="s">
        <v>23</v>
      </c>
      <c r="AD940">
        <v>1</v>
      </c>
      <c r="AE940">
        <v>0</v>
      </c>
      <c r="AF940">
        <v>1</v>
      </c>
      <c r="AG940">
        <v>0</v>
      </c>
      <c r="AH940">
        <v>0</v>
      </c>
      <c r="AI940">
        <v>1</v>
      </c>
      <c r="AJ940">
        <v>1</v>
      </c>
    </row>
    <row r="941" spans="1:36">
      <c r="A941" t="s">
        <v>1110</v>
      </c>
      <c r="B941">
        <v>14.3</v>
      </c>
      <c r="C941" s="7">
        <v>46171.313888888886</v>
      </c>
      <c r="D941" s="7">
        <v>46171.909930081019</v>
      </c>
      <c r="E941" t="s">
        <v>23</v>
      </c>
      <c r="F941" t="s">
        <v>50</v>
      </c>
      <c r="G941" t="s">
        <v>51</v>
      </c>
      <c r="H941" t="s">
        <v>34</v>
      </c>
      <c r="I941" t="s">
        <v>27</v>
      </c>
      <c r="J941" t="s">
        <v>48</v>
      </c>
      <c r="K941" t="s">
        <v>37</v>
      </c>
      <c r="L941" t="s">
        <v>93</v>
      </c>
      <c r="M941">
        <v>70</v>
      </c>
      <c r="N941">
        <v>4</v>
      </c>
      <c r="O941">
        <v>0</v>
      </c>
      <c r="P941">
        <v>4</v>
      </c>
      <c r="Q941" t="s">
        <v>31</v>
      </c>
      <c r="R941">
        <v>120</v>
      </c>
      <c r="S941">
        <v>24</v>
      </c>
      <c r="T941" t="s">
        <v>63</v>
      </c>
      <c r="U941" t="s">
        <v>63</v>
      </c>
      <c r="V941">
        <v>2026</v>
      </c>
      <c r="W941">
        <v>5</v>
      </c>
      <c r="X941" t="s">
        <v>1416</v>
      </c>
      <c r="Y941" s="6">
        <v>46143</v>
      </c>
      <c r="Z941" t="s">
        <v>1413</v>
      </c>
      <c r="AA941" t="s">
        <v>31</v>
      </c>
      <c r="AB941" t="s">
        <v>63</v>
      </c>
      <c r="AC941" t="s">
        <v>23</v>
      </c>
      <c r="AD941">
        <v>1</v>
      </c>
      <c r="AE941">
        <v>0</v>
      </c>
      <c r="AF941">
        <v>1</v>
      </c>
      <c r="AG941">
        <v>0</v>
      </c>
      <c r="AH941">
        <v>0</v>
      </c>
      <c r="AI941">
        <v>1</v>
      </c>
      <c r="AJ941">
        <v>1</v>
      </c>
    </row>
    <row r="942" spans="1:36">
      <c r="A942" t="s">
        <v>1111</v>
      </c>
      <c r="B942">
        <v>19.37</v>
      </c>
      <c r="C942" s="7">
        <v>46196.415972222225</v>
      </c>
      <c r="D942" s="7">
        <v>46197.223137152774</v>
      </c>
      <c r="E942" t="s">
        <v>23</v>
      </c>
      <c r="F942" t="s">
        <v>50</v>
      </c>
      <c r="G942" t="s">
        <v>51</v>
      </c>
      <c r="H942" t="s">
        <v>66</v>
      </c>
      <c r="I942" t="s">
        <v>35</v>
      </c>
      <c r="J942" t="s">
        <v>36</v>
      </c>
      <c r="K942" t="s">
        <v>58</v>
      </c>
      <c r="L942" t="s">
        <v>44</v>
      </c>
      <c r="M942">
        <v>212</v>
      </c>
      <c r="N942">
        <v>4</v>
      </c>
      <c r="O942">
        <v>0</v>
      </c>
      <c r="P942">
        <v>5</v>
      </c>
      <c r="Q942" t="s">
        <v>31</v>
      </c>
      <c r="R942">
        <v>120</v>
      </c>
      <c r="S942">
        <v>24</v>
      </c>
      <c r="T942" t="s">
        <v>31</v>
      </c>
      <c r="U942" t="s">
        <v>63</v>
      </c>
      <c r="V942">
        <v>2026</v>
      </c>
      <c r="W942">
        <v>6</v>
      </c>
      <c r="X942" t="s">
        <v>1421</v>
      </c>
      <c r="Y942" s="6">
        <v>46174</v>
      </c>
      <c r="Z942" t="s">
        <v>1413</v>
      </c>
      <c r="AA942" t="s">
        <v>31</v>
      </c>
      <c r="AB942" t="s">
        <v>63</v>
      </c>
      <c r="AC942" t="s">
        <v>23</v>
      </c>
      <c r="AD942">
        <v>1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1</v>
      </c>
    </row>
    <row r="943" spans="1:36">
      <c r="A943" t="s">
        <v>1113</v>
      </c>
      <c r="B943">
        <v>13.95</v>
      </c>
      <c r="C943" s="7">
        <v>46192.623611111114</v>
      </c>
      <c r="D943" s="7">
        <v>46193.205060277774</v>
      </c>
      <c r="E943" t="s">
        <v>23</v>
      </c>
      <c r="F943" t="s">
        <v>50</v>
      </c>
      <c r="G943" t="s">
        <v>25</v>
      </c>
      <c r="H943" t="s">
        <v>75</v>
      </c>
      <c r="I943" t="s">
        <v>35</v>
      </c>
      <c r="J943" t="s">
        <v>28</v>
      </c>
      <c r="K943" t="s">
        <v>52</v>
      </c>
      <c r="L943" t="s">
        <v>44</v>
      </c>
      <c r="M943">
        <v>64</v>
      </c>
      <c r="N943">
        <v>4</v>
      </c>
      <c r="O943">
        <v>1</v>
      </c>
      <c r="P943">
        <v>8</v>
      </c>
      <c r="Q943" t="s">
        <v>31</v>
      </c>
      <c r="R943">
        <v>120</v>
      </c>
      <c r="S943">
        <v>24</v>
      </c>
      <c r="T943" t="s">
        <v>63</v>
      </c>
      <c r="U943" t="s">
        <v>63</v>
      </c>
      <c r="V943">
        <v>2026</v>
      </c>
      <c r="W943">
        <v>6</v>
      </c>
      <c r="X943" t="s">
        <v>1421</v>
      </c>
      <c r="Y943" s="6">
        <v>46174</v>
      </c>
      <c r="Z943" t="s">
        <v>1413</v>
      </c>
      <c r="AA943" t="s">
        <v>63</v>
      </c>
      <c r="AB943" t="s">
        <v>63</v>
      </c>
      <c r="AC943" t="s">
        <v>23</v>
      </c>
      <c r="AD943">
        <v>1</v>
      </c>
      <c r="AE943">
        <v>0</v>
      </c>
      <c r="AF943">
        <v>1</v>
      </c>
      <c r="AG943">
        <v>1</v>
      </c>
      <c r="AH943">
        <v>0</v>
      </c>
      <c r="AI943">
        <v>1</v>
      </c>
      <c r="AJ943">
        <v>1</v>
      </c>
    </row>
    <row r="944" spans="1:36">
      <c r="A944" t="s">
        <v>1114</v>
      </c>
      <c r="B944">
        <v>37.96</v>
      </c>
      <c r="C944" s="7">
        <v>46205.366666666669</v>
      </c>
      <c r="D944" s="7">
        <v>46206.948426423609</v>
      </c>
      <c r="E944" t="s">
        <v>23</v>
      </c>
      <c r="F944" t="s">
        <v>33</v>
      </c>
      <c r="G944" t="s">
        <v>25</v>
      </c>
      <c r="H944" t="s">
        <v>26</v>
      </c>
      <c r="I944" t="s">
        <v>42</v>
      </c>
      <c r="J944" t="s">
        <v>48</v>
      </c>
      <c r="K944" t="s">
        <v>67</v>
      </c>
      <c r="L944" t="s">
        <v>62</v>
      </c>
      <c r="M944">
        <v>225</v>
      </c>
      <c r="N944">
        <v>3</v>
      </c>
      <c r="O944">
        <v>0</v>
      </c>
      <c r="P944">
        <v>5</v>
      </c>
      <c r="Q944" t="s">
        <v>31</v>
      </c>
      <c r="R944">
        <v>240</v>
      </c>
      <c r="S944">
        <v>48</v>
      </c>
      <c r="T944" t="s">
        <v>63</v>
      </c>
      <c r="U944" t="s">
        <v>63</v>
      </c>
      <c r="V944">
        <v>2026</v>
      </c>
      <c r="W944">
        <v>7</v>
      </c>
      <c r="X944" t="s">
        <v>1422</v>
      </c>
      <c r="Y944" s="6">
        <v>46204</v>
      </c>
      <c r="Z944" t="s">
        <v>1418</v>
      </c>
      <c r="AA944" t="s">
        <v>31</v>
      </c>
      <c r="AB944" t="s">
        <v>63</v>
      </c>
      <c r="AC944" t="s">
        <v>23</v>
      </c>
      <c r="AD944">
        <v>1</v>
      </c>
      <c r="AE944">
        <v>0</v>
      </c>
      <c r="AF944">
        <v>1</v>
      </c>
      <c r="AG944">
        <v>0</v>
      </c>
      <c r="AH944">
        <v>0</v>
      </c>
      <c r="AI944">
        <v>1</v>
      </c>
      <c r="AJ944">
        <v>1</v>
      </c>
    </row>
    <row r="945" spans="1:36">
      <c r="A945" t="s">
        <v>1115</v>
      </c>
      <c r="B945">
        <v>21.71</v>
      </c>
      <c r="C945" s="7">
        <v>46116.957638888889</v>
      </c>
      <c r="D945" s="7">
        <v>46117.862046979164</v>
      </c>
      <c r="E945" t="s">
        <v>23</v>
      </c>
      <c r="F945" t="s">
        <v>50</v>
      </c>
      <c r="G945" t="s">
        <v>25</v>
      </c>
      <c r="H945" t="s">
        <v>66</v>
      </c>
      <c r="I945" t="s">
        <v>27</v>
      </c>
      <c r="J945" t="s">
        <v>43</v>
      </c>
      <c r="K945" t="s">
        <v>76</v>
      </c>
      <c r="L945" t="s">
        <v>30</v>
      </c>
      <c r="M945">
        <v>141</v>
      </c>
      <c r="N945">
        <v>4</v>
      </c>
      <c r="O945">
        <v>0</v>
      </c>
      <c r="P945">
        <v>2</v>
      </c>
      <c r="Q945" t="s">
        <v>31</v>
      </c>
      <c r="R945">
        <v>120</v>
      </c>
      <c r="S945">
        <v>24</v>
      </c>
      <c r="T945" t="s">
        <v>31</v>
      </c>
      <c r="U945" t="s">
        <v>63</v>
      </c>
      <c r="V945">
        <v>2026</v>
      </c>
      <c r="W945">
        <v>4</v>
      </c>
      <c r="X945" t="s">
        <v>1412</v>
      </c>
      <c r="Y945" s="6">
        <v>46113</v>
      </c>
      <c r="Z945" t="s">
        <v>1413</v>
      </c>
      <c r="AA945" t="s">
        <v>31</v>
      </c>
      <c r="AB945" t="s">
        <v>63</v>
      </c>
      <c r="AC945" t="s">
        <v>23</v>
      </c>
      <c r="AD945">
        <v>1</v>
      </c>
      <c r="AE945">
        <v>0</v>
      </c>
      <c r="AF945">
        <v>1</v>
      </c>
      <c r="AG945">
        <v>0</v>
      </c>
      <c r="AH945">
        <v>0</v>
      </c>
      <c r="AI945">
        <v>0</v>
      </c>
      <c r="AJ945">
        <v>1</v>
      </c>
    </row>
    <row r="946" spans="1:36">
      <c r="A946" t="s">
        <v>1116</v>
      </c>
      <c r="B946">
        <v>21.36</v>
      </c>
      <c r="C946" s="7">
        <v>46173.793055555558</v>
      </c>
      <c r="D946" s="7">
        <v>46174.682996388889</v>
      </c>
      <c r="E946" t="s">
        <v>23</v>
      </c>
      <c r="F946" t="s">
        <v>40</v>
      </c>
      <c r="G946" t="s">
        <v>51</v>
      </c>
      <c r="H946" t="s">
        <v>26</v>
      </c>
      <c r="I946" t="s">
        <v>42</v>
      </c>
      <c r="J946" t="s">
        <v>28</v>
      </c>
      <c r="K946" t="s">
        <v>37</v>
      </c>
      <c r="L946" t="s">
        <v>55</v>
      </c>
      <c r="M946">
        <v>41</v>
      </c>
      <c r="N946">
        <v>4</v>
      </c>
      <c r="O946">
        <v>0</v>
      </c>
      <c r="P946">
        <v>2</v>
      </c>
      <c r="Q946" t="s">
        <v>31</v>
      </c>
      <c r="R946">
        <v>30</v>
      </c>
      <c r="S946">
        <v>8</v>
      </c>
      <c r="T946" t="s">
        <v>31</v>
      </c>
      <c r="U946" t="s">
        <v>31</v>
      </c>
      <c r="V946">
        <v>2026</v>
      </c>
      <c r="W946">
        <v>5</v>
      </c>
      <c r="X946" t="s">
        <v>1416</v>
      </c>
      <c r="Y946" s="6">
        <v>46143</v>
      </c>
      <c r="Z946" t="s">
        <v>1413</v>
      </c>
      <c r="AA946" t="s">
        <v>31</v>
      </c>
      <c r="AB946" t="s">
        <v>63</v>
      </c>
      <c r="AC946" t="s">
        <v>23</v>
      </c>
      <c r="AD946">
        <v>1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</row>
    <row r="947" spans="1:36">
      <c r="A947" t="s">
        <v>1117</v>
      </c>
      <c r="B947">
        <v>20.53</v>
      </c>
      <c r="C947" s="7">
        <v>46035.688194444447</v>
      </c>
      <c r="D947" s="7">
        <v>46036.543447916665</v>
      </c>
      <c r="E947" t="s">
        <v>23</v>
      </c>
      <c r="F947" t="s">
        <v>33</v>
      </c>
      <c r="G947" t="s">
        <v>25</v>
      </c>
      <c r="H947" t="s">
        <v>54</v>
      </c>
      <c r="I947" t="s">
        <v>27</v>
      </c>
      <c r="J947" t="s">
        <v>48</v>
      </c>
      <c r="K947" t="s">
        <v>58</v>
      </c>
      <c r="L947" t="s">
        <v>55</v>
      </c>
      <c r="M947">
        <v>402</v>
      </c>
      <c r="N947">
        <v>3</v>
      </c>
      <c r="O947">
        <v>0</v>
      </c>
      <c r="P947">
        <v>5</v>
      </c>
      <c r="Q947" t="s">
        <v>31</v>
      </c>
      <c r="R947">
        <v>240</v>
      </c>
      <c r="S947">
        <v>48</v>
      </c>
      <c r="T947" t="s">
        <v>31</v>
      </c>
      <c r="U947" t="s">
        <v>63</v>
      </c>
      <c r="V947">
        <v>2026</v>
      </c>
      <c r="W947">
        <v>1</v>
      </c>
      <c r="X947" t="s">
        <v>1414</v>
      </c>
      <c r="Y947" s="6">
        <v>46023</v>
      </c>
      <c r="Z947" t="s">
        <v>1418</v>
      </c>
      <c r="AA947" t="s">
        <v>31</v>
      </c>
      <c r="AB947" t="s">
        <v>63</v>
      </c>
      <c r="AC947" t="s">
        <v>23</v>
      </c>
      <c r="AD947">
        <v>1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1</v>
      </c>
    </row>
    <row r="948" spans="1:36">
      <c r="A948" t="s">
        <v>1119</v>
      </c>
      <c r="B948">
        <v>40.869999999999997</v>
      </c>
      <c r="C948" s="7">
        <v>46111.163888888892</v>
      </c>
      <c r="D948" s="7">
        <v>46112.866666666669</v>
      </c>
      <c r="E948" t="s">
        <v>23</v>
      </c>
      <c r="F948" t="s">
        <v>50</v>
      </c>
      <c r="G948" t="s">
        <v>25</v>
      </c>
      <c r="H948" t="s">
        <v>26</v>
      </c>
      <c r="I948" t="s">
        <v>42</v>
      </c>
      <c r="J948" t="s">
        <v>48</v>
      </c>
      <c r="K948" t="s">
        <v>52</v>
      </c>
      <c r="L948" t="s">
        <v>62</v>
      </c>
      <c r="M948">
        <v>102</v>
      </c>
      <c r="N948">
        <v>4</v>
      </c>
      <c r="O948">
        <v>0</v>
      </c>
      <c r="P948">
        <v>6</v>
      </c>
      <c r="Q948" t="s">
        <v>31</v>
      </c>
      <c r="R948">
        <v>120</v>
      </c>
      <c r="S948">
        <v>24</v>
      </c>
      <c r="T948" t="s">
        <v>63</v>
      </c>
      <c r="U948" t="s">
        <v>31</v>
      </c>
      <c r="V948">
        <v>2026</v>
      </c>
      <c r="W948">
        <v>3</v>
      </c>
      <c r="X948" t="s">
        <v>1423</v>
      </c>
      <c r="Y948" s="6">
        <v>46082</v>
      </c>
      <c r="Z948" t="s">
        <v>1413</v>
      </c>
      <c r="AA948" t="s">
        <v>31</v>
      </c>
      <c r="AB948" t="s">
        <v>63</v>
      </c>
      <c r="AC948" t="s">
        <v>23</v>
      </c>
      <c r="AD948">
        <v>1</v>
      </c>
      <c r="AE948">
        <v>0</v>
      </c>
      <c r="AF948">
        <v>1</v>
      </c>
      <c r="AG948">
        <v>0</v>
      </c>
      <c r="AH948">
        <v>0</v>
      </c>
      <c r="AI948">
        <v>1</v>
      </c>
      <c r="AJ948">
        <v>0</v>
      </c>
    </row>
    <row r="949" spans="1:36">
      <c r="A949" t="s">
        <v>1121</v>
      </c>
      <c r="B949">
        <v>6.36</v>
      </c>
      <c r="C949" s="7">
        <v>46142.201388888891</v>
      </c>
      <c r="D949" s="7">
        <v>46142.466505115743</v>
      </c>
      <c r="E949" t="s">
        <v>23</v>
      </c>
      <c r="F949" t="s">
        <v>1402</v>
      </c>
      <c r="G949" t="s">
        <v>51</v>
      </c>
      <c r="H949" t="s">
        <v>26</v>
      </c>
      <c r="I949" t="s">
        <v>35</v>
      </c>
      <c r="J949" t="s">
        <v>48</v>
      </c>
      <c r="K949" t="s">
        <v>52</v>
      </c>
      <c r="L949" t="s">
        <v>30</v>
      </c>
      <c r="M949">
        <v>145</v>
      </c>
      <c r="N949">
        <v>4</v>
      </c>
      <c r="O949">
        <v>0</v>
      </c>
      <c r="P949">
        <v>3</v>
      </c>
      <c r="Q949" t="s">
        <v>31</v>
      </c>
      <c r="V949">
        <v>2026</v>
      </c>
      <c r="W949">
        <v>4</v>
      </c>
      <c r="X949" t="s">
        <v>1412</v>
      </c>
      <c r="Y949" s="6">
        <v>46113</v>
      </c>
      <c r="Z949" t="s">
        <v>1413</v>
      </c>
      <c r="AA949" t="s">
        <v>31</v>
      </c>
      <c r="AB949" t="s">
        <v>63</v>
      </c>
      <c r="AC949" t="s">
        <v>23</v>
      </c>
      <c r="AD949">
        <v>1</v>
      </c>
      <c r="AE949">
        <v>0</v>
      </c>
      <c r="AF949">
        <v>1</v>
      </c>
      <c r="AG949">
        <v>0</v>
      </c>
      <c r="AH949">
        <v>0</v>
      </c>
    </row>
    <row r="950" spans="1:36">
      <c r="A950" t="s">
        <v>1122</v>
      </c>
      <c r="B950">
        <v>7.55</v>
      </c>
      <c r="C950" s="7">
        <v>46204.474999999999</v>
      </c>
      <c r="D950" s="7">
        <v>46204.789455208331</v>
      </c>
      <c r="E950" t="s">
        <v>23</v>
      </c>
      <c r="F950" t="s">
        <v>50</v>
      </c>
      <c r="G950" t="s">
        <v>41</v>
      </c>
      <c r="H950" t="s">
        <v>54</v>
      </c>
      <c r="I950" t="s">
        <v>42</v>
      </c>
      <c r="J950" t="s">
        <v>43</v>
      </c>
      <c r="K950" t="s">
        <v>29</v>
      </c>
      <c r="L950" t="s">
        <v>62</v>
      </c>
      <c r="M950">
        <v>50</v>
      </c>
      <c r="N950">
        <v>5</v>
      </c>
      <c r="O950">
        <v>0</v>
      </c>
      <c r="P950">
        <v>2</v>
      </c>
      <c r="Q950" t="s">
        <v>31</v>
      </c>
      <c r="R950">
        <v>120</v>
      </c>
      <c r="S950">
        <v>24</v>
      </c>
      <c r="T950" t="s">
        <v>63</v>
      </c>
      <c r="U950" t="s">
        <v>63</v>
      </c>
      <c r="V950">
        <v>2026</v>
      </c>
      <c r="W950">
        <v>7</v>
      </c>
      <c r="X950" t="s">
        <v>1422</v>
      </c>
      <c r="Y950" s="6">
        <v>46204</v>
      </c>
      <c r="Z950" t="s">
        <v>1413</v>
      </c>
      <c r="AA950" t="s">
        <v>31</v>
      </c>
      <c r="AB950" t="s">
        <v>63</v>
      </c>
      <c r="AC950" t="s">
        <v>23</v>
      </c>
      <c r="AD950">
        <v>1</v>
      </c>
      <c r="AE950">
        <v>0</v>
      </c>
      <c r="AF950">
        <v>1</v>
      </c>
      <c r="AG950">
        <v>0</v>
      </c>
      <c r="AH950">
        <v>0</v>
      </c>
      <c r="AI950">
        <v>1</v>
      </c>
      <c r="AJ950">
        <v>1</v>
      </c>
    </row>
    <row r="951" spans="1:36">
      <c r="A951" t="s">
        <v>1123</v>
      </c>
      <c r="B951">
        <v>42.84</v>
      </c>
      <c r="C951" s="7">
        <v>46059.106944444444</v>
      </c>
      <c r="D951" s="7">
        <v>46060.892093587965</v>
      </c>
      <c r="E951" t="s">
        <v>23</v>
      </c>
      <c r="F951" t="s">
        <v>33</v>
      </c>
      <c r="G951" t="s">
        <v>25</v>
      </c>
      <c r="H951" t="s">
        <v>34</v>
      </c>
      <c r="I951" t="s">
        <v>27</v>
      </c>
      <c r="J951" t="s">
        <v>36</v>
      </c>
      <c r="K951" t="s">
        <v>37</v>
      </c>
      <c r="L951" t="s">
        <v>44</v>
      </c>
      <c r="M951">
        <v>234</v>
      </c>
      <c r="N951">
        <v>3</v>
      </c>
      <c r="O951">
        <v>0</v>
      </c>
      <c r="P951">
        <v>5</v>
      </c>
      <c r="Q951" t="s">
        <v>31</v>
      </c>
      <c r="R951">
        <v>240</v>
      </c>
      <c r="S951">
        <v>48</v>
      </c>
      <c r="T951" t="s">
        <v>63</v>
      </c>
      <c r="U951" t="s">
        <v>63</v>
      </c>
      <c r="V951">
        <v>2026</v>
      </c>
      <c r="W951">
        <v>2</v>
      </c>
      <c r="X951" t="s">
        <v>1419</v>
      </c>
      <c r="Y951" s="6">
        <v>46054</v>
      </c>
      <c r="Z951" t="s">
        <v>1418</v>
      </c>
      <c r="AA951" t="s">
        <v>31</v>
      </c>
      <c r="AB951" t="s">
        <v>63</v>
      </c>
      <c r="AC951" t="s">
        <v>23</v>
      </c>
      <c r="AD951">
        <v>1</v>
      </c>
      <c r="AE951">
        <v>0</v>
      </c>
      <c r="AF951">
        <v>1</v>
      </c>
      <c r="AG951">
        <v>0</v>
      </c>
      <c r="AH951">
        <v>0</v>
      </c>
      <c r="AI951">
        <v>1</v>
      </c>
      <c r="AJ951">
        <v>1</v>
      </c>
    </row>
    <row r="952" spans="1:36">
      <c r="A952" t="s">
        <v>1124</v>
      </c>
      <c r="B952">
        <v>59.98</v>
      </c>
      <c r="C952" s="7">
        <v>46166.884722222225</v>
      </c>
      <c r="D952" s="7">
        <v>46169.383729594905</v>
      </c>
      <c r="E952" t="s">
        <v>23</v>
      </c>
      <c r="F952" t="s">
        <v>33</v>
      </c>
      <c r="G952" t="s">
        <v>41</v>
      </c>
      <c r="H952" t="s">
        <v>75</v>
      </c>
      <c r="I952" t="s">
        <v>27</v>
      </c>
      <c r="J952" t="s">
        <v>36</v>
      </c>
      <c r="K952" t="s">
        <v>58</v>
      </c>
      <c r="L952" t="s">
        <v>44</v>
      </c>
      <c r="M952">
        <v>325</v>
      </c>
      <c r="N952">
        <v>3</v>
      </c>
      <c r="O952">
        <v>0</v>
      </c>
      <c r="P952">
        <v>6</v>
      </c>
      <c r="Q952" t="s">
        <v>31</v>
      </c>
      <c r="R952">
        <v>240</v>
      </c>
      <c r="S952">
        <v>48</v>
      </c>
      <c r="T952" t="s">
        <v>31</v>
      </c>
      <c r="U952" t="s">
        <v>31</v>
      </c>
      <c r="V952">
        <v>2026</v>
      </c>
      <c r="W952">
        <v>5</v>
      </c>
      <c r="X952" t="s">
        <v>1416</v>
      </c>
      <c r="Y952" s="6">
        <v>46143</v>
      </c>
      <c r="Z952" t="s">
        <v>1418</v>
      </c>
      <c r="AA952" t="s">
        <v>31</v>
      </c>
      <c r="AB952" t="s">
        <v>63</v>
      </c>
      <c r="AC952" t="s">
        <v>23</v>
      </c>
      <c r="AD952">
        <v>1</v>
      </c>
      <c r="AE952">
        <v>0</v>
      </c>
      <c r="AF952">
        <v>1</v>
      </c>
      <c r="AG952">
        <v>0</v>
      </c>
      <c r="AH952">
        <v>0</v>
      </c>
      <c r="AI952">
        <v>0</v>
      </c>
      <c r="AJ952">
        <v>0</v>
      </c>
    </row>
    <row r="953" spans="1:36">
      <c r="A953" t="s">
        <v>1125</v>
      </c>
      <c r="B953">
        <v>51.29</v>
      </c>
      <c r="C953" s="7">
        <v>46184.664583333331</v>
      </c>
      <c r="D953" s="7">
        <v>46186.801655740739</v>
      </c>
      <c r="E953" t="s">
        <v>23</v>
      </c>
      <c r="F953" t="s">
        <v>50</v>
      </c>
      <c r="G953" t="s">
        <v>25</v>
      </c>
      <c r="H953" t="s">
        <v>26</v>
      </c>
      <c r="I953" t="s">
        <v>42</v>
      </c>
      <c r="J953" t="s">
        <v>48</v>
      </c>
      <c r="K953" t="s">
        <v>58</v>
      </c>
      <c r="L953" t="s">
        <v>71</v>
      </c>
      <c r="M953">
        <v>72</v>
      </c>
      <c r="N953">
        <v>3</v>
      </c>
      <c r="O953">
        <v>1</v>
      </c>
      <c r="P953">
        <v>8</v>
      </c>
      <c r="Q953" t="s">
        <v>31</v>
      </c>
      <c r="R953">
        <v>120</v>
      </c>
      <c r="S953">
        <v>24</v>
      </c>
      <c r="T953" t="s">
        <v>63</v>
      </c>
      <c r="U953" t="s">
        <v>31</v>
      </c>
      <c r="V953">
        <v>2026</v>
      </c>
      <c r="W953">
        <v>6</v>
      </c>
      <c r="X953" t="s">
        <v>1421</v>
      </c>
      <c r="Y953" s="6">
        <v>46174</v>
      </c>
      <c r="Z953" t="s">
        <v>1418</v>
      </c>
      <c r="AA953" t="s">
        <v>63</v>
      </c>
      <c r="AB953" t="s">
        <v>63</v>
      </c>
      <c r="AC953" t="s">
        <v>23</v>
      </c>
      <c r="AD953">
        <v>1</v>
      </c>
      <c r="AE953">
        <v>0</v>
      </c>
      <c r="AF953">
        <v>1</v>
      </c>
      <c r="AG953">
        <v>1</v>
      </c>
      <c r="AH953">
        <v>0</v>
      </c>
      <c r="AI953">
        <v>1</v>
      </c>
      <c r="AJ953">
        <v>0</v>
      </c>
    </row>
    <row r="954" spans="1:36">
      <c r="A954" t="s">
        <v>1126</v>
      </c>
      <c r="B954">
        <v>19.760000000000002</v>
      </c>
      <c r="C954" s="7">
        <v>46226.469444444447</v>
      </c>
      <c r="D954" s="7">
        <v>46227.292670300929</v>
      </c>
      <c r="E954" t="s">
        <v>23</v>
      </c>
      <c r="F954" t="s">
        <v>50</v>
      </c>
      <c r="G954" t="s">
        <v>41</v>
      </c>
      <c r="H954" t="s">
        <v>26</v>
      </c>
      <c r="I954" t="s">
        <v>27</v>
      </c>
      <c r="J954" t="s">
        <v>28</v>
      </c>
      <c r="K954" t="s">
        <v>52</v>
      </c>
      <c r="L954" t="s">
        <v>85</v>
      </c>
      <c r="M954">
        <v>50</v>
      </c>
      <c r="N954">
        <v>4</v>
      </c>
      <c r="O954">
        <v>1</v>
      </c>
      <c r="P954">
        <v>10</v>
      </c>
      <c r="Q954" t="s">
        <v>31</v>
      </c>
      <c r="R954">
        <v>120</v>
      </c>
      <c r="S954">
        <v>24</v>
      </c>
      <c r="T954" t="s">
        <v>63</v>
      </c>
      <c r="U954" t="s">
        <v>63</v>
      </c>
      <c r="V954">
        <v>2026</v>
      </c>
      <c r="W954">
        <v>7</v>
      </c>
      <c r="X954" t="s">
        <v>1422</v>
      </c>
      <c r="Y954" s="6">
        <v>46204</v>
      </c>
      <c r="Z954" t="s">
        <v>1413</v>
      </c>
      <c r="AA954" t="s">
        <v>63</v>
      </c>
      <c r="AB954" t="s">
        <v>63</v>
      </c>
      <c r="AC954" t="s">
        <v>23</v>
      </c>
      <c r="AD954">
        <v>1</v>
      </c>
      <c r="AE954">
        <v>0</v>
      </c>
      <c r="AF954">
        <v>1</v>
      </c>
      <c r="AG954">
        <v>1</v>
      </c>
      <c r="AH954">
        <v>0</v>
      </c>
      <c r="AI954">
        <v>1</v>
      </c>
      <c r="AJ954">
        <v>1</v>
      </c>
    </row>
    <row r="955" spans="1:36">
      <c r="A955" t="s">
        <v>1127</v>
      </c>
      <c r="C955" s="7">
        <v>46145.05972222222</v>
      </c>
      <c r="D955" s="7"/>
      <c r="E955" t="s">
        <v>74</v>
      </c>
      <c r="F955" t="s">
        <v>33</v>
      </c>
      <c r="G955" t="s">
        <v>51</v>
      </c>
      <c r="H955" t="s">
        <v>54</v>
      </c>
      <c r="I955" t="s">
        <v>27</v>
      </c>
      <c r="J955" t="s">
        <v>28</v>
      </c>
      <c r="K955" t="s">
        <v>29</v>
      </c>
      <c r="L955" t="s">
        <v>55</v>
      </c>
      <c r="M955">
        <v>614</v>
      </c>
      <c r="O955">
        <v>0</v>
      </c>
      <c r="P955">
        <v>6</v>
      </c>
      <c r="Q955" t="s">
        <v>31</v>
      </c>
      <c r="R955">
        <v>240</v>
      </c>
      <c r="S955">
        <v>48</v>
      </c>
      <c r="T955" t="s">
        <v>31</v>
      </c>
      <c r="U955" t="s">
        <v>74</v>
      </c>
      <c r="V955">
        <v>2026</v>
      </c>
      <c r="W955">
        <v>5</v>
      </c>
      <c r="X955" t="s">
        <v>1416</v>
      </c>
      <c r="Y955" s="6">
        <v>46143</v>
      </c>
      <c r="Z955" t="s">
        <v>1420</v>
      </c>
      <c r="AA955" t="s">
        <v>31</v>
      </c>
      <c r="AB955" t="s">
        <v>31</v>
      </c>
      <c r="AC955" t="s">
        <v>74</v>
      </c>
      <c r="AD955">
        <v>1</v>
      </c>
      <c r="AE955">
        <v>1</v>
      </c>
      <c r="AF955">
        <v>0</v>
      </c>
      <c r="AG955">
        <v>0</v>
      </c>
      <c r="AH955">
        <v>0</v>
      </c>
      <c r="AI955">
        <v>0</v>
      </c>
    </row>
    <row r="956" spans="1:36">
      <c r="A956" t="s">
        <v>1128</v>
      </c>
      <c r="B956">
        <v>20.32</v>
      </c>
      <c r="C956" s="7">
        <v>46178.11041666667</v>
      </c>
      <c r="D956" s="7">
        <v>46178.956944444442</v>
      </c>
      <c r="E956" t="s">
        <v>23</v>
      </c>
      <c r="F956" t="s">
        <v>40</v>
      </c>
      <c r="G956" t="s">
        <v>41</v>
      </c>
      <c r="H956" t="s">
        <v>34</v>
      </c>
      <c r="I956" t="s">
        <v>27</v>
      </c>
      <c r="J956" t="s">
        <v>28</v>
      </c>
      <c r="K956" t="s">
        <v>76</v>
      </c>
      <c r="L956" t="s">
        <v>85</v>
      </c>
      <c r="M956">
        <v>31</v>
      </c>
      <c r="N956">
        <v>4</v>
      </c>
      <c r="O956">
        <v>0</v>
      </c>
      <c r="P956">
        <v>3</v>
      </c>
      <c r="Q956" t="s">
        <v>31</v>
      </c>
      <c r="R956">
        <v>30</v>
      </c>
      <c r="S956">
        <v>8</v>
      </c>
      <c r="T956" t="s">
        <v>31</v>
      </c>
      <c r="U956" t="s">
        <v>31</v>
      </c>
      <c r="V956">
        <v>2026</v>
      </c>
      <c r="W956">
        <v>6</v>
      </c>
      <c r="X956" t="s">
        <v>1421</v>
      </c>
      <c r="Y956" s="6">
        <v>46174</v>
      </c>
      <c r="Z956" t="s">
        <v>1413</v>
      </c>
      <c r="AA956" t="s">
        <v>31</v>
      </c>
      <c r="AB956" t="s">
        <v>63</v>
      </c>
      <c r="AC956" t="s">
        <v>23</v>
      </c>
      <c r="AD956">
        <v>1</v>
      </c>
      <c r="AE956">
        <v>0</v>
      </c>
      <c r="AF956">
        <v>1</v>
      </c>
      <c r="AG956">
        <v>0</v>
      </c>
      <c r="AH956">
        <v>0</v>
      </c>
      <c r="AI956">
        <v>0</v>
      </c>
      <c r="AJ956">
        <v>0</v>
      </c>
    </row>
    <row r="957" spans="1:36">
      <c r="A957" t="s">
        <v>1130</v>
      </c>
      <c r="B957">
        <v>103.73</v>
      </c>
      <c r="C957" s="7">
        <v>46079.789583333331</v>
      </c>
      <c r="D957" s="7">
        <v>46084.111744224538</v>
      </c>
      <c r="E957" t="s">
        <v>23</v>
      </c>
      <c r="F957" t="s">
        <v>33</v>
      </c>
      <c r="G957" t="s">
        <v>51</v>
      </c>
      <c r="H957" t="s">
        <v>26</v>
      </c>
      <c r="I957" t="s">
        <v>42</v>
      </c>
      <c r="J957" t="s">
        <v>28</v>
      </c>
      <c r="K957" t="s">
        <v>76</v>
      </c>
      <c r="L957" t="s">
        <v>93</v>
      </c>
      <c r="M957">
        <v>179</v>
      </c>
      <c r="N957">
        <v>3</v>
      </c>
      <c r="O957">
        <v>0</v>
      </c>
      <c r="P957">
        <v>10</v>
      </c>
      <c r="Q957" t="s">
        <v>63</v>
      </c>
      <c r="R957">
        <v>240</v>
      </c>
      <c r="S957">
        <v>48</v>
      </c>
      <c r="T957" t="s">
        <v>63</v>
      </c>
      <c r="U957" t="s">
        <v>31</v>
      </c>
      <c r="V957">
        <v>2026</v>
      </c>
      <c r="W957">
        <v>2</v>
      </c>
      <c r="X957" t="s">
        <v>1419</v>
      </c>
      <c r="Y957" s="6">
        <v>46054</v>
      </c>
      <c r="Z957" t="s">
        <v>1418</v>
      </c>
      <c r="AA957" t="s">
        <v>31</v>
      </c>
      <c r="AB957" t="s">
        <v>63</v>
      </c>
      <c r="AC957" t="s">
        <v>23</v>
      </c>
      <c r="AD957">
        <v>1</v>
      </c>
      <c r="AE957">
        <v>0</v>
      </c>
      <c r="AF957">
        <v>1</v>
      </c>
      <c r="AG957">
        <v>0</v>
      </c>
      <c r="AH957">
        <v>1</v>
      </c>
      <c r="AI957">
        <v>1</v>
      </c>
      <c r="AJ957">
        <v>0</v>
      </c>
    </row>
    <row r="958" spans="1:36">
      <c r="A958" t="s">
        <v>1131</v>
      </c>
      <c r="B958">
        <v>10.15</v>
      </c>
      <c r="C958" s="7">
        <v>46210.214583333334</v>
      </c>
      <c r="D958" s="7">
        <v>46210.637632893522</v>
      </c>
      <c r="E958" t="s">
        <v>23</v>
      </c>
      <c r="F958" t="s">
        <v>40</v>
      </c>
      <c r="G958" t="s">
        <v>51</v>
      </c>
      <c r="H958" t="s">
        <v>34</v>
      </c>
      <c r="I958" t="s">
        <v>35</v>
      </c>
      <c r="J958" t="s">
        <v>43</v>
      </c>
      <c r="K958" t="s">
        <v>37</v>
      </c>
      <c r="L958" t="s">
        <v>68</v>
      </c>
      <c r="M958">
        <v>126</v>
      </c>
      <c r="N958">
        <v>3</v>
      </c>
      <c r="O958">
        <v>0</v>
      </c>
      <c r="P958">
        <v>8</v>
      </c>
      <c r="Q958" t="s">
        <v>63</v>
      </c>
      <c r="R958">
        <v>30</v>
      </c>
      <c r="S958">
        <v>8</v>
      </c>
      <c r="T958" t="s">
        <v>31</v>
      </c>
      <c r="U958" t="s">
        <v>31</v>
      </c>
      <c r="V958">
        <v>2026</v>
      </c>
      <c r="W958">
        <v>7</v>
      </c>
      <c r="X958" t="s">
        <v>1422</v>
      </c>
      <c r="Y958" s="6">
        <v>46204</v>
      </c>
      <c r="Z958" t="s">
        <v>1418</v>
      </c>
      <c r="AA958" t="s">
        <v>31</v>
      </c>
      <c r="AB958" t="s">
        <v>63</v>
      </c>
      <c r="AC958" t="s">
        <v>23</v>
      </c>
      <c r="AD958">
        <v>1</v>
      </c>
      <c r="AE958">
        <v>0</v>
      </c>
      <c r="AF958">
        <v>1</v>
      </c>
      <c r="AG958">
        <v>0</v>
      </c>
      <c r="AH958">
        <v>1</v>
      </c>
      <c r="AI958">
        <v>0</v>
      </c>
      <c r="AJ958">
        <v>0</v>
      </c>
    </row>
    <row r="959" spans="1:36">
      <c r="A959" t="s">
        <v>1132</v>
      </c>
      <c r="B959">
        <v>18.82</v>
      </c>
      <c r="C959" s="7">
        <v>46213.787499999999</v>
      </c>
      <c r="D959" s="7">
        <v>46214.57171300926</v>
      </c>
      <c r="E959" t="s">
        <v>23</v>
      </c>
      <c r="F959" t="s">
        <v>50</v>
      </c>
      <c r="G959" t="s">
        <v>51</v>
      </c>
      <c r="H959" t="s">
        <v>66</v>
      </c>
      <c r="I959" t="s">
        <v>42</v>
      </c>
      <c r="J959" t="s">
        <v>43</v>
      </c>
      <c r="K959" t="s">
        <v>37</v>
      </c>
      <c r="L959" t="s">
        <v>85</v>
      </c>
      <c r="M959">
        <v>58</v>
      </c>
      <c r="N959">
        <v>3</v>
      </c>
      <c r="O959">
        <v>3</v>
      </c>
      <c r="P959">
        <v>14</v>
      </c>
      <c r="Q959" t="s">
        <v>31</v>
      </c>
      <c r="R959">
        <v>120</v>
      </c>
      <c r="S959">
        <v>24</v>
      </c>
      <c r="T959" t="s">
        <v>63</v>
      </c>
      <c r="U959" t="s">
        <v>63</v>
      </c>
      <c r="V959">
        <v>2026</v>
      </c>
      <c r="W959">
        <v>7</v>
      </c>
      <c r="X959" t="s">
        <v>1422</v>
      </c>
      <c r="Y959" s="6">
        <v>46204</v>
      </c>
      <c r="Z959" t="s">
        <v>1418</v>
      </c>
      <c r="AA959" t="s">
        <v>63</v>
      </c>
      <c r="AB959" t="s">
        <v>63</v>
      </c>
      <c r="AC959" t="s">
        <v>23</v>
      </c>
      <c r="AD959">
        <v>1</v>
      </c>
      <c r="AE959">
        <v>0</v>
      </c>
      <c r="AF959">
        <v>1</v>
      </c>
      <c r="AG959">
        <v>1</v>
      </c>
      <c r="AH959">
        <v>0</v>
      </c>
      <c r="AI959">
        <v>1</v>
      </c>
      <c r="AJ959">
        <v>1</v>
      </c>
    </row>
    <row r="960" spans="1:36">
      <c r="A960" t="s">
        <v>1133</v>
      </c>
      <c r="B960">
        <v>18.5</v>
      </c>
      <c r="C960" s="7">
        <v>46222.152083333334</v>
      </c>
      <c r="D960" s="7">
        <v>46222.922857557867</v>
      </c>
      <c r="E960" t="s">
        <v>23</v>
      </c>
      <c r="F960" t="s">
        <v>50</v>
      </c>
      <c r="G960" t="s">
        <v>25</v>
      </c>
      <c r="H960" t="s">
        <v>26</v>
      </c>
      <c r="I960" t="s">
        <v>42</v>
      </c>
      <c r="J960" t="s">
        <v>28</v>
      </c>
      <c r="K960" t="s">
        <v>67</v>
      </c>
      <c r="L960" t="s">
        <v>68</v>
      </c>
      <c r="M960">
        <v>65</v>
      </c>
      <c r="N960">
        <v>4</v>
      </c>
      <c r="O960">
        <v>0</v>
      </c>
      <c r="P960">
        <v>5</v>
      </c>
      <c r="Q960" t="s">
        <v>31</v>
      </c>
      <c r="R960">
        <v>120</v>
      </c>
      <c r="S960">
        <v>24</v>
      </c>
      <c r="T960" t="s">
        <v>63</v>
      </c>
      <c r="U960" t="s">
        <v>63</v>
      </c>
      <c r="V960">
        <v>2026</v>
      </c>
      <c r="W960">
        <v>7</v>
      </c>
      <c r="X960" t="s">
        <v>1422</v>
      </c>
      <c r="Y960" s="6">
        <v>46204</v>
      </c>
      <c r="Z960" t="s">
        <v>1413</v>
      </c>
      <c r="AA960" t="s">
        <v>31</v>
      </c>
      <c r="AB960" t="s">
        <v>63</v>
      </c>
      <c r="AC960" t="s">
        <v>23</v>
      </c>
      <c r="AD960">
        <v>1</v>
      </c>
      <c r="AE960">
        <v>0</v>
      </c>
      <c r="AF960">
        <v>1</v>
      </c>
      <c r="AG960">
        <v>0</v>
      </c>
      <c r="AH960">
        <v>0</v>
      </c>
      <c r="AI960">
        <v>1</v>
      </c>
      <c r="AJ960">
        <v>1</v>
      </c>
    </row>
    <row r="961" spans="1:36">
      <c r="A961" t="s">
        <v>1134</v>
      </c>
      <c r="B961">
        <v>33.299999999999997</v>
      </c>
      <c r="C961" s="7">
        <v>46200.18472222222</v>
      </c>
      <c r="D961" s="7">
        <v>46201.572077314813</v>
      </c>
      <c r="E961" t="s">
        <v>23</v>
      </c>
      <c r="F961" t="s">
        <v>50</v>
      </c>
      <c r="G961" t="s">
        <v>41</v>
      </c>
      <c r="H961" t="s">
        <v>26</v>
      </c>
      <c r="I961" t="s">
        <v>27</v>
      </c>
      <c r="J961" t="s">
        <v>28</v>
      </c>
      <c r="K961" t="s">
        <v>58</v>
      </c>
      <c r="L961" t="s">
        <v>62</v>
      </c>
      <c r="M961">
        <v>461</v>
      </c>
      <c r="N961">
        <v>3</v>
      </c>
      <c r="O961">
        <v>0</v>
      </c>
      <c r="P961">
        <v>2</v>
      </c>
      <c r="Q961" t="s">
        <v>31</v>
      </c>
      <c r="R961">
        <v>120</v>
      </c>
      <c r="S961">
        <v>24</v>
      </c>
      <c r="T961" t="s">
        <v>31</v>
      </c>
      <c r="U961" t="s">
        <v>31</v>
      </c>
      <c r="V961">
        <v>2026</v>
      </c>
      <c r="W961">
        <v>6</v>
      </c>
      <c r="X961" t="s">
        <v>1421</v>
      </c>
      <c r="Y961" s="6">
        <v>46174</v>
      </c>
      <c r="Z961" t="s">
        <v>1418</v>
      </c>
      <c r="AA961" t="s">
        <v>31</v>
      </c>
      <c r="AB961" t="s">
        <v>63</v>
      </c>
      <c r="AC961" t="s">
        <v>23</v>
      </c>
      <c r="AD961">
        <v>1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</row>
    <row r="962" spans="1:36">
      <c r="A962" t="s">
        <v>1135</v>
      </c>
      <c r="B962">
        <v>39.24</v>
      </c>
      <c r="C962" s="7">
        <v>46154.025000000001</v>
      </c>
      <c r="D962" s="7">
        <v>46155.660097719905</v>
      </c>
      <c r="E962" t="s">
        <v>23</v>
      </c>
      <c r="F962" t="s">
        <v>33</v>
      </c>
      <c r="G962" t="s">
        <v>41</v>
      </c>
      <c r="H962" t="s">
        <v>26</v>
      </c>
      <c r="I962" t="s">
        <v>35</v>
      </c>
      <c r="J962" t="s">
        <v>28</v>
      </c>
      <c r="K962" t="s">
        <v>37</v>
      </c>
      <c r="L962" t="s">
        <v>62</v>
      </c>
      <c r="M962">
        <v>231</v>
      </c>
      <c r="N962">
        <v>3</v>
      </c>
      <c r="O962">
        <v>1</v>
      </c>
      <c r="P962">
        <v>7</v>
      </c>
      <c r="Q962" t="s">
        <v>31</v>
      </c>
      <c r="R962">
        <v>240</v>
      </c>
      <c r="S962">
        <v>48</v>
      </c>
      <c r="T962" t="s">
        <v>63</v>
      </c>
      <c r="U962" t="s">
        <v>63</v>
      </c>
      <c r="V962">
        <v>2026</v>
      </c>
      <c r="W962">
        <v>5</v>
      </c>
      <c r="X962" t="s">
        <v>1416</v>
      </c>
      <c r="Y962" s="6">
        <v>46143</v>
      </c>
      <c r="Z962" t="s">
        <v>1418</v>
      </c>
      <c r="AA962" t="s">
        <v>63</v>
      </c>
      <c r="AB962" t="s">
        <v>63</v>
      </c>
      <c r="AC962" t="s">
        <v>23</v>
      </c>
      <c r="AD962">
        <v>1</v>
      </c>
      <c r="AE962">
        <v>0</v>
      </c>
      <c r="AF962">
        <v>1</v>
      </c>
      <c r="AG962">
        <v>1</v>
      </c>
      <c r="AH962">
        <v>0</v>
      </c>
      <c r="AI962">
        <v>1</v>
      </c>
      <c r="AJ962">
        <v>1</v>
      </c>
    </row>
    <row r="963" spans="1:36">
      <c r="A963" t="s">
        <v>1137</v>
      </c>
      <c r="B963">
        <v>16.649999999999999</v>
      </c>
      <c r="C963" s="7">
        <v>46154.613888888889</v>
      </c>
      <c r="D963" s="7">
        <v>46155.307709351851</v>
      </c>
      <c r="E963" t="s">
        <v>23</v>
      </c>
      <c r="F963" t="s">
        <v>50</v>
      </c>
      <c r="G963" t="s">
        <v>51</v>
      </c>
      <c r="H963" t="s">
        <v>26</v>
      </c>
      <c r="I963" t="s">
        <v>35</v>
      </c>
      <c r="J963" t="s">
        <v>48</v>
      </c>
      <c r="K963" t="s">
        <v>37</v>
      </c>
      <c r="L963" t="s">
        <v>85</v>
      </c>
      <c r="M963">
        <v>67</v>
      </c>
      <c r="N963">
        <v>4</v>
      </c>
      <c r="O963">
        <v>0</v>
      </c>
      <c r="P963">
        <v>7</v>
      </c>
      <c r="Q963" t="s">
        <v>31</v>
      </c>
      <c r="R963">
        <v>120</v>
      </c>
      <c r="S963">
        <v>24</v>
      </c>
      <c r="T963" t="s">
        <v>63</v>
      </c>
      <c r="U963" t="s">
        <v>63</v>
      </c>
      <c r="V963">
        <v>2026</v>
      </c>
      <c r="W963">
        <v>5</v>
      </c>
      <c r="X963" t="s">
        <v>1416</v>
      </c>
      <c r="Y963" s="6">
        <v>46143</v>
      </c>
      <c r="Z963" t="s">
        <v>1413</v>
      </c>
      <c r="AA963" t="s">
        <v>31</v>
      </c>
      <c r="AB963" t="s">
        <v>63</v>
      </c>
      <c r="AC963" t="s">
        <v>23</v>
      </c>
      <c r="AD963">
        <v>1</v>
      </c>
      <c r="AE963">
        <v>0</v>
      </c>
      <c r="AF963">
        <v>1</v>
      </c>
      <c r="AG963">
        <v>0</v>
      </c>
      <c r="AH963">
        <v>0</v>
      </c>
      <c r="AI963">
        <v>1</v>
      </c>
      <c r="AJ963">
        <v>1</v>
      </c>
    </row>
    <row r="964" spans="1:36">
      <c r="A964" t="s">
        <v>1138</v>
      </c>
      <c r="B964">
        <v>13.45</v>
      </c>
      <c r="C964" s="7">
        <v>46224.543749999997</v>
      </c>
      <c r="D964" s="7">
        <v>46225.104289467592</v>
      </c>
      <c r="E964" t="s">
        <v>23</v>
      </c>
      <c r="F964" t="s">
        <v>40</v>
      </c>
      <c r="G964" t="s">
        <v>51</v>
      </c>
      <c r="H964" t="s">
        <v>54</v>
      </c>
      <c r="I964" t="s">
        <v>42</v>
      </c>
      <c r="J964" t="s">
        <v>28</v>
      </c>
      <c r="K964" t="s">
        <v>58</v>
      </c>
      <c r="L964" t="s">
        <v>85</v>
      </c>
      <c r="M964">
        <v>69</v>
      </c>
      <c r="N964">
        <v>4</v>
      </c>
      <c r="O964">
        <v>0</v>
      </c>
      <c r="P964">
        <v>2</v>
      </c>
      <c r="Q964" t="s">
        <v>31</v>
      </c>
      <c r="R964">
        <v>30</v>
      </c>
      <c r="S964">
        <v>8</v>
      </c>
      <c r="T964" t="s">
        <v>31</v>
      </c>
      <c r="U964" t="s">
        <v>31</v>
      </c>
      <c r="V964">
        <v>2026</v>
      </c>
      <c r="W964">
        <v>7</v>
      </c>
      <c r="X964" t="s">
        <v>1422</v>
      </c>
      <c r="Y964" s="6">
        <v>46204</v>
      </c>
      <c r="Z964" t="s">
        <v>1413</v>
      </c>
      <c r="AA964" t="s">
        <v>31</v>
      </c>
      <c r="AB964" t="s">
        <v>63</v>
      </c>
      <c r="AC964" t="s">
        <v>23</v>
      </c>
      <c r="AD964">
        <v>1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</row>
    <row r="965" spans="1:36">
      <c r="A965" t="s">
        <v>1140</v>
      </c>
      <c r="B965">
        <v>44.4</v>
      </c>
      <c r="C965" s="7">
        <v>46082.786111111112</v>
      </c>
      <c r="D965" s="7">
        <v>46084.636070659719</v>
      </c>
      <c r="E965" t="s">
        <v>23</v>
      </c>
      <c r="F965" t="s">
        <v>33</v>
      </c>
      <c r="G965" t="s">
        <v>51</v>
      </c>
      <c r="H965" t="s">
        <v>34</v>
      </c>
      <c r="I965" t="s">
        <v>27</v>
      </c>
      <c r="J965" t="s">
        <v>36</v>
      </c>
      <c r="K965" t="s">
        <v>76</v>
      </c>
      <c r="L965" t="s">
        <v>101</v>
      </c>
      <c r="M965">
        <v>89</v>
      </c>
      <c r="N965">
        <v>4</v>
      </c>
      <c r="O965">
        <v>0</v>
      </c>
      <c r="P965">
        <v>4</v>
      </c>
      <c r="Q965" t="s">
        <v>31</v>
      </c>
      <c r="R965">
        <v>240</v>
      </c>
      <c r="S965">
        <v>48</v>
      </c>
      <c r="T965" t="s">
        <v>63</v>
      </c>
      <c r="U965" t="s">
        <v>63</v>
      </c>
      <c r="V965">
        <v>2026</v>
      </c>
      <c r="W965">
        <v>3</v>
      </c>
      <c r="X965" t="s">
        <v>1423</v>
      </c>
      <c r="Y965" s="6">
        <v>46082</v>
      </c>
      <c r="Z965" t="s">
        <v>1413</v>
      </c>
      <c r="AA965" t="s">
        <v>31</v>
      </c>
      <c r="AB965" t="s">
        <v>63</v>
      </c>
      <c r="AC965" t="s">
        <v>23</v>
      </c>
      <c r="AD965">
        <v>1</v>
      </c>
      <c r="AE965">
        <v>0</v>
      </c>
      <c r="AF965">
        <v>1</v>
      </c>
      <c r="AG965">
        <v>0</v>
      </c>
      <c r="AH965">
        <v>0</v>
      </c>
      <c r="AI965">
        <v>1</v>
      </c>
      <c r="AJ965">
        <v>1</v>
      </c>
    </row>
    <row r="966" spans="1:36">
      <c r="A966" t="s">
        <v>1141</v>
      </c>
      <c r="B966">
        <v>26.82</v>
      </c>
      <c r="C966" s="7">
        <v>46125.352777777778</v>
      </c>
      <c r="D966" s="7">
        <v>46126.470189953703</v>
      </c>
      <c r="E966" t="s">
        <v>23</v>
      </c>
      <c r="F966" t="s">
        <v>50</v>
      </c>
      <c r="G966" t="s">
        <v>65</v>
      </c>
      <c r="H966" t="s">
        <v>75</v>
      </c>
      <c r="I966" t="s">
        <v>35</v>
      </c>
      <c r="J966" t="s">
        <v>43</v>
      </c>
      <c r="K966" t="s">
        <v>76</v>
      </c>
      <c r="L966" t="s">
        <v>68</v>
      </c>
      <c r="M966">
        <v>89</v>
      </c>
      <c r="N966">
        <v>4</v>
      </c>
      <c r="O966">
        <v>0</v>
      </c>
      <c r="P966">
        <v>3</v>
      </c>
      <c r="Q966" t="s">
        <v>31</v>
      </c>
      <c r="R966">
        <v>120</v>
      </c>
      <c r="S966">
        <v>24</v>
      </c>
      <c r="T966" t="s">
        <v>63</v>
      </c>
      <c r="U966" t="s">
        <v>31</v>
      </c>
      <c r="V966">
        <v>2026</v>
      </c>
      <c r="W966">
        <v>4</v>
      </c>
      <c r="X966" t="s">
        <v>1412</v>
      </c>
      <c r="Y966" s="6">
        <v>46113</v>
      </c>
      <c r="Z966" t="s">
        <v>1413</v>
      </c>
      <c r="AA966" t="s">
        <v>31</v>
      </c>
      <c r="AB966" t="s">
        <v>63</v>
      </c>
      <c r="AC966" t="s">
        <v>23</v>
      </c>
      <c r="AD966">
        <v>1</v>
      </c>
      <c r="AE966">
        <v>0</v>
      </c>
      <c r="AF966">
        <v>1</v>
      </c>
      <c r="AG966">
        <v>0</v>
      </c>
      <c r="AH966">
        <v>0</v>
      </c>
      <c r="AI966">
        <v>1</v>
      </c>
      <c r="AJ966">
        <v>0</v>
      </c>
    </row>
    <row r="967" spans="1:36">
      <c r="A967" t="s">
        <v>1142</v>
      </c>
      <c r="B967">
        <v>23.42</v>
      </c>
      <c r="C967" s="7">
        <v>46214.967361111114</v>
      </c>
      <c r="D967" s="7">
        <v>46215.943060810183</v>
      </c>
      <c r="E967" t="s">
        <v>23</v>
      </c>
      <c r="F967" t="s">
        <v>50</v>
      </c>
      <c r="G967" t="s">
        <v>65</v>
      </c>
      <c r="H967" t="s">
        <v>26</v>
      </c>
      <c r="I967" t="s">
        <v>35</v>
      </c>
      <c r="J967" t="s">
        <v>28</v>
      </c>
      <c r="K967" t="s">
        <v>67</v>
      </c>
      <c r="L967" t="s">
        <v>62</v>
      </c>
      <c r="M967">
        <v>89</v>
      </c>
      <c r="N967">
        <v>4</v>
      </c>
      <c r="O967">
        <v>0</v>
      </c>
      <c r="P967">
        <v>7</v>
      </c>
      <c r="Q967" t="s">
        <v>31</v>
      </c>
      <c r="R967">
        <v>120</v>
      </c>
      <c r="S967">
        <v>24</v>
      </c>
      <c r="T967" t="s">
        <v>63</v>
      </c>
      <c r="U967" t="s">
        <v>63</v>
      </c>
      <c r="V967">
        <v>2026</v>
      </c>
      <c r="W967">
        <v>7</v>
      </c>
      <c r="X967" t="s">
        <v>1422</v>
      </c>
      <c r="Y967" s="6">
        <v>46204</v>
      </c>
      <c r="Z967" t="s">
        <v>1413</v>
      </c>
      <c r="AA967" t="s">
        <v>31</v>
      </c>
      <c r="AB967" t="s">
        <v>63</v>
      </c>
      <c r="AC967" t="s">
        <v>23</v>
      </c>
      <c r="AD967">
        <v>1</v>
      </c>
      <c r="AE967">
        <v>0</v>
      </c>
      <c r="AF967">
        <v>1</v>
      </c>
      <c r="AG967">
        <v>0</v>
      </c>
      <c r="AH967">
        <v>0</v>
      </c>
      <c r="AI967">
        <v>1</v>
      </c>
      <c r="AJ967">
        <v>1</v>
      </c>
    </row>
    <row r="968" spans="1:36">
      <c r="A968" t="s">
        <v>1143</v>
      </c>
      <c r="B968">
        <v>23.66</v>
      </c>
      <c r="C968" s="7">
        <v>46046.04791666667</v>
      </c>
      <c r="D968" s="7">
        <v>46047.03393730324</v>
      </c>
      <c r="E968" t="s">
        <v>23</v>
      </c>
      <c r="F968" t="s">
        <v>50</v>
      </c>
      <c r="G968" t="s">
        <v>41</v>
      </c>
      <c r="H968" t="s">
        <v>54</v>
      </c>
      <c r="I968" t="s">
        <v>42</v>
      </c>
      <c r="J968" t="s">
        <v>48</v>
      </c>
      <c r="K968" t="s">
        <v>52</v>
      </c>
      <c r="L968" t="s">
        <v>30</v>
      </c>
      <c r="M968">
        <v>73</v>
      </c>
      <c r="N968">
        <v>4</v>
      </c>
      <c r="O968">
        <v>0</v>
      </c>
      <c r="P968">
        <v>2</v>
      </c>
      <c r="Q968" t="s">
        <v>31</v>
      </c>
      <c r="R968">
        <v>120</v>
      </c>
      <c r="S968">
        <v>24</v>
      </c>
      <c r="T968" t="s">
        <v>63</v>
      </c>
      <c r="U968" t="s">
        <v>63</v>
      </c>
      <c r="V968">
        <v>2026</v>
      </c>
      <c r="W968">
        <v>1</v>
      </c>
      <c r="X968" t="s">
        <v>1414</v>
      </c>
      <c r="Y968" s="6">
        <v>46023</v>
      </c>
      <c r="Z968" t="s">
        <v>1413</v>
      </c>
      <c r="AA968" t="s">
        <v>31</v>
      </c>
      <c r="AB968" t="s">
        <v>63</v>
      </c>
      <c r="AC968" t="s">
        <v>23</v>
      </c>
      <c r="AD968">
        <v>1</v>
      </c>
      <c r="AE968">
        <v>0</v>
      </c>
      <c r="AF968">
        <v>1</v>
      </c>
      <c r="AG968">
        <v>0</v>
      </c>
      <c r="AH968">
        <v>0</v>
      </c>
      <c r="AI968">
        <v>1</v>
      </c>
      <c r="AJ968">
        <v>1</v>
      </c>
    </row>
    <row r="969" spans="1:36">
      <c r="A969" t="s">
        <v>1144</v>
      </c>
      <c r="B969">
        <v>16.05</v>
      </c>
      <c r="C969" s="7">
        <v>46035.636111111111</v>
      </c>
      <c r="D969" s="7">
        <v>46036.304935972221</v>
      </c>
      <c r="E969" t="s">
        <v>23</v>
      </c>
      <c r="F969" t="s">
        <v>40</v>
      </c>
      <c r="G969" t="s">
        <v>65</v>
      </c>
      <c r="H969" t="s">
        <v>66</v>
      </c>
      <c r="I969" t="s">
        <v>35</v>
      </c>
      <c r="J969" t="s">
        <v>36</v>
      </c>
      <c r="K969" t="s">
        <v>37</v>
      </c>
      <c r="L969" t="s">
        <v>85</v>
      </c>
      <c r="M969">
        <v>78</v>
      </c>
      <c r="N969">
        <v>4</v>
      </c>
      <c r="O969">
        <v>0</v>
      </c>
      <c r="P969">
        <v>8</v>
      </c>
      <c r="Q969" t="s">
        <v>63</v>
      </c>
      <c r="R969">
        <v>30</v>
      </c>
      <c r="S969">
        <v>8</v>
      </c>
      <c r="T969" t="s">
        <v>31</v>
      </c>
      <c r="U969" t="s">
        <v>31</v>
      </c>
      <c r="V969">
        <v>2026</v>
      </c>
      <c r="W969">
        <v>1</v>
      </c>
      <c r="X969" t="s">
        <v>1414</v>
      </c>
      <c r="Y969" s="6">
        <v>46023</v>
      </c>
      <c r="Z969" t="s">
        <v>1413</v>
      </c>
      <c r="AA969" t="s">
        <v>31</v>
      </c>
      <c r="AB969" t="s">
        <v>63</v>
      </c>
      <c r="AC969" t="s">
        <v>23</v>
      </c>
      <c r="AD969">
        <v>1</v>
      </c>
      <c r="AE969">
        <v>0</v>
      </c>
      <c r="AF969">
        <v>1</v>
      </c>
      <c r="AG969">
        <v>0</v>
      </c>
      <c r="AH969">
        <v>1</v>
      </c>
      <c r="AI969">
        <v>0</v>
      </c>
      <c r="AJ969">
        <v>0</v>
      </c>
    </row>
    <row r="970" spans="1:36">
      <c r="A970" t="s">
        <v>1145</v>
      </c>
      <c r="B970">
        <v>45.88</v>
      </c>
      <c r="C970" s="7">
        <v>46041.054166666669</v>
      </c>
      <c r="D970" s="7">
        <v>46042.965725509261</v>
      </c>
      <c r="E970" t="s">
        <v>23</v>
      </c>
      <c r="F970" t="s">
        <v>33</v>
      </c>
      <c r="G970" t="s">
        <v>25</v>
      </c>
      <c r="H970" t="s">
        <v>26</v>
      </c>
      <c r="I970" t="s">
        <v>42</v>
      </c>
      <c r="J970" t="s">
        <v>28</v>
      </c>
      <c r="K970" t="s">
        <v>58</v>
      </c>
      <c r="L970" t="s">
        <v>55</v>
      </c>
      <c r="M970">
        <v>224</v>
      </c>
      <c r="N970">
        <v>3</v>
      </c>
      <c r="O970">
        <v>0</v>
      </c>
      <c r="P970">
        <v>3</v>
      </c>
      <c r="Q970" t="s">
        <v>31</v>
      </c>
      <c r="R970">
        <v>240</v>
      </c>
      <c r="S970">
        <v>48</v>
      </c>
      <c r="T970" t="s">
        <v>63</v>
      </c>
      <c r="U970" t="s">
        <v>63</v>
      </c>
      <c r="V970">
        <v>2026</v>
      </c>
      <c r="W970">
        <v>1</v>
      </c>
      <c r="X970" t="s">
        <v>1414</v>
      </c>
      <c r="Y970" s="6">
        <v>46023</v>
      </c>
      <c r="Z970" t="s">
        <v>1418</v>
      </c>
      <c r="AA970" t="s">
        <v>31</v>
      </c>
      <c r="AB970" t="s">
        <v>63</v>
      </c>
      <c r="AC970" t="s">
        <v>23</v>
      </c>
      <c r="AD970">
        <v>1</v>
      </c>
      <c r="AE970">
        <v>0</v>
      </c>
      <c r="AF970">
        <v>1</v>
      </c>
      <c r="AG970">
        <v>0</v>
      </c>
      <c r="AH970">
        <v>0</v>
      </c>
      <c r="AI970">
        <v>1</v>
      </c>
      <c r="AJ970">
        <v>1</v>
      </c>
    </row>
    <row r="971" spans="1:36">
      <c r="A971" t="s">
        <v>1146</v>
      </c>
      <c r="B971">
        <v>6.98</v>
      </c>
      <c r="C971" s="7">
        <v>46155.777083333334</v>
      </c>
      <c r="D971" s="7">
        <v>46156.067854062501</v>
      </c>
      <c r="E971" t="s">
        <v>23</v>
      </c>
      <c r="F971" t="s">
        <v>40</v>
      </c>
      <c r="G971" t="s">
        <v>25</v>
      </c>
      <c r="H971" t="s">
        <v>34</v>
      </c>
      <c r="I971" t="s">
        <v>27</v>
      </c>
      <c r="J971" t="s">
        <v>48</v>
      </c>
      <c r="K971" t="s">
        <v>52</v>
      </c>
      <c r="L971" t="s">
        <v>30</v>
      </c>
      <c r="M971">
        <v>49</v>
      </c>
      <c r="N971">
        <v>4</v>
      </c>
      <c r="O971">
        <v>0</v>
      </c>
      <c r="P971">
        <v>7</v>
      </c>
      <c r="Q971" t="s">
        <v>31</v>
      </c>
      <c r="R971">
        <v>30</v>
      </c>
      <c r="S971">
        <v>8</v>
      </c>
      <c r="T971" t="s">
        <v>31</v>
      </c>
      <c r="U971" t="s">
        <v>63</v>
      </c>
      <c r="V971">
        <v>2026</v>
      </c>
      <c r="W971">
        <v>5</v>
      </c>
      <c r="X971" t="s">
        <v>1416</v>
      </c>
      <c r="Y971" s="6">
        <v>46143</v>
      </c>
      <c r="Z971" t="s">
        <v>1413</v>
      </c>
      <c r="AA971" t="s">
        <v>31</v>
      </c>
      <c r="AB971" t="s">
        <v>63</v>
      </c>
      <c r="AC971" t="s">
        <v>23</v>
      </c>
      <c r="AD971">
        <v>1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1</v>
      </c>
    </row>
    <row r="972" spans="1:36">
      <c r="A972" t="s">
        <v>1147</v>
      </c>
      <c r="B972">
        <v>86.47</v>
      </c>
      <c r="C972" s="7">
        <v>46090.430555555555</v>
      </c>
      <c r="D972" s="7">
        <v>46094.033304456018</v>
      </c>
      <c r="E972" t="s">
        <v>23</v>
      </c>
      <c r="F972" t="s">
        <v>33</v>
      </c>
      <c r="G972" t="s">
        <v>41</v>
      </c>
      <c r="H972" t="s">
        <v>54</v>
      </c>
      <c r="I972" t="s">
        <v>27</v>
      </c>
      <c r="J972" t="s">
        <v>43</v>
      </c>
      <c r="K972" t="s">
        <v>67</v>
      </c>
      <c r="L972" t="s">
        <v>44</v>
      </c>
      <c r="M972">
        <v>61</v>
      </c>
      <c r="N972">
        <v>4</v>
      </c>
      <c r="O972">
        <v>0</v>
      </c>
      <c r="P972">
        <v>4</v>
      </c>
      <c r="Q972" t="s">
        <v>31</v>
      </c>
      <c r="R972">
        <v>240</v>
      </c>
      <c r="S972">
        <v>48</v>
      </c>
      <c r="T972" t="s">
        <v>63</v>
      </c>
      <c r="U972" t="s">
        <v>31</v>
      </c>
      <c r="V972">
        <v>2026</v>
      </c>
      <c r="W972">
        <v>3</v>
      </c>
      <c r="X972" t="s">
        <v>1423</v>
      </c>
      <c r="Y972" s="6">
        <v>46082</v>
      </c>
      <c r="Z972" t="s">
        <v>1413</v>
      </c>
      <c r="AA972" t="s">
        <v>31</v>
      </c>
      <c r="AB972" t="s">
        <v>63</v>
      </c>
      <c r="AC972" t="s">
        <v>23</v>
      </c>
      <c r="AD972">
        <v>1</v>
      </c>
      <c r="AE972">
        <v>0</v>
      </c>
      <c r="AF972">
        <v>1</v>
      </c>
      <c r="AG972">
        <v>0</v>
      </c>
      <c r="AH972">
        <v>0</v>
      </c>
      <c r="AI972">
        <v>1</v>
      </c>
      <c r="AJ972">
        <v>0</v>
      </c>
    </row>
    <row r="973" spans="1:36">
      <c r="A973" t="s">
        <v>1148</v>
      </c>
      <c r="B973">
        <v>17.760000000000002</v>
      </c>
      <c r="C973" s="7">
        <v>46248.605555555558</v>
      </c>
      <c r="D973" s="7">
        <v>46249.345380486113</v>
      </c>
      <c r="E973" t="s">
        <v>23</v>
      </c>
      <c r="F973" t="s">
        <v>50</v>
      </c>
      <c r="G973" t="s">
        <v>25</v>
      </c>
      <c r="H973" t="s">
        <v>66</v>
      </c>
      <c r="I973" t="s">
        <v>35</v>
      </c>
      <c r="J973" t="s">
        <v>36</v>
      </c>
      <c r="K973" t="s">
        <v>29</v>
      </c>
      <c r="L973" t="s">
        <v>30</v>
      </c>
      <c r="M973">
        <v>238</v>
      </c>
      <c r="N973">
        <v>3</v>
      </c>
      <c r="O973">
        <v>1</v>
      </c>
      <c r="P973">
        <v>8</v>
      </c>
      <c r="Q973" t="s">
        <v>31</v>
      </c>
      <c r="R973">
        <v>120</v>
      </c>
      <c r="S973">
        <v>24</v>
      </c>
      <c r="T973" t="s">
        <v>31</v>
      </c>
      <c r="U973" t="s">
        <v>63</v>
      </c>
      <c r="V973">
        <v>2026</v>
      </c>
      <c r="W973">
        <v>8</v>
      </c>
      <c r="X973" t="s">
        <v>1417</v>
      </c>
      <c r="Y973" s="6">
        <v>46235</v>
      </c>
      <c r="Z973" t="s">
        <v>1418</v>
      </c>
      <c r="AA973" t="s">
        <v>63</v>
      </c>
      <c r="AB973" t="s">
        <v>63</v>
      </c>
      <c r="AC973" t="s">
        <v>23</v>
      </c>
      <c r="AD973">
        <v>1</v>
      </c>
      <c r="AE973">
        <v>0</v>
      </c>
      <c r="AF973">
        <v>1</v>
      </c>
      <c r="AG973">
        <v>1</v>
      </c>
      <c r="AH973">
        <v>0</v>
      </c>
      <c r="AI973">
        <v>0</v>
      </c>
      <c r="AJ973">
        <v>1</v>
      </c>
    </row>
    <row r="974" spans="1:36">
      <c r="A974" t="s">
        <v>1149</v>
      </c>
      <c r="B974">
        <v>7.76</v>
      </c>
      <c r="C974" s="7">
        <v>46097.206944444442</v>
      </c>
      <c r="D974" s="7">
        <v>46097.530367858795</v>
      </c>
      <c r="E974" t="s">
        <v>23</v>
      </c>
      <c r="F974" t="s">
        <v>50</v>
      </c>
      <c r="G974" t="s">
        <v>65</v>
      </c>
      <c r="H974" t="s">
        <v>26</v>
      </c>
      <c r="I974" t="s">
        <v>35</v>
      </c>
      <c r="J974" t="s">
        <v>36</v>
      </c>
      <c r="K974" t="s">
        <v>29</v>
      </c>
      <c r="L974" t="s">
        <v>30</v>
      </c>
      <c r="M974">
        <v>78</v>
      </c>
      <c r="N974">
        <v>4</v>
      </c>
      <c r="O974">
        <v>0</v>
      </c>
      <c r="P974">
        <v>4</v>
      </c>
      <c r="Q974" t="s">
        <v>31</v>
      </c>
      <c r="R974">
        <v>120</v>
      </c>
      <c r="S974">
        <v>24</v>
      </c>
      <c r="T974" t="s">
        <v>63</v>
      </c>
      <c r="U974" t="s">
        <v>63</v>
      </c>
      <c r="V974">
        <v>2026</v>
      </c>
      <c r="W974">
        <v>3</v>
      </c>
      <c r="X974" t="s">
        <v>1423</v>
      </c>
      <c r="Y974" s="6">
        <v>46082</v>
      </c>
      <c r="Z974" t="s">
        <v>1413</v>
      </c>
      <c r="AA974" t="s">
        <v>31</v>
      </c>
      <c r="AB974" t="s">
        <v>63</v>
      </c>
      <c r="AC974" t="s">
        <v>23</v>
      </c>
      <c r="AD974">
        <v>1</v>
      </c>
      <c r="AE974">
        <v>0</v>
      </c>
      <c r="AF974">
        <v>1</v>
      </c>
      <c r="AG974">
        <v>0</v>
      </c>
      <c r="AH974">
        <v>0</v>
      </c>
      <c r="AI974">
        <v>1</v>
      </c>
      <c r="AJ974">
        <v>1</v>
      </c>
    </row>
    <row r="975" spans="1:36">
      <c r="A975" t="s">
        <v>1150</v>
      </c>
      <c r="B975">
        <v>37.46</v>
      </c>
      <c r="C975" s="7">
        <v>46130.205555555556</v>
      </c>
      <c r="D975" s="7">
        <v>46131.766195648146</v>
      </c>
      <c r="E975" t="s">
        <v>23</v>
      </c>
      <c r="F975" t="s">
        <v>50</v>
      </c>
      <c r="G975" t="s">
        <v>51</v>
      </c>
      <c r="H975" t="s">
        <v>54</v>
      </c>
      <c r="I975" t="s">
        <v>35</v>
      </c>
      <c r="J975" t="s">
        <v>43</v>
      </c>
      <c r="K975" t="s">
        <v>37</v>
      </c>
      <c r="L975" t="s">
        <v>101</v>
      </c>
      <c r="M975">
        <v>52</v>
      </c>
      <c r="N975">
        <v>4</v>
      </c>
      <c r="O975">
        <v>0</v>
      </c>
      <c r="P975">
        <v>5</v>
      </c>
      <c r="Q975" t="s">
        <v>31</v>
      </c>
      <c r="R975">
        <v>120</v>
      </c>
      <c r="S975">
        <v>24</v>
      </c>
      <c r="T975" t="s">
        <v>63</v>
      </c>
      <c r="U975" t="s">
        <v>31</v>
      </c>
      <c r="V975">
        <v>2026</v>
      </c>
      <c r="W975">
        <v>4</v>
      </c>
      <c r="X975" t="s">
        <v>1412</v>
      </c>
      <c r="Y975" s="6">
        <v>46113</v>
      </c>
      <c r="Z975" t="s">
        <v>1413</v>
      </c>
      <c r="AA975" t="s">
        <v>31</v>
      </c>
      <c r="AB975" t="s">
        <v>63</v>
      </c>
      <c r="AC975" t="s">
        <v>23</v>
      </c>
      <c r="AD975">
        <v>1</v>
      </c>
      <c r="AE975">
        <v>0</v>
      </c>
      <c r="AF975">
        <v>1</v>
      </c>
      <c r="AG975">
        <v>0</v>
      </c>
      <c r="AH975">
        <v>0</v>
      </c>
      <c r="AI975">
        <v>1</v>
      </c>
      <c r="AJ975">
        <v>0</v>
      </c>
    </row>
    <row r="976" spans="1:36">
      <c r="A976" t="s">
        <v>1151</v>
      </c>
      <c r="B976">
        <v>28.42</v>
      </c>
      <c r="C976" s="7">
        <v>46029.009722222225</v>
      </c>
      <c r="D976" s="7">
        <v>46030.19378040509</v>
      </c>
      <c r="E976" t="s">
        <v>23</v>
      </c>
      <c r="F976" t="s">
        <v>50</v>
      </c>
      <c r="G976" t="s">
        <v>51</v>
      </c>
      <c r="H976" t="s">
        <v>54</v>
      </c>
      <c r="I976" t="s">
        <v>42</v>
      </c>
      <c r="J976" t="s">
        <v>48</v>
      </c>
      <c r="K976" t="s">
        <v>37</v>
      </c>
      <c r="L976" t="s">
        <v>44</v>
      </c>
      <c r="M976">
        <v>53</v>
      </c>
      <c r="N976">
        <v>4</v>
      </c>
      <c r="O976">
        <v>0</v>
      </c>
      <c r="P976">
        <v>3</v>
      </c>
      <c r="Q976" t="s">
        <v>31</v>
      </c>
      <c r="R976">
        <v>120</v>
      </c>
      <c r="S976">
        <v>24</v>
      </c>
      <c r="T976" t="s">
        <v>63</v>
      </c>
      <c r="U976" t="s">
        <v>31</v>
      </c>
      <c r="V976">
        <v>2026</v>
      </c>
      <c r="W976">
        <v>1</v>
      </c>
      <c r="X976" t="s">
        <v>1414</v>
      </c>
      <c r="Y976" s="6">
        <v>46023</v>
      </c>
      <c r="Z976" t="s">
        <v>1413</v>
      </c>
      <c r="AA976" t="s">
        <v>31</v>
      </c>
      <c r="AB976" t="s">
        <v>63</v>
      </c>
      <c r="AC976" t="s">
        <v>23</v>
      </c>
      <c r="AD976">
        <v>1</v>
      </c>
      <c r="AE976">
        <v>0</v>
      </c>
      <c r="AF976">
        <v>1</v>
      </c>
      <c r="AG976">
        <v>0</v>
      </c>
      <c r="AH976">
        <v>0</v>
      </c>
      <c r="AI976">
        <v>1</v>
      </c>
      <c r="AJ976">
        <v>0</v>
      </c>
    </row>
    <row r="977" spans="1:36">
      <c r="A977" t="s">
        <v>1152</v>
      </c>
      <c r="B977">
        <v>11.66</v>
      </c>
      <c r="C977" s="7">
        <v>46263.194444444445</v>
      </c>
      <c r="D977" s="7">
        <v>46263.680378611112</v>
      </c>
      <c r="E977" t="s">
        <v>23</v>
      </c>
      <c r="F977" t="s">
        <v>50</v>
      </c>
      <c r="G977" t="s">
        <v>41</v>
      </c>
      <c r="H977" t="s">
        <v>54</v>
      </c>
      <c r="I977" t="s">
        <v>42</v>
      </c>
      <c r="J977" t="s">
        <v>36</v>
      </c>
      <c r="K977" t="s">
        <v>37</v>
      </c>
      <c r="L977" t="s">
        <v>44</v>
      </c>
      <c r="M977">
        <v>198</v>
      </c>
      <c r="N977">
        <v>4</v>
      </c>
      <c r="O977">
        <v>0</v>
      </c>
      <c r="P977">
        <v>4</v>
      </c>
      <c r="Q977" t="s">
        <v>31</v>
      </c>
      <c r="R977">
        <v>120</v>
      </c>
      <c r="S977">
        <v>24</v>
      </c>
      <c r="T977" t="s">
        <v>31</v>
      </c>
      <c r="U977" t="s">
        <v>63</v>
      </c>
      <c r="V977">
        <v>2026</v>
      </c>
      <c r="W977">
        <v>8</v>
      </c>
      <c r="X977" t="s">
        <v>1417</v>
      </c>
      <c r="Y977" s="6">
        <v>46235</v>
      </c>
      <c r="Z977" t="s">
        <v>1413</v>
      </c>
      <c r="AA977" t="s">
        <v>31</v>
      </c>
      <c r="AB977" t="s">
        <v>63</v>
      </c>
      <c r="AC977" t="s">
        <v>23</v>
      </c>
      <c r="AD977">
        <v>1</v>
      </c>
      <c r="AE977">
        <v>0</v>
      </c>
      <c r="AF977">
        <v>1</v>
      </c>
      <c r="AG977">
        <v>0</v>
      </c>
      <c r="AH977">
        <v>0</v>
      </c>
      <c r="AI977">
        <v>0</v>
      </c>
      <c r="AJ977">
        <v>1</v>
      </c>
    </row>
    <row r="978" spans="1:36">
      <c r="A978" t="s">
        <v>1153</v>
      </c>
      <c r="B978">
        <v>3.7</v>
      </c>
      <c r="C978" s="7">
        <v>46174.789583333331</v>
      </c>
      <c r="D978" s="7">
        <v>46174.943818449072</v>
      </c>
      <c r="E978" t="s">
        <v>23</v>
      </c>
      <c r="F978" t="s">
        <v>50</v>
      </c>
      <c r="G978" t="s">
        <v>25</v>
      </c>
      <c r="H978" t="s">
        <v>34</v>
      </c>
      <c r="I978" t="s">
        <v>35</v>
      </c>
      <c r="J978" t="s">
        <v>28</v>
      </c>
      <c r="K978" t="s">
        <v>29</v>
      </c>
      <c r="L978" t="s">
        <v>71</v>
      </c>
      <c r="M978">
        <v>235</v>
      </c>
      <c r="N978">
        <v>4</v>
      </c>
      <c r="O978">
        <v>0</v>
      </c>
      <c r="P978">
        <v>5</v>
      </c>
      <c r="Q978" t="s">
        <v>31</v>
      </c>
      <c r="R978">
        <v>120</v>
      </c>
      <c r="S978">
        <v>24</v>
      </c>
      <c r="T978" t="s">
        <v>31</v>
      </c>
      <c r="U978" t="s">
        <v>63</v>
      </c>
      <c r="V978">
        <v>2026</v>
      </c>
      <c r="W978">
        <v>6</v>
      </c>
      <c r="X978" t="s">
        <v>1421</v>
      </c>
      <c r="Y978" s="6">
        <v>46174</v>
      </c>
      <c r="Z978" t="s">
        <v>1413</v>
      </c>
      <c r="AA978" t="s">
        <v>31</v>
      </c>
      <c r="AB978" t="s">
        <v>63</v>
      </c>
      <c r="AC978" t="s">
        <v>23</v>
      </c>
      <c r="AD978">
        <v>1</v>
      </c>
      <c r="AE978">
        <v>0</v>
      </c>
      <c r="AF978">
        <v>1</v>
      </c>
      <c r="AG978">
        <v>0</v>
      </c>
      <c r="AH978">
        <v>0</v>
      </c>
      <c r="AI978">
        <v>0</v>
      </c>
      <c r="AJ978">
        <v>1</v>
      </c>
    </row>
    <row r="979" spans="1:36">
      <c r="A979" t="s">
        <v>1154</v>
      </c>
      <c r="B979">
        <v>93.37</v>
      </c>
      <c r="C979" s="7">
        <v>46173.463194444441</v>
      </c>
      <c r="D979" s="7">
        <v>46177.353540277778</v>
      </c>
      <c r="E979" t="s">
        <v>23</v>
      </c>
      <c r="F979" t="s">
        <v>33</v>
      </c>
      <c r="G979" t="s">
        <v>25</v>
      </c>
      <c r="H979" t="s">
        <v>75</v>
      </c>
      <c r="I979" t="s">
        <v>35</v>
      </c>
      <c r="J979" t="s">
        <v>48</v>
      </c>
      <c r="K979" t="s">
        <v>76</v>
      </c>
      <c r="L979" t="s">
        <v>44</v>
      </c>
      <c r="M979">
        <v>223</v>
      </c>
      <c r="N979">
        <v>3</v>
      </c>
      <c r="O979">
        <v>0</v>
      </c>
      <c r="P979">
        <v>7</v>
      </c>
      <c r="Q979" t="s">
        <v>31</v>
      </c>
      <c r="R979">
        <v>240</v>
      </c>
      <c r="S979">
        <v>48</v>
      </c>
      <c r="T979" t="s">
        <v>63</v>
      </c>
      <c r="U979" t="s">
        <v>31</v>
      </c>
      <c r="V979">
        <v>2026</v>
      </c>
      <c r="W979">
        <v>5</v>
      </c>
      <c r="X979" t="s">
        <v>1416</v>
      </c>
      <c r="Y979" s="6">
        <v>46143</v>
      </c>
      <c r="Z979" t="s">
        <v>1418</v>
      </c>
      <c r="AA979" t="s">
        <v>31</v>
      </c>
      <c r="AB979" t="s">
        <v>63</v>
      </c>
      <c r="AC979" t="s">
        <v>23</v>
      </c>
      <c r="AD979">
        <v>1</v>
      </c>
      <c r="AE979">
        <v>0</v>
      </c>
      <c r="AF979">
        <v>1</v>
      </c>
      <c r="AG979">
        <v>0</v>
      </c>
      <c r="AH979">
        <v>0</v>
      </c>
      <c r="AI979">
        <v>1</v>
      </c>
      <c r="AJ979">
        <v>0</v>
      </c>
    </row>
    <row r="980" spans="1:36">
      <c r="A980" t="s">
        <v>1155</v>
      </c>
      <c r="B980">
        <v>26.9</v>
      </c>
      <c r="C980" s="7">
        <v>46126.302777777775</v>
      </c>
      <c r="D980" s="7">
        <v>46127.423534363428</v>
      </c>
      <c r="E980" t="s">
        <v>23</v>
      </c>
      <c r="F980" t="s">
        <v>50</v>
      </c>
      <c r="G980" t="s">
        <v>65</v>
      </c>
      <c r="H980" t="s">
        <v>75</v>
      </c>
      <c r="I980" t="s">
        <v>35</v>
      </c>
      <c r="J980" t="s">
        <v>48</v>
      </c>
      <c r="K980" t="s">
        <v>76</v>
      </c>
      <c r="L980" t="s">
        <v>93</v>
      </c>
      <c r="M980">
        <v>79</v>
      </c>
      <c r="N980">
        <v>4</v>
      </c>
      <c r="O980">
        <v>0</v>
      </c>
      <c r="P980">
        <v>2</v>
      </c>
      <c r="Q980" t="s">
        <v>31</v>
      </c>
      <c r="R980">
        <v>120</v>
      </c>
      <c r="S980">
        <v>24</v>
      </c>
      <c r="T980" t="s">
        <v>63</v>
      </c>
      <c r="U980" t="s">
        <v>31</v>
      </c>
      <c r="V980">
        <v>2026</v>
      </c>
      <c r="W980">
        <v>4</v>
      </c>
      <c r="X980" t="s">
        <v>1412</v>
      </c>
      <c r="Y980" s="6">
        <v>46113</v>
      </c>
      <c r="Z980" t="s">
        <v>1413</v>
      </c>
      <c r="AA980" t="s">
        <v>31</v>
      </c>
      <c r="AB980" t="s">
        <v>63</v>
      </c>
      <c r="AC980" t="s">
        <v>23</v>
      </c>
      <c r="AD980">
        <v>1</v>
      </c>
      <c r="AE980">
        <v>0</v>
      </c>
      <c r="AF980">
        <v>1</v>
      </c>
      <c r="AG980">
        <v>0</v>
      </c>
      <c r="AH980">
        <v>0</v>
      </c>
      <c r="AI980">
        <v>1</v>
      </c>
      <c r="AJ980">
        <v>0</v>
      </c>
    </row>
    <row r="981" spans="1:36">
      <c r="A981" t="s">
        <v>1156</v>
      </c>
      <c r="B981">
        <v>28.48</v>
      </c>
      <c r="C981" s="7">
        <v>46185.609027777777</v>
      </c>
      <c r="D981" s="7">
        <v>46186.795889432869</v>
      </c>
      <c r="E981" t="s">
        <v>23</v>
      </c>
      <c r="F981" t="s">
        <v>50</v>
      </c>
      <c r="G981" t="s">
        <v>51</v>
      </c>
      <c r="H981" t="s">
        <v>66</v>
      </c>
      <c r="I981" t="s">
        <v>35</v>
      </c>
      <c r="J981" t="s">
        <v>48</v>
      </c>
      <c r="K981" t="s">
        <v>37</v>
      </c>
      <c r="L981" t="s">
        <v>62</v>
      </c>
      <c r="M981">
        <v>153</v>
      </c>
      <c r="N981">
        <v>4</v>
      </c>
      <c r="O981">
        <v>0</v>
      </c>
      <c r="P981">
        <v>3</v>
      </c>
      <c r="Q981" t="s">
        <v>31</v>
      </c>
      <c r="R981">
        <v>120</v>
      </c>
      <c r="S981">
        <v>24</v>
      </c>
      <c r="T981" t="s">
        <v>31</v>
      </c>
      <c r="U981" t="s">
        <v>31</v>
      </c>
      <c r="V981">
        <v>2026</v>
      </c>
      <c r="W981">
        <v>6</v>
      </c>
      <c r="X981" t="s">
        <v>1421</v>
      </c>
      <c r="Y981" s="6">
        <v>46174</v>
      </c>
      <c r="Z981" t="s">
        <v>1413</v>
      </c>
      <c r="AA981" t="s">
        <v>31</v>
      </c>
      <c r="AB981" t="s">
        <v>63</v>
      </c>
      <c r="AC981" t="s">
        <v>23</v>
      </c>
      <c r="AD981">
        <v>1</v>
      </c>
      <c r="AE981">
        <v>0</v>
      </c>
      <c r="AF981">
        <v>1</v>
      </c>
      <c r="AG981">
        <v>0</v>
      </c>
      <c r="AH981">
        <v>0</v>
      </c>
      <c r="AI981">
        <v>0</v>
      </c>
      <c r="AJ981">
        <v>0</v>
      </c>
    </row>
    <row r="982" spans="1:36">
      <c r="A982" t="s">
        <v>1157</v>
      </c>
      <c r="B982">
        <v>74.2</v>
      </c>
      <c r="C982" s="7">
        <v>46073.695138888892</v>
      </c>
      <c r="D982" s="7">
        <v>46076.786988321757</v>
      </c>
      <c r="E982" t="s">
        <v>23</v>
      </c>
      <c r="F982" t="s">
        <v>33</v>
      </c>
      <c r="G982" t="s">
        <v>51</v>
      </c>
      <c r="H982" t="s">
        <v>66</v>
      </c>
      <c r="I982" t="s">
        <v>35</v>
      </c>
      <c r="J982" t="s">
        <v>48</v>
      </c>
      <c r="K982" t="s">
        <v>76</v>
      </c>
      <c r="L982" t="s">
        <v>71</v>
      </c>
      <c r="M982">
        <v>243</v>
      </c>
      <c r="N982">
        <v>2</v>
      </c>
      <c r="O982">
        <v>1</v>
      </c>
      <c r="P982">
        <v>8</v>
      </c>
      <c r="Q982" t="s">
        <v>31</v>
      </c>
      <c r="R982">
        <v>240</v>
      </c>
      <c r="S982">
        <v>48</v>
      </c>
      <c r="T982" t="s">
        <v>31</v>
      </c>
      <c r="U982" t="s">
        <v>31</v>
      </c>
      <c r="V982">
        <v>2026</v>
      </c>
      <c r="W982">
        <v>2</v>
      </c>
      <c r="X982" t="s">
        <v>1419</v>
      </c>
      <c r="Y982" s="6">
        <v>46054</v>
      </c>
      <c r="Z982" t="s">
        <v>1415</v>
      </c>
      <c r="AA982" t="s">
        <v>63</v>
      </c>
      <c r="AB982" t="s">
        <v>63</v>
      </c>
      <c r="AC982" t="s">
        <v>23</v>
      </c>
      <c r="AD982">
        <v>1</v>
      </c>
      <c r="AE982">
        <v>0</v>
      </c>
      <c r="AF982">
        <v>1</v>
      </c>
      <c r="AG982">
        <v>1</v>
      </c>
      <c r="AH982">
        <v>0</v>
      </c>
      <c r="AI982">
        <v>0</v>
      </c>
      <c r="AJ982">
        <v>0</v>
      </c>
    </row>
    <row r="983" spans="1:36">
      <c r="A983" t="s">
        <v>1158</v>
      </c>
      <c r="B983">
        <v>21.86</v>
      </c>
      <c r="C983" s="7">
        <v>46027.563194444447</v>
      </c>
      <c r="D983" s="7">
        <v>46028.473852662035</v>
      </c>
      <c r="E983" t="s">
        <v>23</v>
      </c>
      <c r="F983" t="s">
        <v>50</v>
      </c>
      <c r="G983" t="s">
        <v>25</v>
      </c>
      <c r="H983" t="s">
        <v>26</v>
      </c>
      <c r="I983" t="s">
        <v>35</v>
      </c>
      <c r="J983" t="s">
        <v>48</v>
      </c>
      <c r="K983" t="s">
        <v>58</v>
      </c>
      <c r="L983" t="s">
        <v>71</v>
      </c>
      <c r="M983">
        <v>167</v>
      </c>
      <c r="N983">
        <v>4</v>
      </c>
      <c r="O983">
        <v>0</v>
      </c>
      <c r="P983">
        <v>2</v>
      </c>
      <c r="Q983" t="s">
        <v>31</v>
      </c>
      <c r="R983">
        <v>120</v>
      </c>
      <c r="S983">
        <v>24</v>
      </c>
      <c r="T983" t="s">
        <v>31</v>
      </c>
      <c r="U983" t="s">
        <v>63</v>
      </c>
      <c r="V983">
        <v>2026</v>
      </c>
      <c r="W983">
        <v>1</v>
      </c>
      <c r="X983" t="s">
        <v>1414</v>
      </c>
      <c r="Y983" s="6">
        <v>46023</v>
      </c>
      <c r="Z983" t="s">
        <v>1413</v>
      </c>
      <c r="AA983" t="s">
        <v>31</v>
      </c>
      <c r="AB983" t="s">
        <v>63</v>
      </c>
      <c r="AC983" t="s">
        <v>23</v>
      </c>
      <c r="AD983">
        <v>1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1</v>
      </c>
    </row>
    <row r="984" spans="1:36">
      <c r="A984" t="s">
        <v>1159</v>
      </c>
      <c r="B984">
        <v>9.01</v>
      </c>
      <c r="C984" s="7">
        <v>46198.172222222223</v>
      </c>
      <c r="D984" s="7">
        <v>46198.547636736112</v>
      </c>
      <c r="E984" t="s">
        <v>23</v>
      </c>
      <c r="F984" t="s">
        <v>24</v>
      </c>
      <c r="G984" t="s">
        <v>25</v>
      </c>
      <c r="H984" t="s">
        <v>54</v>
      </c>
      <c r="I984" t="s">
        <v>35</v>
      </c>
      <c r="J984" t="s">
        <v>43</v>
      </c>
      <c r="K984" t="s">
        <v>76</v>
      </c>
      <c r="L984" t="s">
        <v>101</v>
      </c>
      <c r="M984">
        <v>6</v>
      </c>
      <c r="N984">
        <v>5</v>
      </c>
      <c r="O984">
        <v>0</v>
      </c>
      <c r="P984">
        <v>5</v>
      </c>
      <c r="Q984" t="s">
        <v>31</v>
      </c>
      <c r="R984">
        <v>15</v>
      </c>
      <c r="S984">
        <v>4</v>
      </c>
      <c r="T984" t="s">
        <v>63</v>
      </c>
      <c r="U984" t="s">
        <v>31</v>
      </c>
      <c r="V984">
        <v>2026</v>
      </c>
      <c r="W984">
        <v>6</v>
      </c>
      <c r="X984" t="s">
        <v>1421</v>
      </c>
      <c r="Y984" s="6">
        <v>46174</v>
      </c>
      <c r="Z984" t="s">
        <v>1413</v>
      </c>
      <c r="AA984" t="s">
        <v>31</v>
      </c>
      <c r="AB984" t="s">
        <v>63</v>
      </c>
      <c r="AC984" t="s">
        <v>23</v>
      </c>
      <c r="AD984">
        <v>1</v>
      </c>
      <c r="AE984">
        <v>0</v>
      </c>
      <c r="AF984">
        <v>1</v>
      </c>
      <c r="AG984">
        <v>0</v>
      </c>
      <c r="AH984">
        <v>0</v>
      </c>
      <c r="AI984">
        <v>1</v>
      </c>
      <c r="AJ984">
        <v>0</v>
      </c>
    </row>
    <row r="985" spans="1:36">
      <c r="A985" t="s">
        <v>1160</v>
      </c>
      <c r="B985">
        <v>11.19</v>
      </c>
      <c r="C985" s="7">
        <v>46055.304166666669</v>
      </c>
      <c r="D985" s="7">
        <v>46055.77028571759</v>
      </c>
      <c r="E985" t="s">
        <v>23</v>
      </c>
      <c r="F985" t="s">
        <v>40</v>
      </c>
      <c r="G985" t="s">
        <v>51</v>
      </c>
      <c r="H985" t="s">
        <v>54</v>
      </c>
      <c r="I985" t="s">
        <v>35</v>
      </c>
      <c r="J985" t="s">
        <v>36</v>
      </c>
      <c r="K985" t="s">
        <v>58</v>
      </c>
      <c r="L985" t="s">
        <v>93</v>
      </c>
      <c r="M985">
        <v>13</v>
      </c>
      <c r="N985">
        <v>5</v>
      </c>
      <c r="O985">
        <v>0</v>
      </c>
      <c r="P985">
        <v>10</v>
      </c>
      <c r="Q985" t="s">
        <v>63</v>
      </c>
      <c r="R985">
        <v>30</v>
      </c>
      <c r="S985">
        <v>8</v>
      </c>
      <c r="T985" t="s">
        <v>63</v>
      </c>
      <c r="U985" t="s">
        <v>31</v>
      </c>
      <c r="V985">
        <v>2026</v>
      </c>
      <c r="W985">
        <v>2</v>
      </c>
      <c r="X985" t="s">
        <v>1419</v>
      </c>
      <c r="Y985" s="6">
        <v>46054</v>
      </c>
      <c r="Z985" t="s">
        <v>1413</v>
      </c>
      <c r="AA985" t="s">
        <v>31</v>
      </c>
      <c r="AB985" t="s">
        <v>63</v>
      </c>
      <c r="AC985" t="s">
        <v>23</v>
      </c>
      <c r="AD985">
        <v>1</v>
      </c>
      <c r="AE985">
        <v>0</v>
      </c>
      <c r="AF985">
        <v>1</v>
      </c>
      <c r="AG985">
        <v>0</v>
      </c>
      <c r="AH985">
        <v>1</v>
      </c>
      <c r="AI985">
        <v>1</v>
      </c>
      <c r="AJ985">
        <v>0</v>
      </c>
    </row>
    <row r="986" spans="1:36">
      <c r="A986" t="s">
        <v>1161</v>
      </c>
      <c r="B986">
        <v>12.18</v>
      </c>
      <c r="C986" s="7">
        <v>46118.831944444442</v>
      </c>
      <c r="D986" s="7">
        <v>46119.33934150463</v>
      </c>
      <c r="E986" t="s">
        <v>23</v>
      </c>
      <c r="F986" t="s">
        <v>50</v>
      </c>
      <c r="G986" t="s">
        <v>51</v>
      </c>
      <c r="H986" t="s">
        <v>26</v>
      </c>
      <c r="I986" t="s">
        <v>35</v>
      </c>
      <c r="J986" t="s">
        <v>36</v>
      </c>
      <c r="K986" t="s">
        <v>52</v>
      </c>
      <c r="L986" t="s">
        <v>44</v>
      </c>
      <c r="M986">
        <v>68</v>
      </c>
      <c r="N986">
        <v>4</v>
      </c>
      <c r="O986">
        <v>0</v>
      </c>
      <c r="P986">
        <v>3</v>
      </c>
      <c r="Q986" t="s">
        <v>31</v>
      </c>
      <c r="R986">
        <v>120</v>
      </c>
      <c r="S986">
        <v>24</v>
      </c>
      <c r="T986" t="s">
        <v>63</v>
      </c>
      <c r="U986" t="s">
        <v>63</v>
      </c>
      <c r="V986">
        <v>2026</v>
      </c>
      <c r="W986">
        <v>4</v>
      </c>
      <c r="X986" t="s">
        <v>1412</v>
      </c>
      <c r="Y986" s="6">
        <v>46113</v>
      </c>
      <c r="Z986" t="s">
        <v>1413</v>
      </c>
      <c r="AA986" t="s">
        <v>31</v>
      </c>
      <c r="AB986" t="s">
        <v>63</v>
      </c>
      <c r="AC986" t="s">
        <v>23</v>
      </c>
      <c r="AD986">
        <v>1</v>
      </c>
      <c r="AE986">
        <v>0</v>
      </c>
      <c r="AF986">
        <v>1</v>
      </c>
      <c r="AG986">
        <v>0</v>
      </c>
      <c r="AH986">
        <v>0</v>
      </c>
      <c r="AI986">
        <v>1</v>
      </c>
      <c r="AJ986">
        <v>1</v>
      </c>
    </row>
    <row r="987" spans="1:36">
      <c r="A987" t="s">
        <v>1162</v>
      </c>
      <c r="B987">
        <v>5.89</v>
      </c>
      <c r="C987" s="7">
        <v>46071.536805555559</v>
      </c>
      <c r="D987" s="7">
        <v>46071.782299652776</v>
      </c>
      <c r="E987" t="s">
        <v>23</v>
      </c>
      <c r="F987" t="s">
        <v>50</v>
      </c>
      <c r="G987" t="s">
        <v>51</v>
      </c>
      <c r="H987" t="s">
        <v>34</v>
      </c>
      <c r="I987" t="s">
        <v>35</v>
      </c>
      <c r="J987" t="s">
        <v>48</v>
      </c>
      <c r="K987" t="s">
        <v>52</v>
      </c>
      <c r="L987" t="s">
        <v>44</v>
      </c>
      <c r="M987">
        <v>312</v>
      </c>
      <c r="N987">
        <v>4</v>
      </c>
      <c r="O987">
        <v>0</v>
      </c>
      <c r="P987">
        <v>2</v>
      </c>
      <c r="Q987" t="s">
        <v>31</v>
      </c>
      <c r="R987">
        <v>120</v>
      </c>
      <c r="S987">
        <v>24</v>
      </c>
      <c r="T987" t="s">
        <v>31</v>
      </c>
      <c r="U987" t="s">
        <v>63</v>
      </c>
      <c r="V987">
        <v>2026</v>
      </c>
      <c r="W987">
        <v>2</v>
      </c>
      <c r="X987" t="s">
        <v>1419</v>
      </c>
      <c r="Y987" s="6">
        <v>46054</v>
      </c>
      <c r="Z987" t="s">
        <v>1413</v>
      </c>
      <c r="AA987" t="s">
        <v>31</v>
      </c>
      <c r="AB987" t="s">
        <v>63</v>
      </c>
      <c r="AC987" t="s">
        <v>23</v>
      </c>
      <c r="AD987">
        <v>1</v>
      </c>
      <c r="AE987">
        <v>0</v>
      </c>
      <c r="AF987">
        <v>1</v>
      </c>
      <c r="AG987">
        <v>0</v>
      </c>
      <c r="AH987">
        <v>0</v>
      </c>
      <c r="AI987">
        <v>0</v>
      </c>
      <c r="AJ987">
        <v>1</v>
      </c>
    </row>
    <row r="988" spans="1:36">
      <c r="A988" t="s">
        <v>1163</v>
      </c>
      <c r="B988">
        <v>7.11</v>
      </c>
      <c r="C988" s="7">
        <v>46055.713888888888</v>
      </c>
      <c r="D988" s="7">
        <v>46056.010339143519</v>
      </c>
      <c r="E988" t="s">
        <v>23</v>
      </c>
      <c r="F988" t="s">
        <v>40</v>
      </c>
      <c r="G988" t="s">
        <v>25</v>
      </c>
      <c r="H988" t="s">
        <v>34</v>
      </c>
      <c r="I988" t="s">
        <v>42</v>
      </c>
      <c r="J988" t="s">
        <v>36</v>
      </c>
      <c r="K988" t="s">
        <v>37</v>
      </c>
      <c r="L988" t="s">
        <v>93</v>
      </c>
      <c r="M988">
        <v>35</v>
      </c>
      <c r="N988">
        <v>4</v>
      </c>
      <c r="O988">
        <v>0</v>
      </c>
      <c r="P988">
        <v>6</v>
      </c>
      <c r="Q988" t="s">
        <v>31</v>
      </c>
      <c r="R988">
        <v>30</v>
      </c>
      <c r="S988">
        <v>8</v>
      </c>
      <c r="T988" t="s">
        <v>31</v>
      </c>
      <c r="U988" t="s">
        <v>63</v>
      </c>
      <c r="V988">
        <v>2026</v>
      </c>
      <c r="W988">
        <v>2</v>
      </c>
      <c r="X988" t="s">
        <v>1419</v>
      </c>
      <c r="Y988" s="6">
        <v>46054</v>
      </c>
      <c r="Z988" t="s">
        <v>1413</v>
      </c>
      <c r="AA988" t="s">
        <v>31</v>
      </c>
      <c r="AB988" t="s">
        <v>63</v>
      </c>
      <c r="AC988" t="s">
        <v>23</v>
      </c>
      <c r="AD988">
        <v>1</v>
      </c>
      <c r="AE988">
        <v>0</v>
      </c>
      <c r="AF988">
        <v>1</v>
      </c>
      <c r="AG988">
        <v>0</v>
      </c>
      <c r="AH988">
        <v>0</v>
      </c>
      <c r="AI988">
        <v>0</v>
      </c>
      <c r="AJ988">
        <v>1</v>
      </c>
    </row>
    <row r="989" spans="1:36">
      <c r="A989" t="s">
        <v>1164</v>
      </c>
      <c r="B989">
        <v>24.08</v>
      </c>
      <c r="C989" s="7">
        <v>46150.699305555558</v>
      </c>
      <c r="D989" s="7">
        <v>46151.70275113426</v>
      </c>
      <c r="E989" t="s">
        <v>23</v>
      </c>
      <c r="F989" t="s">
        <v>40</v>
      </c>
      <c r="G989" t="s">
        <v>65</v>
      </c>
      <c r="H989" t="s">
        <v>54</v>
      </c>
      <c r="I989" t="s">
        <v>35</v>
      </c>
      <c r="J989" t="s">
        <v>48</v>
      </c>
      <c r="K989" t="s">
        <v>67</v>
      </c>
      <c r="L989" t="s">
        <v>62</v>
      </c>
      <c r="M989">
        <v>27</v>
      </c>
      <c r="N989">
        <v>5</v>
      </c>
      <c r="O989">
        <v>0</v>
      </c>
      <c r="P989">
        <v>3</v>
      </c>
      <c r="Q989" t="s">
        <v>31</v>
      </c>
      <c r="R989">
        <v>30</v>
      </c>
      <c r="S989">
        <v>8</v>
      </c>
      <c r="T989" t="s">
        <v>63</v>
      </c>
      <c r="U989" t="s">
        <v>31</v>
      </c>
      <c r="V989">
        <v>2026</v>
      </c>
      <c r="W989">
        <v>5</v>
      </c>
      <c r="X989" t="s">
        <v>1416</v>
      </c>
      <c r="Y989" s="6">
        <v>46143</v>
      </c>
      <c r="Z989" t="s">
        <v>1413</v>
      </c>
      <c r="AA989" t="s">
        <v>31</v>
      </c>
      <c r="AB989" t="s">
        <v>63</v>
      </c>
      <c r="AC989" t="s">
        <v>23</v>
      </c>
      <c r="AD989">
        <v>1</v>
      </c>
      <c r="AE989">
        <v>0</v>
      </c>
      <c r="AF989">
        <v>1</v>
      </c>
      <c r="AG989">
        <v>0</v>
      </c>
      <c r="AH989">
        <v>0</v>
      </c>
      <c r="AI989">
        <v>1</v>
      </c>
      <c r="AJ989">
        <v>0</v>
      </c>
    </row>
    <row r="990" spans="1:36">
      <c r="A990" t="s">
        <v>1165</v>
      </c>
      <c r="B990">
        <v>19.239999999999998</v>
      </c>
      <c r="C990" s="7">
        <v>46078.779166666667</v>
      </c>
      <c r="D990" s="7">
        <v>46079.580891296297</v>
      </c>
      <c r="E990" t="s">
        <v>23</v>
      </c>
      <c r="F990" t="s">
        <v>50</v>
      </c>
      <c r="G990" t="s">
        <v>41</v>
      </c>
      <c r="H990" t="s">
        <v>54</v>
      </c>
      <c r="I990" t="s">
        <v>42</v>
      </c>
      <c r="J990" t="s">
        <v>48</v>
      </c>
      <c r="K990" t="s">
        <v>52</v>
      </c>
      <c r="L990" t="s">
        <v>38</v>
      </c>
      <c r="M990">
        <v>71</v>
      </c>
      <c r="N990">
        <v>4</v>
      </c>
      <c r="O990">
        <v>0</v>
      </c>
      <c r="P990">
        <v>5</v>
      </c>
      <c r="Q990" t="s">
        <v>31</v>
      </c>
      <c r="R990">
        <v>120</v>
      </c>
      <c r="S990">
        <v>24</v>
      </c>
      <c r="T990" t="s">
        <v>63</v>
      </c>
      <c r="U990" t="s">
        <v>63</v>
      </c>
      <c r="V990">
        <v>2026</v>
      </c>
      <c r="W990">
        <v>2</v>
      </c>
      <c r="X990" t="s">
        <v>1419</v>
      </c>
      <c r="Y990" s="6">
        <v>46054</v>
      </c>
      <c r="Z990" t="s">
        <v>1413</v>
      </c>
      <c r="AA990" t="s">
        <v>31</v>
      </c>
      <c r="AB990" t="s">
        <v>63</v>
      </c>
      <c r="AC990" t="s">
        <v>23</v>
      </c>
      <c r="AD990">
        <v>1</v>
      </c>
      <c r="AE990">
        <v>0</v>
      </c>
      <c r="AF990">
        <v>1</v>
      </c>
      <c r="AG990">
        <v>0</v>
      </c>
      <c r="AH990">
        <v>0</v>
      </c>
      <c r="AI990">
        <v>1</v>
      </c>
      <c r="AJ990">
        <v>1</v>
      </c>
    </row>
    <row r="991" spans="1:36">
      <c r="A991" t="s">
        <v>1166</v>
      </c>
      <c r="B991">
        <v>26.37</v>
      </c>
      <c r="C991" s="7">
        <v>46243.648611111108</v>
      </c>
      <c r="D991" s="7">
        <v>46244.747470856484</v>
      </c>
      <c r="E991" t="s">
        <v>23</v>
      </c>
      <c r="F991" t="s">
        <v>50</v>
      </c>
      <c r="G991" t="s">
        <v>25</v>
      </c>
      <c r="H991" t="s">
        <v>26</v>
      </c>
      <c r="I991" t="s">
        <v>35</v>
      </c>
      <c r="J991" t="s">
        <v>36</v>
      </c>
      <c r="K991" t="s">
        <v>58</v>
      </c>
      <c r="L991" t="s">
        <v>55</v>
      </c>
      <c r="M991">
        <v>37</v>
      </c>
      <c r="N991">
        <v>4</v>
      </c>
      <c r="O991">
        <v>0</v>
      </c>
      <c r="P991">
        <v>3</v>
      </c>
      <c r="Q991" t="s">
        <v>31</v>
      </c>
      <c r="R991">
        <v>120</v>
      </c>
      <c r="S991">
        <v>24</v>
      </c>
      <c r="T991" t="s">
        <v>63</v>
      </c>
      <c r="U991" t="s">
        <v>31</v>
      </c>
      <c r="V991">
        <v>2026</v>
      </c>
      <c r="W991">
        <v>8</v>
      </c>
      <c r="X991" t="s">
        <v>1417</v>
      </c>
      <c r="Y991" s="6">
        <v>46235</v>
      </c>
      <c r="Z991" t="s">
        <v>1413</v>
      </c>
      <c r="AA991" t="s">
        <v>31</v>
      </c>
      <c r="AB991" t="s">
        <v>63</v>
      </c>
      <c r="AC991" t="s">
        <v>23</v>
      </c>
      <c r="AD991">
        <v>1</v>
      </c>
      <c r="AE991">
        <v>0</v>
      </c>
      <c r="AF991">
        <v>1</v>
      </c>
      <c r="AG991">
        <v>0</v>
      </c>
      <c r="AH991">
        <v>0</v>
      </c>
      <c r="AI991">
        <v>1</v>
      </c>
      <c r="AJ991">
        <v>0</v>
      </c>
    </row>
    <row r="992" spans="1:36">
      <c r="A992" t="s">
        <v>1168</v>
      </c>
      <c r="B992">
        <v>70.13</v>
      </c>
      <c r="C992" s="7">
        <v>46141.772222222222</v>
      </c>
      <c r="D992" s="7">
        <v>46144.694196689816</v>
      </c>
      <c r="E992" t="s">
        <v>23</v>
      </c>
      <c r="F992" t="s">
        <v>33</v>
      </c>
      <c r="G992" t="s">
        <v>41</v>
      </c>
      <c r="H992" t="s">
        <v>26</v>
      </c>
      <c r="I992" t="s">
        <v>35</v>
      </c>
      <c r="J992" t="s">
        <v>36</v>
      </c>
      <c r="K992" t="s">
        <v>76</v>
      </c>
      <c r="L992" t="s">
        <v>38</v>
      </c>
      <c r="M992">
        <v>380</v>
      </c>
      <c r="N992">
        <v>2</v>
      </c>
      <c r="O992">
        <v>1</v>
      </c>
      <c r="P992">
        <v>13</v>
      </c>
      <c r="Q992" t="s">
        <v>63</v>
      </c>
      <c r="R992">
        <v>240</v>
      </c>
      <c r="S992">
        <v>48</v>
      </c>
      <c r="T992" t="s">
        <v>31</v>
      </c>
      <c r="U992" t="s">
        <v>31</v>
      </c>
      <c r="V992">
        <v>2026</v>
      </c>
      <c r="W992">
        <v>4</v>
      </c>
      <c r="X992" t="s">
        <v>1412</v>
      </c>
      <c r="Y992" s="6">
        <v>46113</v>
      </c>
      <c r="Z992" t="s">
        <v>1415</v>
      </c>
      <c r="AA992" t="s">
        <v>63</v>
      </c>
      <c r="AB992" t="s">
        <v>63</v>
      </c>
      <c r="AC992" t="s">
        <v>23</v>
      </c>
      <c r="AD992">
        <v>1</v>
      </c>
      <c r="AE992">
        <v>0</v>
      </c>
      <c r="AF992">
        <v>1</v>
      </c>
      <c r="AG992">
        <v>1</v>
      </c>
      <c r="AH992">
        <v>1</v>
      </c>
      <c r="AI992">
        <v>0</v>
      </c>
      <c r="AJ992">
        <v>0</v>
      </c>
    </row>
    <row r="993" spans="1:36">
      <c r="A993" t="s">
        <v>1169</v>
      </c>
      <c r="B993">
        <v>7.1</v>
      </c>
      <c r="C993" s="7">
        <v>46118.246527777781</v>
      </c>
      <c r="D993" s="7">
        <v>46118.542276504631</v>
      </c>
      <c r="E993" t="s">
        <v>23</v>
      </c>
      <c r="F993" t="s">
        <v>40</v>
      </c>
      <c r="G993" t="s">
        <v>51</v>
      </c>
      <c r="H993" t="s">
        <v>66</v>
      </c>
      <c r="I993" t="s">
        <v>42</v>
      </c>
      <c r="J993" t="s">
        <v>36</v>
      </c>
      <c r="K993" t="s">
        <v>52</v>
      </c>
      <c r="L993" t="s">
        <v>30</v>
      </c>
      <c r="M993">
        <v>58</v>
      </c>
      <c r="N993">
        <v>4</v>
      </c>
      <c r="O993">
        <v>0</v>
      </c>
      <c r="P993">
        <v>3</v>
      </c>
      <c r="Q993" t="s">
        <v>31</v>
      </c>
      <c r="R993">
        <v>30</v>
      </c>
      <c r="S993">
        <v>8</v>
      </c>
      <c r="T993" t="s">
        <v>31</v>
      </c>
      <c r="U993" t="s">
        <v>63</v>
      </c>
      <c r="V993">
        <v>2026</v>
      </c>
      <c r="W993">
        <v>4</v>
      </c>
      <c r="X993" t="s">
        <v>1412</v>
      </c>
      <c r="Y993" s="6">
        <v>46113</v>
      </c>
      <c r="Z993" t="s">
        <v>1413</v>
      </c>
      <c r="AA993" t="s">
        <v>31</v>
      </c>
      <c r="AB993" t="s">
        <v>63</v>
      </c>
      <c r="AC993" t="s">
        <v>23</v>
      </c>
      <c r="AD993">
        <v>1</v>
      </c>
      <c r="AE993">
        <v>0</v>
      </c>
      <c r="AF993">
        <v>1</v>
      </c>
      <c r="AG993">
        <v>0</v>
      </c>
      <c r="AH993">
        <v>0</v>
      </c>
      <c r="AI993">
        <v>0</v>
      </c>
      <c r="AJ993">
        <v>1</v>
      </c>
    </row>
    <row r="994" spans="1:36">
      <c r="A994" t="s">
        <v>1170</v>
      </c>
      <c r="B994">
        <v>7.18</v>
      </c>
      <c r="C994" s="7">
        <v>46204.756249999999</v>
      </c>
      <c r="D994" s="7">
        <v>46205.055596446757</v>
      </c>
      <c r="E994" t="s">
        <v>23</v>
      </c>
      <c r="F994" t="s">
        <v>50</v>
      </c>
      <c r="G994" t="s">
        <v>41</v>
      </c>
      <c r="H994" t="s">
        <v>66</v>
      </c>
      <c r="I994" t="s">
        <v>27</v>
      </c>
      <c r="J994" t="s">
        <v>48</v>
      </c>
      <c r="K994" t="s">
        <v>52</v>
      </c>
      <c r="L994" t="s">
        <v>68</v>
      </c>
      <c r="M994">
        <v>78</v>
      </c>
      <c r="N994">
        <v>4</v>
      </c>
      <c r="O994">
        <v>0</v>
      </c>
      <c r="P994">
        <v>6</v>
      </c>
      <c r="Q994" t="s">
        <v>31</v>
      </c>
      <c r="R994">
        <v>120</v>
      </c>
      <c r="S994">
        <v>24</v>
      </c>
      <c r="T994" t="s">
        <v>63</v>
      </c>
      <c r="U994" t="s">
        <v>63</v>
      </c>
      <c r="V994">
        <v>2026</v>
      </c>
      <c r="W994">
        <v>7</v>
      </c>
      <c r="X994" t="s">
        <v>1422</v>
      </c>
      <c r="Y994" s="6">
        <v>46204</v>
      </c>
      <c r="Z994" t="s">
        <v>1413</v>
      </c>
      <c r="AA994" t="s">
        <v>31</v>
      </c>
      <c r="AB994" t="s">
        <v>63</v>
      </c>
      <c r="AC994" t="s">
        <v>23</v>
      </c>
      <c r="AD994">
        <v>1</v>
      </c>
      <c r="AE994">
        <v>0</v>
      </c>
      <c r="AF994">
        <v>1</v>
      </c>
      <c r="AG994">
        <v>0</v>
      </c>
      <c r="AH994">
        <v>0</v>
      </c>
      <c r="AI994">
        <v>1</v>
      </c>
      <c r="AJ994">
        <v>1</v>
      </c>
    </row>
    <row r="995" spans="1:36">
      <c r="A995" t="s">
        <v>1171</v>
      </c>
      <c r="B995">
        <v>42.67</v>
      </c>
      <c r="C995" s="7">
        <v>46045.137499999997</v>
      </c>
      <c r="D995" s="7">
        <v>46046.915452800924</v>
      </c>
      <c r="E995" t="s">
        <v>23</v>
      </c>
      <c r="F995" t="s">
        <v>50</v>
      </c>
      <c r="G995" t="s">
        <v>41</v>
      </c>
      <c r="H995" t="s">
        <v>26</v>
      </c>
      <c r="I995" t="s">
        <v>42</v>
      </c>
      <c r="J995" t="s">
        <v>43</v>
      </c>
      <c r="K995" t="s">
        <v>37</v>
      </c>
      <c r="L995" t="s">
        <v>44</v>
      </c>
      <c r="M995">
        <v>245</v>
      </c>
      <c r="N995">
        <v>3</v>
      </c>
      <c r="O995">
        <v>0</v>
      </c>
      <c r="P995">
        <v>5</v>
      </c>
      <c r="Q995" t="s">
        <v>31</v>
      </c>
      <c r="R995">
        <v>120</v>
      </c>
      <c r="S995">
        <v>24</v>
      </c>
      <c r="T995" t="s">
        <v>31</v>
      </c>
      <c r="U995" t="s">
        <v>31</v>
      </c>
      <c r="V995">
        <v>2026</v>
      </c>
      <c r="W995">
        <v>1</v>
      </c>
      <c r="X995" t="s">
        <v>1414</v>
      </c>
      <c r="Y995" s="6">
        <v>46023</v>
      </c>
      <c r="Z995" t="s">
        <v>1418</v>
      </c>
      <c r="AA995" t="s">
        <v>31</v>
      </c>
      <c r="AB995" t="s">
        <v>63</v>
      </c>
      <c r="AC995" t="s">
        <v>23</v>
      </c>
      <c r="AD995">
        <v>1</v>
      </c>
      <c r="AE995">
        <v>0</v>
      </c>
      <c r="AF995">
        <v>1</v>
      </c>
      <c r="AG995">
        <v>0</v>
      </c>
      <c r="AH995">
        <v>0</v>
      </c>
      <c r="AI995">
        <v>0</v>
      </c>
      <c r="AJ995">
        <v>0</v>
      </c>
    </row>
    <row r="996" spans="1:36">
      <c r="A996" t="s">
        <v>1172</v>
      </c>
      <c r="B996">
        <v>68.89</v>
      </c>
      <c r="C996" s="7">
        <v>46247.058333333334</v>
      </c>
      <c r="D996" s="7">
        <v>46249.928564247683</v>
      </c>
      <c r="E996" t="s">
        <v>23</v>
      </c>
      <c r="F996" t="s">
        <v>50</v>
      </c>
      <c r="G996" t="s">
        <v>25</v>
      </c>
      <c r="H996" t="s">
        <v>26</v>
      </c>
      <c r="I996" t="s">
        <v>42</v>
      </c>
      <c r="J996" t="s">
        <v>48</v>
      </c>
      <c r="K996" t="s">
        <v>37</v>
      </c>
      <c r="L996" t="s">
        <v>30</v>
      </c>
      <c r="M996">
        <v>79</v>
      </c>
      <c r="N996">
        <v>4</v>
      </c>
      <c r="O996">
        <v>0</v>
      </c>
      <c r="P996">
        <v>5</v>
      </c>
      <c r="Q996" t="s">
        <v>31</v>
      </c>
      <c r="R996">
        <v>120</v>
      </c>
      <c r="S996">
        <v>24</v>
      </c>
      <c r="T996" t="s">
        <v>63</v>
      </c>
      <c r="U996" t="s">
        <v>31</v>
      </c>
      <c r="V996">
        <v>2026</v>
      </c>
      <c r="W996">
        <v>8</v>
      </c>
      <c r="X996" t="s">
        <v>1417</v>
      </c>
      <c r="Y996" s="6">
        <v>46235</v>
      </c>
      <c r="Z996" t="s">
        <v>1413</v>
      </c>
      <c r="AA996" t="s">
        <v>31</v>
      </c>
      <c r="AB996" t="s">
        <v>63</v>
      </c>
      <c r="AC996" t="s">
        <v>23</v>
      </c>
      <c r="AD996">
        <v>1</v>
      </c>
      <c r="AE996">
        <v>0</v>
      </c>
      <c r="AF996">
        <v>1</v>
      </c>
      <c r="AG996">
        <v>0</v>
      </c>
      <c r="AH996">
        <v>0</v>
      </c>
      <c r="AI996">
        <v>1</v>
      </c>
      <c r="AJ996">
        <v>0</v>
      </c>
    </row>
    <row r="997" spans="1:36">
      <c r="A997" t="s">
        <v>1173</v>
      </c>
      <c r="B997">
        <v>10.88</v>
      </c>
      <c r="C997" s="7">
        <v>46097.572222222225</v>
      </c>
      <c r="D997" s="7">
        <v>46098.025694444441</v>
      </c>
      <c r="E997" t="s">
        <v>23</v>
      </c>
      <c r="F997" t="s">
        <v>40</v>
      </c>
      <c r="G997" t="s">
        <v>51</v>
      </c>
      <c r="H997" t="s">
        <v>26</v>
      </c>
      <c r="I997" t="s">
        <v>35</v>
      </c>
      <c r="J997" t="s">
        <v>43</v>
      </c>
      <c r="K997" t="s">
        <v>37</v>
      </c>
      <c r="L997" t="s">
        <v>44</v>
      </c>
      <c r="M997">
        <v>42</v>
      </c>
      <c r="N997">
        <v>4</v>
      </c>
      <c r="O997">
        <v>0</v>
      </c>
      <c r="P997">
        <v>5</v>
      </c>
      <c r="Q997" t="s">
        <v>31</v>
      </c>
      <c r="R997">
        <v>30</v>
      </c>
      <c r="S997">
        <v>8</v>
      </c>
      <c r="T997" t="s">
        <v>31</v>
      </c>
      <c r="U997" t="s">
        <v>31</v>
      </c>
      <c r="V997">
        <v>2026</v>
      </c>
      <c r="W997">
        <v>3</v>
      </c>
      <c r="X997" t="s">
        <v>1423</v>
      </c>
      <c r="Y997" s="6">
        <v>46082</v>
      </c>
      <c r="Z997" t="s">
        <v>1413</v>
      </c>
      <c r="AA997" t="s">
        <v>31</v>
      </c>
      <c r="AB997" t="s">
        <v>63</v>
      </c>
      <c r="AC997" t="s">
        <v>23</v>
      </c>
      <c r="AD997">
        <v>1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0</v>
      </c>
    </row>
    <row r="998" spans="1:36">
      <c r="A998" t="s">
        <v>1175</v>
      </c>
      <c r="B998">
        <v>24.54</v>
      </c>
      <c r="C998" s="7">
        <v>46077.186111111114</v>
      </c>
      <c r="D998" s="7">
        <v>46078.208711678242</v>
      </c>
      <c r="E998" t="s">
        <v>23</v>
      </c>
      <c r="F998" t="s">
        <v>50</v>
      </c>
      <c r="G998" t="s">
        <v>25</v>
      </c>
      <c r="H998" t="s">
        <v>75</v>
      </c>
      <c r="I998" t="s">
        <v>27</v>
      </c>
      <c r="J998" t="s">
        <v>28</v>
      </c>
      <c r="K998" t="s">
        <v>29</v>
      </c>
      <c r="L998" t="s">
        <v>101</v>
      </c>
      <c r="M998">
        <v>219</v>
      </c>
      <c r="N998">
        <v>3</v>
      </c>
      <c r="O998">
        <v>0</v>
      </c>
      <c r="P998">
        <v>5</v>
      </c>
      <c r="Q998" t="s">
        <v>31</v>
      </c>
      <c r="R998">
        <v>120</v>
      </c>
      <c r="S998">
        <v>24</v>
      </c>
      <c r="T998" t="s">
        <v>31</v>
      </c>
      <c r="U998" t="s">
        <v>31</v>
      </c>
      <c r="V998">
        <v>2026</v>
      </c>
      <c r="W998">
        <v>2</v>
      </c>
      <c r="X998" t="s">
        <v>1419</v>
      </c>
      <c r="Y998" s="6">
        <v>46054</v>
      </c>
      <c r="Z998" t="s">
        <v>1418</v>
      </c>
      <c r="AA998" t="s">
        <v>31</v>
      </c>
      <c r="AB998" t="s">
        <v>63</v>
      </c>
      <c r="AC998" t="s">
        <v>23</v>
      </c>
      <c r="AD998">
        <v>1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</row>
    <row r="999" spans="1:36">
      <c r="A999" t="s">
        <v>1176</v>
      </c>
      <c r="B999">
        <v>19.34</v>
      </c>
      <c r="C999" s="7">
        <v>46031.488888888889</v>
      </c>
      <c r="D999" s="7">
        <v>46032.294539467592</v>
      </c>
      <c r="E999" t="s">
        <v>23</v>
      </c>
      <c r="F999" t="s">
        <v>50</v>
      </c>
      <c r="G999" t="s">
        <v>41</v>
      </c>
      <c r="H999" t="s">
        <v>34</v>
      </c>
      <c r="I999" t="s">
        <v>42</v>
      </c>
      <c r="J999" t="s">
        <v>28</v>
      </c>
      <c r="K999" t="s">
        <v>76</v>
      </c>
      <c r="L999" t="s">
        <v>71</v>
      </c>
      <c r="M999">
        <v>58</v>
      </c>
      <c r="N999">
        <v>4</v>
      </c>
      <c r="O999">
        <v>0</v>
      </c>
      <c r="P999">
        <v>3</v>
      </c>
      <c r="Q999" t="s">
        <v>31</v>
      </c>
      <c r="R999">
        <v>120</v>
      </c>
      <c r="S999">
        <v>24</v>
      </c>
      <c r="T999" t="s">
        <v>63</v>
      </c>
      <c r="U999" t="s">
        <v>63</v>
      </c>
      <c r="V999">
        <v>2026</v>
      </c>
      <c r="W999">
        <v>1</v>
      </c>
      <c r="X999" t="s">
        <v>1414</v>
      </c>
      <c r="Y999" s="6">
        <v>46023</v>
      </c>
      <c r="Z999" t="s">
        <v>1413</v>
      </c>
      <c r="AA999" t="s">
        <v>31</v>
      </c>
      <c r="AB999" t="s">
        <v>63</v>
      </c>
      <c r="AC999" t="s">
        <v>23</v>
      </c>
      <c r="AD999">
        <v>1</v>
      </c>
      <c r="AE999">
        <v>0</v>
      </c>
      <c r="AF999">
        <v>1</v>
      </c>
      <c r="AG999">
        <v>0</v>
      </c>
      <c r="AH999">
        <v>0</v>
      </c>
      <c r="AI999">
        <v>1</v>
      </c>
      <c r="AJ999">
        <v>1</v>
      </c>
    </row>
    <row r="1000" spans="1:36">
      <c r="A1000" t="s">
        <v>1177</v>
      </c>
      <c r="C1000" s="7">
        <v>46203.490972222222</v>
      </c>
      <c r="D1000" s="7"/>
      <c r="E1000" t="s">
        <v>57</v>
      </c>
      <c r="F1000" t="s">
        <v>40</v>
      </c>
      <c r="G1000" t="s">
        <v>25</v>
      </c>
      <c r="H1000" t="s">
        <v>75</v>
      </c>
      <c r="I1000" t="s">
        <v>42</v>
      </c>
      <c r="J1000" t="s">
        <v>28</v>
      </c>
      <c r="K1000" t="s">
        <v>52</v>
      </c>
      <c r="L1000" t="s">
        <v>93</v>
      </c>
      <c r="M1000">
        <v>20</v>
      </c>
      <c r="O1000">
        <v>0</v>
      </c>
      <c r="P1000">
        <v>4</v>
      </c>
      <c r="Q1000" t="s">
        <v>31</v>
      </c>
      <c r="R1000">
        <v>30</v>
      </c>
      <c r="S1000">
        <v>8</v>
      </c>
      <c r="T1000" t="s">
        <v>63</v>
      </c>
      <c r="U1000" t="s">
        <v>74</v>
      </c>
      <c r="V1000">
        <v>2026</v>
      </c>
      <c r="W1000">
        <v>6</v>
      </c>
      <c r="X1000" t="s">
        <v>1421</v>
      </c>
      <c r="Y1000" s="6">
        <v>46174</v>
      </c>
      <c r="Z1000" t="s">
        <v>1420</v>
      </c>
      <c r="AA1000" t="s">
        <v>31</v>
      </c>
      <c r="AB1000" t="s">
        <v>31</v>
      </c>
      <c r="AC1000" t="s">
        <v>57</v>
      </c>
      <c r="AD1000">
        <v>1</v>
      </c>
      <c r="AE1000">
        <v>1</v>
      </c>
      <c r="AF1000">
        <v>0</v>
      </c>
      <c r="AG1000">
        <v>0</v>
      </c>
      <c r="AH1000">
        <v>0</v>
      </c>
      <c r="AI1000">
        <v>1</v>
      </c>
    </row>
    <row r="1001" spans="1:36">
      <c r="A1001" t="s">
        <v>1178</v>
      </c>
      <c r="B1001">
        <v>53.95</v>
      </c>
      <c r="C1001" s="7">
        <v>46255.324999999997</v>
      </c>
      <c r="D1001" s="7">
        <v>46257.573020983793</v>
      </c>
      <c r="E1001" t="s">
        <v>23</v>
      </c>
      <c r="F1001" t="s">
        <v>33</v>
      </c>
      <c r="G1001" t="s">
        <v>51</v>
      </c>
      <c r="H1001" t="s">
        <v>54</v>
      </c>
      <c r="I1001" t="s">
        <v>27</v>
      </c>
      <c r="J1001" t="s">
        <v>43</v>
      </c>
      <c r="K1001" t="s">
        <v>37</v>
      </c>
      <c r="L1001" t="s">
        <v>85</v>
      </c>
      <c r="M1001">
        <v>282</v>
      </c>
      <c r="N1001">
        <v>3</v>
      </c>
      <c r="O1001">
        <v>0</v>
      </c>
      <c r="P1001">
        <v>7</v>
      </c>
      <c r="Q1001" t="s">
        <v>31</v>
      </c>
      <c r="R1001">
        <v>240</v>
      </c>
      <c r="S1001">
        <v>48</v>
      </c>
      <c r="T1001" t="s">
        <v>31</v>
      </c>
      <c r="U1001" t="s">
        <v>31</v>
      </c>
      <c r="V1001">
        <v>2026</v>
      </c>
      <c r="W1001">
        <v>8</v>
      </c>
      <c r="X1001" t="s">
        <v>1417</v>
      </c>
      <c r="Y1001" s="6">
        <v>46235</v>
      </c>
      <c r="Z1001" t="s">
        <v>1418</v>
      </c>
      <c r="AA1001" t="s">
        <v>31</v>
      </c>
      <c r="AB1001" t="s">
        <v>63</v>
      </c>
      <c r="AC1001" t="s">
        <v>23</v>
      </c>
      <c r="AD1001">
        <v>1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</row>
    <row r="1002" spans="1:36">
      <c r="A1002" t="s">
        <v>1179</v>
      </c>
      <c r="C1002" s="7">
        <v>46148.356249999997</v>
      </c>
      <c r="D1002" s="7"/>
      <c r="E1002" t="s">
        <v>74</v>
      </c>
      <c r="F1002" t="s">
        <v>50</v>
      </c>
      <c r="G1002" t="s">
        <v>25</v>
      </c>
      <c r="H1002" t="s">
        <v>66</v>
      </c>
      <c r="I1002" t="s">
        <v>35</v>
      </c>
      <c r="J1002" t="s">
        <v>36</v>
      </c>
      <c r="K1002" t="s">
        <v>67</v>
      </c>
      <c r="L1002" t="s">
        <v>101</v>
      </c>
      <c r="M1002">
        <v>334</v>
      </c>
      <c r="O1002">
        <v>0</v>
      </c>
      <c r="P1002">
        <v>2</v>
      </c>
      <c r="Q1002" t="s">
        <v>31</v>
      </c>
      <c r="R1002">
        <v>120</v>
      </c>
      <c r="S1002">
        <v>24</v>
      </c>
      <c r="T1002" t="s">
        <v>31</v>
      </c>
      <c r="U1002" t="s">
        <v>74</v>
      </c>
      <c r="V1002">
        <v>2026</v>
      </c>
      <c r="W1002">
        <v>5</v>
      </c>
      <c r="X1002" t="s">
        <v>1416</v>
      </c>
      <c r="Y1002" s="6">
        <v>46143</v>
      </c>
      <c r="Z1002" t="s">
        <v>1420</v>
      </c>
      <c r="AA1002" t="s">
        <v>31</v>
      </c>
      <c r="AB1002" t="s">
        <v>31</v>
      </c>
      <c r="AC1002" t="s">
        <v>74</v>
      </c>
      <c r="AD1002">
        <v>1</v>
      </c>
      <c r="AE1002">
        <v>1</v>
      </c>
      <c r="AF1002">
        <v>0</v>
      </c>
      <c r="AG1002">
        <v>0</v>
      </c>
      <c r="AH1002">
        <v>0</v>
      </c>
      <c r="AI1002">
        <v>0</v>
      </c>
    </row>
    <row r="1003" spans="1:36">
      <c r="A1003" t="s">
        <v>1180</v>
      </c>
      <c r="B1003">
        <v>19.350000000000001</v>
      </c>
      <c r="C1003" s="7">
        <v>46242.752083333333</v>
      </c>
      <c r="D1003" s="7">
        <v>46243.558259780089</v>
      </c>
      <c r="E1003" t="s">
        <v>23</v>
      </c>
      <c r="F1003" t="s">
        <v>50</v>
      </c>
      <c r="G1003" t="s">
        <v>41</v>
      </c>
      <c r="H1003" t="s">
        <v>26</v>
      </c>
      <c r="I1003" t="s">
        <v>35</v>
      </c>
      <c r="J1003" t="s">
        <v>36</v>
      </c>
      <c r="K1003" t="s">
        <v>52</v>
      </c>
      <c r="L1003" t="s">
        <v>30</v>
      </c>
      <c r="M1003">
        <v>48</v>
      </c>
      <c r="N1003">
        <v>5</v>
      </c>
      <c r="O1003">
        <v>0</v>
      </c>
      <c r="P1003">
        <v>5</v>
      </c>
      <c r="Q1003" t="s">
        <v>31</v>
      </c>
      <c r="R1003">
        <v>120</v>
      </c>
      <c r="S1003">
        <v>24</v>
      </c>
      <c r="T1003" t="s">
        <v>63</v>
      </c>
      <c r="U1003" t="s">
        <v>63</v>
      </c>
      <c r="V1003">
        <v>2026</v>
      </c>
      <c r="W1003">
        <v>8</v>
      </c>
      <c r="X1003" t="s">
        <v>1417</v>
      </c>
      <c r="Y1003" s="6">
        <v>46235</v>
      </c>
      <c r="Z1003" t="s">
        <v>1413</v>
      </c>
      <c r="AA1003" t="s">
        <v>31</v>
      </c>
      <c r="AB1003" t="s">
        <v>63</v>
      </c>
      <c r="AC1003" t="s">
        <v>23</v>
      </c>
      <c r="AD1003">
        <v>1</v>
      </c>
      <c r="AE1003">
        <v>0</v>
      </c>
      <c r="AF1003">
        <v>1</v>
      </c>
      <c r="AG1003">
        <v>0</v>
      </c>
      <c r="AH1003">
        <v>0</v>
      </c>
      <c r="AI1003">
        <v>1</v>
      </c>
      <c r="AJ1003">
        <v>1</v>
      </c>
    </row>
    <row r="1004" spans="1:36">
      <c r="A1004" t="s">
        <v>1181</v>
      </c>
      <c r="B1004">
        <v>45.57</v>
      </c>
      <c r="C1004" s="7">
        <v>46054.474305555559</v>
      </c>
      <c r="D1004" s="7">
        <v>46056.372923206021</v>
      </c>
      <c r="E1004" t="s">
        <v>23</v>
      </c>
      <c r="F1004" t="s">
        <v>33</v>
      </c>
      <c r="G1004" t="s">
        <v>65</v>
      </c>
      <c r="H1004" t="s">
        <v>66</v>
      </c>
      <c r="I1004" t="s">
        <v>35</v>
      </c>
      <c r="J1004" t="s">
        <v>36</v>
      </c>
      <c r="K1004" t="s">
        <v>29</v>
      </c>
      <c r="L1004" t="s">
        <v>68</v>
      </c>
      <c r="M1004">
        <v>176</v>
      </c>
      <c r="N1004">
        <v>3</v>
      </c>
      <c r="O1004">
        <v>0</v>
      </c>
      <c r="P1004">
        <v>9</v>
      </c>
      <c r="Q1004" t="s">
        <v>63</v>
      </c>
      <c r="R1004">
        <v>240</v>
      </c>
      <c r="S1004">
        <v>48</v>
      </c>
      <c r="T1004" t="s">
        <v>63</v>
      </c>
      <c r="U1004" t="s">
        <v>63</v>
      </c>
      <c r="V1004">
        <v>2026</v>
      </c>
      <c r="W1004">
        <v>2</v>
      </c>
      <c r="X1004" t="s">
        <v>1419</v>
      </c>
      <c r="Y1004" s="6">
        <v>46054</v>
      </c>
      <c r="Z1004" t="s">
        <v>1418</v>
      </c>
      <c r="AA1004" t="s">
        <v>31</v>
      </c>
      <c r="AB1004" t="s">
        <v>63</v>
      </c>
      <c r="AC1004" t="s">
        <v>23</v>
      </c>
      <c r="AD1004">
        <v>1</v>
      </c>
      <c r="AE1004">
        <v>0</v>
      </c>
      <c r="AF1004">
        <v>1</v>
      </c>
      <c r="AG1004">
        <v>0</v>
      </c>
      <c r="AH1004">
        <v>1</v>
      </c>
      <c r="AI1004">
        <v>1</v>
      </c>
      <c r="AJ1004">
        <v>1</v>
      </c>
    </row>
    <row r="1005" spans="1:36">
      <c r="A1005" t="s">
        <v>1182</v>
      </c>
      <c r="B1005">
        <v>7.61</v>
      </c>
      <c r="C1005" s="7">
        <v>46040.369444444441</v>
      </c>
      <c r="D1005" s="7">
        <v>46040.686461874997</v>
      </c>
      <c r="E1005" t="s">
        <v>23</v>
      </c>
      <c r="F1005" t="s">
        <v>40</v>
      </c>
      <c r="G1005" t="s">
        <v>25</v>
      </c>
      <c r="H1005" t="s">
        <v>26</v>
      </c>
      <c r="I1005" t="s">
        <v>42</v>
      </c>
      <c r="J1005" t="s">
        <v>43</v>
      </c>
      <c r="K1005" t="s">
        <v>37</v>
      </c>
      <c r="L1005" t="s">
        <v>30</v>
      </c>
      <c r="M1005">
        <v>23</v>
      </c>
      <c r="N1005">
        <v>4</v>
      </c>
      <c r="O1005">
        <v>1</v>
      </c>
      <c r="P1005">
        <v>4</v>
      </c>
      <c r="Q1005" t="s">
        <v>31</v>
      </c>
      <c r="R1005">
        <v>30</v>
      </c>
      <c r="S1005">
        <v>8</v>
      </c>
      <c r="T1005" t="s">
        <v>63</v>
      </c>
      <c r="U1005" t="s">
        <v>63</v>
      </c>
      <c r="V1005">
        <v>2026</v>
      </c>
      <c r="W1005">
        <v>1</v>
      </c>
      <c r="X1005" t="s">
        <v>1414</v>
      </c>
      <c r="Y1005" s="6">
        <v>46023</v>
      </c>
      <c r="Z1005" t="s">
        <v>1413</v>
      </c>
      <c r="AA1005" t="s">
        <v>63</v>
      </c>
      <c r="AB1005" t="s">
        <v>63</v>
      </c>
      <c r="AC1005" t="s">
        <v>23</v>
      </c>
      <c r="AD1005">
        <v>1</v>
      </c>
      <c r="AE1005">
        <v>0</v>
      </c>
      <c r="AF1005">
        <v>1</v>
      </c>
      <c r="AG1005">
        <v>1</v>
      </c>
      <c r="AH1005">
        <v>0</v>
      </c>
      <c r="AI1005">
        <v>1</v>
      </c>
      <c r="AJ1005">
        <v>1</v>
      </c>
    </row>
    <row r="1006" spans="1:36">
      <c r="A1006" t="s">
        <v>1183</v>
      </c>
      <c r="B1006">
        <v>28.19</v>
      </c>
      <c r="C1006" s="7">
        <v>46141.186111111114</v>
      </c>
      <c r="D1006" s="7">
        <v>46142.360538622685</v>
      </c>
      <c r="E1006" t="s">
        <v>23</v>
      </c>
      <c r="F1006" t="s">
        <v>50</v>
      </c>
      <c r="G1006" t="s">
        <v>51</v>
      </c>
      <c r="H1006" t="s">
        <v>26</v>
      </c>
      <c r="I1006" t="s">
        <v>42</v>
      </c>
      <c r="J1006" t="s">
        <v>48</v>
      </c>
      <c r="K1006" t="s">
        <v>76</v>
      </c>
      <c r="L1006" t="s">
        <v>93</v>
      </c>
      <c r="M1006">
        <v>62</v>
      </c>
      <c r="N1006">
        <v>4</v>
      </c>
      <c r="O1006">
        <v>0</v>
      </c>
      <c r="P1006">
        <v>5</v>
      </c>
      <c r="Q1006" t="s">
        <v>31</v>
      </c>
      <c r="R1006">
        <v>120</v>
      </c>
      <c r="S1006">
        <v>24</v>
      </c>
      <c r="T1006" t="s">
        <v>63</v>
      </c>
      <c r="U1006" t="s">
        <v>31</v>
      </c>
      <c r="V1006">
        <v>2026</v>
      </c>
      <c r="W1006">
        <v>4</v>
      </c>
      <c r="X1006" t="s">
        <v>1412</v>
      </c>
      <c r="Y1006" s="6">
        <v>46113</v>
      </c>
      <c r="Z1006" t="s">
        <v>1413</v>
      </c>
      <c r="AA1006" t="s">
        <v>31</v>
      </c>
      <c r="AB1006" t="s">
        <v>63</v>
      </c>
      <c r="AC1006" t="s">
        <v>23</v>
      </c>
      <c r="AD1006">
        <v>1</v>
      </c>
      <c r="AE1006">
        <v>0</v>
      </c>
      <c r="AF1006">
        <v>1</v>
      </c>
      <c r="AG1006">
        <v>0</v>
      </c>
      <c r="AH1006">
        <v>0</v>
      </c>
      <c r="AI1006">
        <v>1</v>
      </c>
      <c r="AJ1006">
        <v>0</v>
      </c>
    </row>
    <row r="1007" spans="1:36">
      <c r="A1007" t="s">
        <v>1184</v>
      </c>
      <c r="B1007">
        <v>13.14</v>
      </c>
      <c r="C1007" s="7">
        <v>46234.18472222222</v>
      </c>
      <c r="D1007" s="7">
        <v>46234.73206638889</v>
      </c>
      <c r="E1007" t="s">
        <v>23</v>
      </c>
      <c r="F1007" t="s">
        <v>40</v>
      </c>
      <c r="G1007" t="s">
        <v>51</v>
      </c>
      <c r="H1007" t="s">
        <v>75</v>
      </c>
      <c r="I1007" t="s">
        <v>35</v>
      </c>
      <c r="J1007" t="s">
        <v>48</v>
      </c>
      <c r="K1007" t="s">
        <v>76</v>
      </c>
      <c r="L1007" t="s">
        <v>101</v>
      </c>
      <c r="M1007">
        <v>36</v>
      </c>
      <c r="N1007">
        <v>4</v>
      </c>
      <c r="O1007">
        <v>0</v>
      </c>
      <c r="P1007">
        <v>5</v>
      </c>
      <c r="Q1007" t="s">
        <v>31</v>
      </c>
      <c r="R1007">
        <v>30</v>
      </c>
      <c r="S1007">
        <v>8</v>
      </c>
      <c r="T1007" t="s">
        <v>31</v>
      </c>
      <c r="U1007" t="s">
        <v>31</v>
      </c>
      <c r="V1007">
        <v>2026</v>
      </c>
      <c r="W1007">
        <v>7</v>
      </c>
      <c r="X1007" t="s">
        <v>1422</v>
      </c>
      <c r="Y1007" s="6">
        <v>46204</v>
      </c>
      <c r="Z1007" t="s">
        <v>1413</v>
      </c>
      <c r="AA1007" t="s">
        <v>31</v>
      </c>
      <c r="AB1007" t="s">
        <v>63</v>
      </c>
      <c r="AC1007" t="s">
        <v>23</v>
      </c>
      <c r="AD1007">
        <v>1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0</v>
      </c>
    </row>
    <row r="1008" spans="1:36">
      <c r="A1008" t="s">
        <v>1185</v>
      </c>
      <c r="B1008">
        <v>18.309999999999999</v>
      </c>
      <c r="C1008" s="7">
        <v>46154.765277777777</v>
      </c>
      <c r="D1008" s="7">
        <v>46155.528217627318</v>
      </c>
      <c r="E1008" t="s">
        <v>23</v>
      </c>
      <c r="F1008" t="s">
        <v>40</v>
      </c>
      <c r="G1008" t="s">
        <v>51</v>
      </c>
      <c r="H1008" t="s">
        <v>26</v>
      </c>
      <c r="I1008" t="s">
        <v>35</v>
      </c>
      <c r="J1008" t="s">
        <v>48</v>
      </c>
      <c r="K1008" t="s">
        <v>37</v>
      </c>
      <c r="L1008" t="s">
        <v>55</v>
      </c>
      <c r="M1008">
        <v>48</v>
      </c>
      <c r="N1008">
        <v>4</v>
      </c>
      <c r="O1008">
        <v>0</v>
      </c>
      <c r="P1008">
        <v>5</v>
      </c>
      <c r="Q1008" t="s">
        <v>31</v>
      </c>
      <c r="R1008">
        <v>30</v>
      </c>
      <c r="S1008">
        <v>8</v>
      </c>
      <c r="T1008" t="s">
        <v>31</v>
      </c>
      <c r="U1008" t="s">
        <v>31</v>
      </c>
      <c r="V1008">
        <v>2026</v>
      </c>
      <c r="W1008">
        <v>5</v>
      </c>
      <c r="X1008" t="s">
        <v>1416</v>
      </c>
      <c r="Y1008" s="6">
        <v>46143</v>
      </c>
      <c r="Z1008" t="s">
        <v>1413</v>
      </c>
      <c r="AA1008" t="s">
        <v>31</v>
      </c>
      <c r="AB1008" t="s">
        <v>63</v>
      </c>
      <c r="AC1008" t="s">
        <v>23</v>
      </c>
      <c r="AD1008">
        <v>1</v>
      </c>
      <c r="AE1008">
        <v>0</v>
      </c>
      <c r="AF1008">
        <v>1</v>
      </c>
      <c r="AG1008">
        <v>0</v>
      </c>
      <c r="AH1008">
        <v>0</v>
      </c>
      <c r="AI1008">
        <v>0</v>
      </c>
      <c r="AJ1008">
        <v>0</v>
      </c>
    </row>
    <row r="1009" spans="1:36">
      <c r="A1009" t="s">
        <v>1186</v>
      </c>
      <c r="B1009">
        <v>6.85</v>
      </c>
      <c r="C1009" s="7">
        <v>46042.189583333333</v>
      </c>
      <c r="D1009" s="7">
        <v>46042.474884050927</v>
      </c>
      <c r="E1009" t="s">
        <v>23</v>
      </c>
      <c r="F1009" t="s">
        <v>40</v>
      </c>
      <c r="G1009" t="s">
        <v>51</v>
      </c>
      <c r="H1009" t="s">
        <v>66</v>
      </c>
      <c r="I1009" t="s">
        <v>35</v>
      </c>
      <c r="J1009" t="s">
        <v>36</v>
      </c>
      <c r="K1009" t="s">
        <v>76</v>
      </c>
      <c r="L1009" t="s">
        <v>55</v>
      </c>
      <c r="M1009">
        <v>26</v>
      </c>
      <c r="N1009">
        <v>5</v>
      </c>
      <c r="O1009">
        <v>0</v>
      </c>
      <c r="P1009">
        <v>3</v>
      </c>
      <c r="Q1009" t="s">
        <v>31</v>
      </c>
      <c r="R1009">
        <v>30</v>
      </c>
      <c r="S1009">
        <v>8</v>
      </c>
      <c r="T1009" t="s">
        <v>63</v>
      </c>
      <c r="U1009" t="s">
        <v>63</v>
      </c>
      <c r="V1009">
        <v>2026</v>
      </c>
      <c r="W1009">
        <v>1</v>
      </c>
      <c r="X1009" t="s">
        <v>1414</v>
      </c>
      <c r="Y1009" s="6">
        <v>46023</v>
      </c>
      <c r="Z1009" t="s">
        <v>1413</v>
      </c>
      <c r="AA1009" t="s">
        <v>31</v>
      </c>
      <c r="AB1009" t="s">
        <v>63</v>
      </c>
      <c r="AC1009" t="s">
        <v>23</v>
      </c>
      <c r="AD1009">
        <v>1</v>
      </c>
      <c r="AE1009">
        <v>0</v>
      </c>
      <c r="AF1009">
        <v>1</v>
      </c>
      <c r="AG1009">
        <v>0</v>
      </c>
      <c r="AH1009">
        <v>0</v>
      </c>
      <c r="AI1009">
        <v>1</v>
      </c>
      <c r="AJ1009">
        <v>1</v>
      </c>
    </row>
    <row r="1010" spans="1:36">
      <c r="A1010" t="s">
        <v>1187</v>
      </c>
      <c r="B1010">
        <v>19.8</v>
      </c>
      <c r="C1010" s="7">
        <v>46174.620138888888</v>
      </c>
      <c r="D1010" s="7">
        <v>46175.445040266204</v>
      </c>
      <c r="E1010" t="s">
        <v>23</v>
      </c>
      <c r="F1010" t="s">
        <v>33</v>
      </c>
      <c r="G1010" t="s">
        <v>65</v>
      </c>
      <c r="H1010" t="s">
        <v>26</v>
      </c>
      <c r="I1010" t="s">
        <v>35</v>
      </c>
      <c r="J1010" t="s">
        <v>36</v>
      </c>
      <c r="K1010" t="s">
        <v>29</v>
      </c>
      <c r="L1010" t="s">
        <v>62</v>
      </c>
      <c r="M1010">
        <v>213</v>
      </c>
      <c r="N1010">
        <v>4</v>
      </c>
      <c r="O1010">
        <v>0</v>
      </c>
      <c r="P1010">
        <v>7</v>
      </c>
      <c r="Q1010" t="s">
        <v>31</v>
      </c>
      <c r="R1010">
        <v>240</v>
      </c>
      <c r="S1010">
        <v>48</v>
      </c>
      <c r="T1010" t="s">
        <v>63</v>
      </c>
      <c r="U1010" t="s">
        <v>63</v>
      </c>
      <c r="V1010">
        <v>2026</v>
      </c>
      <c r="W1010">
        <v>6</v>
      </c>
      <c r="X1010" t="s">
        <v>1421</v>
      </c>
      <c r="Y1010" s="6">
        <v>46174</v>
      </c>
      <c r="Z1010" t="s">
        <v>1413</v>
      </c>
      <c r="AA1010" t="s">
        <v>31</v>
      </c>
      <c r="AB1010" t="s">
        <v>63</v>
      </c>
      <c r="AC1010" t="s">
        <v>23</v>
      </c>
      <c r="AD1010">
        <v>1</v>
      </c>
      <c r="AE1010">
        <v>0</v>
      </c>
      <c r="AF1010">
        <v>1</v>
      </c>
      <c r="AG1010">
        <v>0</v>
      </c>
      <c r="AH1010">
        <v>0</v>
      </c>
      <c r="AI1010">
        <v>1</v>
      </c>
      <c r="AJ1010">
        <v>1</v>
      </c>
    </row>
    <row r="1011" spans="1:36">
      <c r="A1011" t="s">
        <v>1188</v>
      </c>
      <c r="B1011">
        <v>7.16</v>
      </c>
      <c r="C1011" s="7">
        <v>46047.306944444441</v>
      </c>
      <c r="D1011" s="7">
        <v>46047.605204236112</v>
      </c>
      <c r="E1011" t="s">
        <v>23</v>
      </c>
      <c r="F1011" t="s">
        <v>50</v>
      </c>
      <c r="G1011" t="s">
        <v>25</v>
      </c>
      <c r="H1011" t="s">
        <v>34</v>
      </c>
      <c r="I1011" t="s">
        <v>35</v>
      </c>
      <c r="J1011" t="s">
        <v>36</v>
      </c>
      <c r="K1011" t="s">
        <v>52</v>
      </c>
      <c r="L1011" t="s">
        <v>30</v>
      </c>
      <c r="M1011">
        <v>96</v>
      </c>
      <c r="N1011">
        <v>5</v>
      </c>
      <c r="O1011">
        <v>0</v>
      </c>
      <c r="P1011">
        <v>5</v>
      </c>
      <c r="Q1011" t="s">
        <v>31</v>
      </c>
      <c r="R1011">
        <v>120</v>
      </c>
      <c r="S1011">
        <v>24</v>
      </c>
      <c r="T1011" t="s">
        <v>63</v>
      </c>
      <c r="U1011" t="s">
        <v>63</v>
      </c>
      <c r="V1011">
        <v>2026</v>
      </c>
      <c r="W1011">
        <v>1</v>
      </c>
      <c r="X1011" t="s">
        <v>1414</v>
      </c>
      <c r="Y1011" s="6">
        <v>46023</v>
      </c>
      <c r="Z1011" t="s">
        <v>1413</v>
      </c>
      <c r="AA1011" t="s">
        <v>31</v>
      </c>
      <c r="AB1011" t="s">
        <v>63</v>
      </c>
      <c r="AC1011" t="s">
        <v>23</v>
      </c>
      <c r="AD1011">
        <v>1</v>
      </c>
      <c r="AE1011">
        <v>0</v>
      </c>
      <c r="AF1011">
        <v>1</v>
      </c>
      <c r="AG1011">
        <v>0</v>
      </c>
      <c r="AH1011">
        <v>0</v>
      </c>
      <c r="AI1011">
        <v>1</v>
      </c>
      <c r="AJ1011">
        <v>1</v>
      </c>
    </row>
    <row r="1012" spans="1:36">
      <c r="A1012" t="s">
        <v>1189</v>
      </c>
      <c r="B1012">
        <v>3.48</v>
      </c>
      <c r="C1012" s="7">
        <v>46122.486111111109</v>
      </c>
      <c r="D1012" s="7">
        <v>46122.630906990744</v>
      </c>
      <c r="E1012" t="s">
        <v>23</v>
      </c>
      <c r="F1012" t="s">
        <v>40</v>
      </c>
      <c r="G1012" t="s">
        <v>25</v>
      </c>
      <c r="H1012" t="s">
        <v>66</v>
      </c>
      <c r="I1012" t="s">
        <v>42</v>
      </c>
      <c r="J1012" t="s">
        <v>43</v>
      </c>
      <c r="K1012" t="s">
        <v>29</v>
      </c>
      <c r="L1012" t="s">
        <v>71</v>
      </c>
      <c r="M1012">
        <v>25</v>
      </c>
      <c r="N1012">
        <v>4</v>
      </c>
      <c r="O1012">
        <v>0</v>
      </c>
      <c r="P1012">
        <v>5</v>
      </c>
      <c r="Q1012" t="s">
        <v>31</v>
      </c>
      <c r="R1012">
        <v>30</v>
      </c>
      <c r="S1012">
        <v>8</v>
      </c>
      <c r="T1012" t="s">
        <v>63</v>
      </c>
      <c r="U1012" t="s">
        <v>63</v>
      </c>
      <c r="V1012">
        <v>2026</v>
      </c>
      <c r="W1012">
        <v>4</v>
      </c>
      <c r="X1012" t="s">
        <v>1412</v>
      </c>
      <c r="Y1012" s="6">
        <v>46113</v>
      </c>
      <c r="Z1012" t="s">
        <v>1413</v>
      </c>
      <c r="AA1012" t="s">
        <v>31</v>
      </c>
      <c r="AB1012" t="s">
        <v>63</v>
      </c>
      <c r="AC1012" t="s">
        <v>23</v>
      </c>
      <c r="AD1012">
        <v>1</v>
      </c>
      <c r="AE1012">
        <v>0</v>
      </c>
      <c r="AF1012">
        <v>1</v>
      </c>
      <c r="AG1012">
        <v>0</v>
      </c>
      <c r="AH1012">
        <v>0</v>
      </c>
      <c r="AI1012">
        <v>1</v>
      </c>
      <c r="AJ1012">
        <v>1</v>
      </c>
    </row>
    <row r="1013" spans="1:36">
      <c r="A1013" t="s">
        <v>1190</v>
      </c>
      <c r="B1013">
        <v>4.5999999999999996</v>
      </c>
      <c r="C1013" s="7">
        <v>46175.718055555553</v>
      </c>
      <c r="D1013" s="7">
        <v>46175.909800289352</v>
      </c>
      <c r="E1013" t="s">
        <v>23</v>
      </c>
      <c r="F1013" t="s">
        <v>1402</v>
      </c>
      <c r="G1013" t="s">
        <v>41</v>
      </c>
      <c r="H1013" t="s">
        <v>66</v>
      </c>
      <c r="I1013" t="s">
        <v>35</v>
      </c>
      <c r="J1013" t="s">
        <v>36</v>
      </c>
      <c r="K1013" t="s">
        <v>29</v>
      </c>
      <c r="L1013" t="s">
        <v>55</v>
      </c>
      <c r="M1013">
        <v>81</v>
      </c>
      <c r="N1013">
        <v>4</v>
      </c>
      <c r="O1013">
        <v>1</v>
      </c>
      <c r="P1013">
        <v>7</v>
      </c>
      <c r="Q1013" t="s">
        <v>31</v>
      </c>
      <c r="V1013">
        <v>2026</v>
      </c>
      <c r="W1013">
        <v>6</v>
      </c>
      <c r="X1013" t="s">
        <v>1421</v>
      </c>
      <c r="Y1013" s="6">
        <v>46174</v>
      </c>
      <c r="Z1013" t="s">
        <v>1413</v>
      </c>
      <c r="AA1013" t="s">
        <v>63</v>
      </c>
      <c r="AB1013" t="s">
        <v>63</v>
      </c>
      <c r="AC1013" t="s">
        <v>23</v>
      </c>
      <c r="AD1013">
        <v>1</v>
      </c>
      <c r="AE1013">
        <v>0</v>
      </c>
      <c r="AF1013">
        <v>1</v>
      </c>
      <c r="AG1013">
        <v>1</v>
      </c>
      <c r="AH1013">
        <v>0</v>
      </c>
    </row>
    <row r="1014" spans="1:36">
      <c r="A1014" t="s">
        <v>1191</v>
      </c>
      <c r="B1014">
        <v>12.59</v>
      </c>
      <c r="C1014" s="7">
        <v>46128.306250000001</v>
      </c>
      <c r="D1014" s="7">
        <v>46128.830738402779</v>
      </c>
      <c r="E1014" t="s">
        <v>23</v>
      </c>
      <c r="F1014" t="s">
        <v>50</v>
      </c>
      <c r="G1014" t="s">
        <v>51</v>
      </c>
      <c r="H1014" t="s">
        <v>26</v>
      </c>
      <c r="I1014" t="s">
        <v>42</v>
      </c>
      <c r="J1014" t="s">
        <v>28</v>
      </c>
      <c r="K1014" t="s">
        <v>52</v>
      </c>
      <c r="L1014" t="s">
        <v>85</v>
      </c>
      <c r="M1014">
        <v>193</v>
      </c>
      <c r="N1014">
        <v>4</v>
      </c>
      <c r="O1014">
        <v>0</v>
      </c>
      <c r="P1014">
        <v>7</v>
      </c>
      <c r="Q1014" t="s">
        <v>31</v>
      </c>
      <c r="R1014">
        <v>120</v>
      </c>
      <c r="S1014">
        <v>24</v>
      </c>
      <c r="T1014" t="s">
        <v>31</v>
      </c>
      <c r="U1014" t="s">
        <v>63</v>
      </c>
      <c r="V1014">
        <v>2026</v>
      </c>
      <c r="W1014">
        <v>4</v>
      </c>
      <c r="X1014" t="s">
        <v>1412</v>
      </c>
      <c r="Y1014" s="6">
        <v>46113</v>
      </c>
      <c r="Z1014" t="s">
        <v>1413</v>
      </c>
      <c r="AA1014" t="s">
        <v>31</v>
      </c>
      <c r="AB1014" t="s">
        <v>63</v>
      </c>
      <c r="AC1014" t="s">
        <v>23</v>
      </c>
      <c r="AD1014">
        <v>1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1</v>
      </c>
    </row>
    <row r="1015" spans="1:36">
      <c r="A1015" t="s">
        <v>1192</v>
      </c>
      <c r="B1015">
        <v>13.49</v>
      </c>
      <c r="C1015" s="7">
        <v>46172.855555555558</v>
      </c>
      <c r="D1015" s="7">
        <v>46173.417614733793</v>
      </c>
      <c r="E1015" t="s">
        <v>23</v>
      </c>
      <c r="F1015" t="s">
        <v>40</v>
      </c>
      <c r="G1015" t="s">
        <v>51</v>
      </c>
      <c r="H1015" t="s">
        <v>66</v>
      </c>
      <c r="I1015" t="s">
        <v>42</v>
      </c>
      <c r="J1015" t="s">
        <v>48</v>
      </c>
      <c r="K1015" t="s">
        <v>58</v>
      </c>
      <c r="L1015" t="s">
        <v>62</v>
      </c>
      <c r="M1015">
        <v>23</v>
      </c>
      <c r="N1015">
        <v>5</v>
      </c>
      <c r="O1015">
        <v>0</v>
      </c>
      <c r="P1015">
        <v>7</v>
      </c>
      <c r="Q1015" t="s">
        <v>31</v>
      </c>
      <c r="R1015">
        <v>30</v>
      </c>
      <c r="S1015">
        <v>8</v>
      </c>
      <c r="T1015" t="s">
        <v>63</v>
      </c>
      <c r="U1015" t="s">
        <v>31</v>
      </c>
      <c r="V1015">
        <v>2026</v>
      </c>
      <c r="W1015">
        <v>5</v>
      </c>
      <c r="X1015" t="s">
        <v>1416</v>
      </c>
      <c r="Y1015" s="6">
        <v>46143</v>
      </c>
      <c r="Z1015" t="s">
        <v>1413</v>
      </c>
      <c r="AA1015" t="s">
        <v>31</v>
      </c>
      <c r="AB1015" t="s">
        <v>63</v>
      </c>
      <c r="AC1015" t="s">
        <v>23</v>
      </c>
      <c r="AD1015">
        <v>1</v>
      </c>
      <c r="AE1015">
        <v>0</v>
      </c>
      <c r="AF1015">
        <v>1</v>
      </c>
      <c r="AG1015">
        <v>0</v>
      </c>
      <c r="AH1015">
        <v>0</v>
      </c>
      <c r="AI1015">
        <v>1</v>
      </c>
      <c r="AJ1015">
        <v>0</v>
      </c>
    </row>
    <row r="1016" spans="1:36">
      <c r="A1016" t="s">
        <v>1193</v>
      </c>
      <c r="B1016">
        <v>23.8</v>
      </c>
      <c r="C1016" s="7">
        <v>46168.167361111111</v>
      </c>
      <c r="D1016" s="7">
        <v>46169.158822500001</v>
      </c>
      <c r="E1016" t="s">
        <v>23</v>
      </c>
      <c r="F1016" t="s">
        <v>50</v>
      </c>
      <c r="G1016" t="s">
        <v>51</v>
      </c>
      <c r="H1016" t="s">
        <v>54</v>
      </c>
      <c r="I1016" t="s">
        <v>42</v>
      </c>
      <c r="J1016" t="s">
        <v>28</v>
      </c>
      <c r="K1016" t="s">
        <v>37</v>
      </c>
      <c r="L1016" t="s">
        <v>68</v>
      </c>
      <c r="M1016">
        <v>85</v>
      </c>
      <c r="N1016">
        <v>4</v>
      </c>
      <c r="O1016">
        <v>0</v>
      </c>
      <c r="P1016">
        <v>6</v>
      </c>
      <c r="Q1016" t="s">
        <v>31</v>
      </c>
      <c r="R1016">
        <v>120</v>
      </c>
      <c r="S1016">
        <v>24</v>
      </c>
      <c r="T1016" t="s">
        <v>63</v>
      </c>
      <c r="U1016" t="s">
        <v>63</v>
      </c>
      <c r="V1016">
        <v>2026</v>
      </c>
      <c r="W1016">
        <v>5</v>
      </c>
      <c r="X1016" t="s">
        <v>1416</v>
      </c>
      <c r="Y1016" s="6">
        <v>46143</v>
      </c>
      <c r="Z1016" t="s">
        <v>1413</v>
      </c>
      <c r="AA1016" t="s">
        <v>31</v>
      </c>
      <c r="AB1016" t="s">
        <v>63</v>
      </c>
      <c r="AC1016" t="s">
        <v>23</v>
      </c>
      <c r="AD1016">
        <v>1</v>
      </c>
      <c r="AE1016">
        <v>0</v>
      </c>
      <c r="AF1016">
        <v>1</v>
      </c>
      <c r="AG1016">
        <v>0</v>
      </c>
      <c r="AH1016">
        <v>0</v>
      </c>
      <c r="AI1016">
        <v>1</v>
      </c>
      <c r="AJ1016">
        <v>1</v>
      </c>
    </row>
    <row r="1017" spans="1:36">
      <c r="A1017" t="s">
        <v>1194</v>
      </c>
      <c r="B1017">
        <v>24.58</v>
      </c>
      <c r="C1017" s="7">
        <v>46221.663194444445</v>
      </c>
      <c r="D1017" s="7">
        <v>46222.68731090278</v>
      </c>
      <c r="E1017" t="s">
        <v>23</v>
      </c>
      <c r="F1017" t="s">
        <v>33</v>
      </c>
      <c r="G1017" t="s">
        <v>25</v>
      </c>
      <c r="H1017" t="s">
        <v>54</v>
      </c>
      <c r="I1017" t="s">
        <v>42</v>
      </c>
      <c r="J1017" t="s">
        <v>48</v>
      </c>
      <c r="K1017" t="s">
        <v>58</v>
      </c>
      <c r="L1017" t="s">
        <v>71</v>
      </c>
      <c r="M1017">
        <v>229</v>
      </c>
      <c r="N1017">
        <v>4</v>
      </c>
      <c r="O1017">
        <v>0</v>
      </c>
      <c r="P1017">
        <v>2</v>
      </c>
      <c r="Q1017" t="s">
        <v>31</v>
      </c>
      <c r="R1017">
        <v>240</v>
      </c>
      <c r="S1017">
        <v>48</v>
      </c>
      <c r="T1017" t="s">
        <v>63</v>
      </c>
      <c r="U1017" t="s">
        <v>63</v>
      </c>
      <c r="V1017">
        <v>2026</v>
      </c>
      <c r="W1017">
        <v>7</v>
      </c>
      <c r="X1017" t="s">
        <v>1422</v>
      </c>
      <c r="Y1017" s="6">
        <v>46204</v>
      </c>
      <c r="Z1017" t="s">
        <v>1413</v>
      </c>
      <c r="AA1017" t="s">
        <v>31</v>
      </c>
      <c r="AB1017" t="s">
        <v>63</v>
      </c>
      <c r="AC1017" t="s">
        <v>23</v>
      </c>
      <c r="AD1017">
        <v>1</v>
      </c>
      <c r="AE1017">
        <v>0</v>
      </c>
      <c r="AF1017">
        <v>1</v>
      </c>
      <c r="AG1017">
        <v>0</v>
      </c>
      <c r="AH1017">
        <v>0</v>
      </c>
      <c r="AI1017">
        <v>1</v>
      </c>
      <c r="AJ1017">
        <v>1</v>
      </c>
    </row>
    <row r="1018" spans="1:36">
      <c r="A1018" t="s">
        <v>1195</v>
      </c>
      <c r="B1018">
        <v>14.73</v>
      </c>
      <c r="C1018" s="7">
        <v>46252.518055555556</v>
      </c>
      <c r="D1018" s="7">
        <v>46253.131966076391</v>
      </c>
      <c r="E1018" t="s">
        <v>23</v>
      </c>
      <c r="F1018" t="s">
        <v>50</v>
      </c>
      <c r="G1018" t="s">
        <v>51</v>
      </c>
      <c r="H1018" t="s">
        <v>34</v>
      </c>
      <c r="I1018" t="s">
        <v>35</v>
      </c>
      <c r="J1018" t="s">
        <v>43</v>
      </c>
      <c r="K1018" t="s">
        <v>29</v>
      </c>
      <c r="L1018" t="s">
        <v>101</v>
      </c>
      <c r="M1018">
        <v>293</v>
      </c>
      <c r="N1018">
        <v>3</v>
      </c>
      <c r="O1018">
        <v>0</v>
      </c>
      <c r="P1018">
        <v>7</v>
      </c>
      <c r="Q1018" t="s">
        <v>63</v>
      </c>
      <c r="R1018">
        <v>120</v>
      </c>
      <c r="S1018">
        <v>24</v>
      </c>
      <c r="T1018" t="s">
        <v>31</v>
      </c>
      <c r="U1018" t="s">
        <v>63</v>
      </c>
      <c r="V1018">
        <v>2026</v>
      </c>
      <c r="W1018">
        <v>8</v>
      </c>
      <c r="X1018" t="s">
        <v>1417</v>
      </c>
      <c r="Y1018" s="6">
        <v>46235</v>
      </c>
      <c r="Z1018" t="s">
        <v>1418</v>
      </c>
      <c r="AA1018" t="s">
        <v>31</v>
      </c>
      <c r="AB1018" t="s">
        <v>63</v>
      </c>
      <c r="AC1018" t="s">
        <v>23</v>
      </c>
      <c r="AD1018">
        <v>1</v>
      </c>
      <c r="AE1018">
        <v>0</v>
      </c>
      <c r="AF1018">
        <v>1</v>
      </c>
      <c r="AG1018">
        <v>0</v>
      </c>
      <c r="AH1018">
        <v>1</v>
      </c>
      <c r="AI1018">
        <v>0</v>
      </c>
      <c r="AJ1018">
        <v>1</v>
      </c>
    </row>
    <row r="1019" spans="1:36">
      <c r="A1019" t="s">
        <v>1196</v>
      </c>
      <c r="B1019">
        <v>36.89</v>
      </c>
      <c r="C1019" s="7">
        <v>46172.163888888892</v>
      </c>
      <c r="D1019" s="7">
        <v>46173.701070972224</v>
      </c>
      <c r="E1019" t="s">
        <v>23</v>
      </c>
      <c r="F1019" t="s">
        <v>33</v>
      </c>
      <c r="G1019" t="s">
        <v>51</v>
      </c>
      <c r="H1019" t="s">
        <v>26</v>
      </c>
      <c r="I1019" t="s">
        <v>42</v>
      </c>
      <c r="J1019" t="s">
        <v>43</v>
      </c>
      <c r="K1019" t="s">
        <v>67</v>
      </c>
      <c r="L1019" t="s">
        <v>30</v>
      </c>
      <c r="M1019">
        <v>512</v>
      </c>
      <c r="N1019">
        <v>3</v>
      </c>
      <c r="O1019">
        <v>0</v>
      </c>
      <c r="P1019">
        <v>7</v>
      </c>
      <c r="Q1019" t="s">
        <v>31</v>
      </c>
      <c r="R1019">
        <v>240</v>
      </c>
      <c r="S1019">
        <v>48</v>
      </c>
      <c r="T1019" t="s">
        <v>31</v>
      </c>
      <c r="U1019" t="s">
        <v>63</v>
      </c>
      <c r="V1019">
        <v>2026</v>
      </c>
      <c r="W1019">
        <v>5</v>
      </c>
      <c r="X1019" t="s">
        <v>1416</v>
      </c>
      <c r="Y1019" s="6">
        <v>46143</v>
      </c>
      <c r="Z1019" t="s">
        <v>1418</v>
      </c>
      <c r="AA1019" t="s">
        <v>31</v>
      </c>
      <c r="AB1019" t="s">
        <v>63</v>
      </c>
      <c r="AC1019" t="s">
        <v>23</v>
      </c>
      <c r="AD1019">
        <v>1</v>
      </c>
      <c r="AE1019">
        <v>0</v>
      </c>
      <c r="AF1019">
        <v>1</v>
      </c>
      <c r="AG1019">
        <v>0</v>
      </c>
      <c r="AH1019">
        <v>0</v>
      </c>
      <c r="AI1019">
        <v>0</v>
      </c>
      <c r="AJ1019">
        <v>1</v>
      </c>
    </row>
    <row r="1020" spans="1:36">
      <c r="A1020" t="s">
        <v>1197</v>
      </c>
      <c r="B1020">
        <v>31.24</v>
      </c>
      <c r="C1020" s="7">
        <v>46202.688888888886</v>
      </c>
      <c r="D1020" s="7">
        <v>46203.990554027776</v>
      </c>
      <c r="E1020" t="s">
        <v>23</v>
      </c>
      <c r="F1020" t="s">
        <v>33</v>
      </c>
      <c r="G1020" t="s">
        <v>51</v>
      </c>
      <c r="H1020" t="s">
        <v>54</v>
      </c>
      <c r="I1020" t="s">
        <v>42</v>
      </c>
      <c r="J1020" t="s">
        <v>36</v>
      </c>
      <c r="K1020" t="s">
        <v>52</v>
      </c>
      <c r="L1020" t="s">
        <v>62</v>
      </c>
      <c r="M1020">
        <v>260</v>
      </c>
      <c r="N1020">
        <v>3</v>
      </c>
      <c r="O1020">
        <v>0</v>
      </c>
      <c r="P1020">
        <v>7</v>
      </c>
      <c r="Q1020" t="s">
        <v>63</v>
      </c>
      <c r="R1020">
        <v>240</v>
      </c>
      <c r="S1020">
        <v>48</v>
      </c>
      <c r="T1020" t="s">
        <v>31</v>
      </c>
      <c r="U1020" t="s">
        <v>63</v>
      </c>
      <c r="V1020">
        <v>2026</v>
      </c>
      <c r="W1020">
        <v>6</v>
      </c>
      <c r="X1020" t="s">
        <v>1421</v>
      </c>
      <c r="Y1020" s="6">
        <v>46174</v>
      </c>
      <c r="Z1020" t="s">
        <v>1418</v>
      </c>
      <c r="AA1020" t="s">
        <v>31</v>
      </c>
      <c r="AB1020" t="s">
        <v>63</v>
      </c>
      <c r="AC1020" t="s">
        <v>23</v>
      </c>
      <c r="AD1020">
        <v>1</v>
      </c>
      <c r="AE1020">
        <v>0</v>
      </c>
      <c r="AF1020">
        <v>1</v>
      </c>
      <c r="AG1020">
        <v>0</v>
      </c>
      <c r="AH1020">
        <v>1</v>
      </c>
      <c r="AI1020">
        <v>0</v>
      </c>
      <c r="AJ1020">
        <v>1</v>
      </c>
    </row>
    <row r="1021" spans="1:36">
      <c r="A1021" t="s">
        <v>1198</v>
      </c>
      <c r="B1021">
        <v>4.59</v>
      </c>
      <c r="C1021" s="7">
        <v>46089.063888888886</v>
      </c>
      <c r="D1021" s="7">
        <v>46089.255031539353</v>
      </c>
      <c r="E1021" t="s">
        <v>23</v>
      </c>
      <c r="F1021" t="s">
        <v>50</v>
      </c>
      <c r="G1021" t="s">
        <v>51</v>
      </c>
      <c r="H1021" t="s">
        <v>54</v>
      </c>
      <c r="I1021" t="s">
        <v>42</v>
      </c>
      <c r="J1021" t="s">
        <v>43</v>
      </c>
      <c r="K1021" t="s">
        <v>29</v>
      </c>
      <c r="L1021" t="s">
        <v>85</v>
      </c>
      <c r="M1021">
        <v>45</v>
      </c>
      <c r="N1021">
        <v>4</v>
      </c>
      <c r="O1021">
        <v>0</v>
      </c>
      <c r="P1021">
        <v>3</v>
      </c>
      <c r="Q1021" t="s">
        <v>31</v>
      </c>
      <c r="R1021">
        <v>120</v>
      </c>
      <c r="S1021">
        <v>24</v>
      </c>
      <c r="T1021" t="s">
        <v>63</v>
      </c>
      <c r="U1021" t="s">
        <v>63</v>
      </c>
      <c r="V1021">
        <v>2026</v>
      </c>
      <c r="W1021">
        <v>3</v>
      </c>
      <c r="X1021" t="s">
        <v>1423</v>
      </c>
      <c r="Y1021" s="6">
        <v>46082</v>
      </c>
      <c r="Z1021" t="s">
        <v>1413</v>
      </c>
      <c r="AA1021" t="s">
        <v>31</v>
      </c>
      <c r="AB1021" t="s">
        <v>63</v>
      </c>
      <c r="AC1021" t="s">
        <v>23</v>
      </c>
      <c r="AD1021">
        <v>1</v>
      </c>
      <c r="AE1021">
        <v>0</v>
      </c>
      <c r="AF1021">
        <v>1</v>
      </c>
      <c r="AG1021">
        <v>0</v>
      </c>
      <c r="AH1021">
        <v>0</v>
      </c>
      <c r="AI1021">
        <v>1</v>
      </c>
      <c r="AJ1021">
        <v>1</v>
      </c>
    </row>
    <row r="1022" spans="1:36">
      <c r="A1022" t="s">
        <v>1199</v>
      </c>
      <c r="B1022">
        <v>79.87</v>
      </c>
      <c r="C1022" s="7">
        <v>46063.947916666664</v>
      </c>
      <c r="D1022" s="7">
        <v>46067.275671226853</v>
      </c>
      <c r="E1022" t="s">
        <v>23</v>
      </c>
      <c r="F1022" t="s">
        <v>33</v>
      </c>
      <c r="G1022" t="s">
        <v>51</v>
      </c>
      <c r="H1022" t="s">
        <v>75</v>
      </c>
      <c r="I1022" t="s">
        <v>35</v>
      </c>
      <c r="J1022" t="s">
        <v>36</v>
      </c>
      <c r="K1022" t="s">
        <v>76</v>
      </c>
      <c r="L1022" t="s">
        <v>93</v>
      </c>
      <c r="M1022">
        <v>156</v>
      </c>
      <c r="N1022">
        <v>3</v>
      </c>
      <c r="O1022">
        <v>0</v>
      </c>
      <c r="P1022">
        <v>10</v>
      </c>
      <c r="Q1022" t="s">
        <v>63</v>
      </c>
      <c r="R1022">
        <v>240</v>
      </c>
      <c r="S1022">
        <v>48</v>
      </c>
      <c r="T1022" t="s">
        <v>63</v>
      </c>
      <c r="U1022" t="s">
        <v>31</v>
      </c>
      <c r="V1022">
        <v>2026</v>
      </c>
      <c r="W1022">
        <v>2</v>
      </c>
      <c r="X1022" t="s">
        <v>1419</v>
      </c>
      <c r="Y1022" s="6">
        <v>46054</v>
      </c>
      <c r="Z1022" t="s">
        <v>1418</v>
      </c>
      <c r="AA1022" t="s">
        <v>31</v>
      </c>
      <c r="AB1022" t="s">
        <v>63</v>
      </c>
      <c r="AC1022" t="s">
        <v>23</v>
      </c>
      <c r="AD1022">
        <v>1</v>
      </c>
      <c r="AE1022">
        <v>0</v>
      </c>
      <c r="AF1022">
        <v>1</v>
      </c>
      <c r="AG1022">
        <v>0</v>
      </c>
      <c r="AH1022">
        <v>1</v>
      </c>
      <c r="AI1022">
        <v>1</v>
      </c>
      <c r="AJ1022">
        <v>0</v>
      </c>
    </row>
    <row r="1023" spans="1:36">
      <c r="A1023" t="s">
        <v>1200</v>
      </c>
      <c r="B1023">
        <v>36.409999999999997</v>
      </c>
      <c r="C1023" s="7">
        <v>46058.206944444442</v>
      </c>
      <c r="D1023" s="7">
        <v>46059.724215300928</v>
      </c>
      <c r="E1023" t="s">
        <v>23</v>
      </c>
      <c r="F1023" t="s">
        <v>50</v>
      </c>
      <c r="G1023" t="s">
        <v>25</v>
      </c>
      <c r="H1023" t="s">
        <v>26</v>
      </c>
      <c r="I1023" t="s">
        <v>27</v>
      </c>
      <c r="J1023" t="s">
        <v>28</v>
      </c>
      <c r="K1023" t="s">
        <v>76</v>
      </c>
      <c r="L1023" t="s">
        <v>62</v>
      </c>
      <c r="M1023">
        <v>129</v>
      </c>
      <c r="N1023">
        <v>4</v>
      </c>
      <c r="O1023">
        <v>0</v>
      </c>
      <c r="P1023">
        <v>3</v>
      </c>
      <c r="Q1023" t="s">
        <v>31</v>
      </c>
      <c r="R1023">
        <v>120</v>
      </c>
      <c r="S1023">
        <v>24</v>
      </c>
      <c r="T1023" t="s">
        <v>31</v>
      </c>
      <c r="U1023" t="s">
        <v>31</v>
      </c>
      <c r="V1023">
        <v>2026</v>
      </c>
      <c r="W1023">
        <v>2</v>
      </c>
      <c r="X1023" t="s">
        <v>1419</v>
      </c>
      <c r="Y1023" s="6">
        <v>46054</v>
      </c>
      <c r="Z1023" t="s">
        <v>1413</v>
      </c>
      <c r="AA1023" t="s">
        <v>31</v>
      </c>
      <c r="AB1023" t="s">
        <v>63</v>
      </c>
      <c r="AC1023" t="s">
        <v>23</v>
      </c>
      <c r="AD1023">
        <v>1</v>
      </c>
      <c r="AE1023">
        <v>0</v>
      </c>
      <c r="AF1023">
        <v>1</v>
      </c>
      <c r="AG1023">
        <v>0</v>
      </c>
      <c r="AH1023">
        <v>0</v>
      </c>
      <c r="AI1023">
        <v>0</v>
      </c>
      <c r="AJ1023">
        <v>0</v>
      </c>
    </row>
    <row r="1024" spans="1:36">
      <c r="A1024" t="s">
        <v>1201</v>
      </c>
      <c r="B1024">
        <v>27.51</v>
      </c>
      <c r="C1024" s="7">
        <v>46054.643750000003</v>
      </c>
      <c r="D1024" s="7">
        <v>46055.789928229169</v>
      </c>
      <c r="E1024" t="s">
        <v>23</v>
      </c>
      <c r="F1024" t="s">
        <v>50</v>
      </c>
      <c r="G1024" t="s">
        <v>51</v>
      </c>
      <c r="H1024" t="s">
        <v>34</v>
      </c>
      <c r="I1024" t="s">
        <v>42</v>
      </c>
      <c r="J1024" t="s">
        <v>43</v>
      </c>
      <c r="K1024" t="s">
        <v>52</v>
      </c>
      <c r="L1024" t="s">
        <v>68</v>
      </c>
      <c r="M1024">
        <v>115</v>
      </c>
      <c r="N1024">
        <v>4</v>
      </c>
      <c r="O1024">
        <v>0</v>
      </c>
      <c r="P1024">
        <v>4</v>
      </c>
      <c r="Q1024" t="s">
        <v>31</v>
      </c>
      <c r="R1024">
        <v>120</v>
      </c>
      <c r="S1024">
        <v>24</v>
      </c>
      <c r="T1024" t="s">
        <v>63</v>
      </c>
      <c r="U1024" t="s">
        <v>31</v>
      </c>
      <c r="V1024">
        <v>2026</v>
      </c>
      <c r="W1024">
        <v>2</v>
      </c>
      <c r="X1024" t="s">
        <v>1419</v>
      </c>
      <c r="Y1024" s="6">
        <v>46054</v>
      </c>
      <c r="Z1024" t="s">
        <v>1413</v>
      </c>
      <c r="AA1024" t="s">
        <v>31</v>
      </c>
      <c r="AB1024" t="s">
        <v>63</v>
      </c>
      <c r="AC1024" t="s">
        <v>23</v>
      </c>
      <c r="AD1024">
        <v>1</v>
      </c>
      <c r="AE1024">
        <v>0</v>
      </c>
      <c r="AF1024">
        <v>1</v>
      </c>
      <c r="AG1024">
        <v>0</v>
      </c>
      <c r="AH1024">
        <v>0</v>
      </c>
      <c r="AI1024">
        <v>1</v>
      </c>
      <c r="AJ1024">
        <v>0</v>
      </c>
    </row>
    <row r="1025" spans="1:36">
      <c r="A1025" t="s">
        <v>1202</v>
      </c>
      <c r="B1025">
        <v>74.099999999999994</v>
      </c>
      <c r="C1025" s="7">
        <v>46211.62777777778</v>
      </c>
      <c r="D1025" s="7">
        <v>46214.715264999999</v>
      </c>
      <c r="E1025" t="s">
        <v>23</v>
      </c>
      <c r="F1025" t="s">
        <v>50</v>
      </c>
      <c r="G1025" t="s">
        <v>51</v>
      </c>
      <c r="H1025" t="s">
        <v>26</v>
      </c>
      <c r="I1025" t="s">
        <v>27</v>
      </c>
      <c r="J1025" t="s">
        <v>36</v>
      </c>
      <c r="K1025" t="s">
        <v>67</v>
      </c>
      <c r="L1025" t="s">
        <v>93</v>
      </c>
      <c r="M1025">
        <v>196</v>
      </c>
      <c r="N1025">
        <v>2</v>
      </c>
      <c r="O1025">
        <v>3</v>
      </c>
      <c r="P1025">
        <v>13</v>
      </c>
      <c r="Q1025" t="s">
        <v>31</v>
      </c>
      <c r="R1025">
        <v>120</v>
      </c>
      <c r="S1025">
        <v>24</v>
      </c>
      <c r="T1025" t="s">
        <v>31</v>
      </c>
      <c r="U1025" t="s">
        <v>31</v>
      </c>
      <c r="V1025">
        <v>2026</v>
      </c>
      <c r="W1025">
        <v>7</v>
      </c>
      <c r="X1025" t="s">
        <v>1422</v>
      </c>
      <c r="Y1025" s="6">
        <v>46204</v>
      </c>
      <c r="Z1025" t="s">
        <v>1415</v>
      </c>
      <c r="AA1025" t="s">
        <v>63</v>
      </c>
      <c r="AB1025" t="s">
        <v>63</v>
      </c>
      <c r="AC1025" t="s">
        <v>23</v>
      </c>
      <c r="AD1025">
        <v>1</v>
      </c>
      <c r="AE1025">
        <v>0</v>
      </c>
      <c r="AF1025">
        <v>1</v>
      </c>
      <c r="AG1025">
        <v>1</v>
      </c>
      <c r="AH1025">
        <v>0</v>
      </c>
      <c r="AI1025">
        <v>0</v>
      </c>
      <c r="AJ1025">
        <v>0</v>
      </c>
    </row>
    <row r="1026" spans="1:36">
      <c r="A1026" t="s">
        <v>1203</v>
      </c>
      <c r="B1026">
        <v>25.72</v>
      </c>
      <c r="C1026" s="7">
        <v>46251.324999999997</v>
      </c>
      <c r="D1026" s="7">
        <v>46252.396622708337</v>
      </c>
      <c r="E1026" t="s">
        <v>23</v>
      </c>
      <c r="F1026" t="s">
        <v>50</v>
      </c>
      <c r="G1026" t="s">
        <v>51</v>
      </c>
      <c r="H1026" t="s">
        <v>26</v>
      </c>
      <c r="I1026" t="s">
        <v>35</v>
      </c>
      <c r="J1026" t="s">
        <v>28</v>
      </c>
      <c r="K1026" t="s">
        <v>37</v>
      </c>
      <c r="L1026" t="s">
        <v>44</v>
      </c>
      <c r="M1026">
        <v>43</v>
      </c>
      <c r="N1026">
        <v>5</v>
      </c>
      <c r="O1026">
        <v>0</v>
      </c>
      <c r="P1026">
        <v>2</v>
      </c>
      <c r="Q1026" t="s">
        <v>31</v>
      </c>
      <c r="R1026">
        <v>120</v>
      </c>
      <c r="S1026">
        <v>24</v>
      </c>
      <c r="T1026" t="s">
        <v>63</v>
      </c>
      <c r="U1026" t="s">
        <v>31</v>
      </c>
      <c r="V1026">
        <v>2026</v>
      </c>
      <c r="W1026">
        <v>8</v>
      </c>
      <c r="X1026" t="s">
        <v>1417</v>
      </c>
      <c r="Y1026" s="6">
        <v>46235</v>
      </c>
      <c r="Z1026" t="s">
        <v>1413</v>
      </c>
      <c r="AA1026" t="s">
        <v>31</v>
      </c>
      <c r="AB1026" t="s">
        <v>63</v>
      </c>
      <c r="AC1026" t="s">
        <v>23</v>
      </c>
      <c r="AD1026">
        <v>1</v>
      </c>
      <c r="AE1026">
        <v>0</v>
      </c>
      <c r="AF1026">
        <v>1</v>
      </c>
      <c r="AG1026">
        <v>0</v>
      </c>
      <c r="AH1026">
        <v>0</v>
      </c>
      <c r="AI1026">
        <v>1</v>
      </c>
      <c r="AJ1026">
        <v>0</v>
      </c>
    </row>
    <row r="1027" spans="1:36">
      <c r="A1027" t="s">
        <v>1204</v>
      </c>
      <c r="B1027">
        <v>64.36</v>
      </c>
      <c r="C1027" s="7">
        <v>46084.729166666664</v>
      </c>
      <c r="D1027" s="7">
        <v>46087.410665057869</v>
      </c>
      <c r="E1027" t="s">
        <v>23</v>
      </c>
      <c r="F1027" t="s">
        <v>50</v>
      </c>
      <c r="G1027" t="s">
        <v>25</v>
      </c>
      <c r="H1027" t="s">
        <v>26</v>
      </c>
      <c r="I1027" t="s">
        <v>27</v>
      </c>
      <c r="J1027" t="s">
        <v>36</v>
      </c>
      <c r="K1027" t="s">
        <v>76</v>
      </c>
      <c r="L1027" t="s">
        <v>71</v>
      </c>
      <c r="M1027">
        <v>91</v>
      </c>
      <c r="N1027">
        <v>4</v>
      </c>
      <c r="O1027">
        <v>0</v>
      </c>
      <c r="P1027">
        <v>7</v>
      </c>
      <c r="Q1027" t="s">
        <v>31</v>
      </c>
      <c r="R1027">
        <v>120</v>
      </c>
      <c r="S1027">
        <v>24</v>
      </c>
      <c r="T1027" t="s">
        <v>63</v>
      </c>
      <c r="U1027" t="s">
        <v>31</v>
      </c>
      <c r="V1027">
        <v>2026</v>
      </c>
      <c r="W1027">
        <v>3</v>
      </c>
      <c r="X1027" t="s">
        <v>1423</v>
      </c>
      <c r="Y1027" s="6">
        <v>46082</v>
      </c>
      <c r="Z1027" t="s">
        <v>1413</v>
      </c>
      <c r="AA1027" t="s">
        <v>31</v>
      </c>
      <c r="AB1027" t="s">
        <v>63</v>
      </c>
      <c r="AC1027" t="s">
        <v>23</v>
      </c>
      <c r="AD1027">
        <v>1</v>
      </c>
      <c r="AE1027">
        <v>0</v>
      </c>
      <c r="AF1027">
        <v>1</v>
      </c>
      <c r="AG1027">
        <v>0</v>
      </c>
      <c r="AH1027">
        <v>0</v>
      </c>
      <c r="AI1027">
        <v>1</v>
      </c>
      <c r="AJ1027">
        <v>0</v>
      </c>
    </row>
    <row r="1028" spans="1:36">
      <c r="A1028" t="s">
        <v>1205</v>
      </c>
      <c r="B1028">
        <v>20.95</v>
      </c>
      <c r="C1028" s="7">
        <v>46231.130555555559</v>
      </c>
      <c r="D1028" s="7">
        <v>46232.003392222221</v>
      </c>
      <c r="E1028" t="s">
        <v>23</v>
      </c>
      <c r="F1028" t="s">
        <v>50</v>
      </c>
      <c r="G1028" t="s">
        <v>41</v>
      </c>
      <c r="H1028" t="s">
        <v>26</v>
      </c>
      <c r="I1028" t="s">
        <v>27</v>
      </c>
      <c r="J1028" t="s">
        <v>43</v>
      </c>
      <c r="K1028" t="s">
        <v>52</v>
      </c>
      <c r="L1028" t="s">
        <v>68</v>
      </c>
      <c r="M1028">
        <v>225</v>
      </c>
      <c r="N1028">
        <v>4</v>
      </c>
      <c r="O1028">
        <v>0</v>
      </c>
      <c r="P1028">
        <v>5</v>
      </c>
      <c r="Q1028" t="s">
        <v>31</v>
      </c>
      <c r="R1028">
        <v>120</v>
      </c>
      <c r="S1028">
        <v>24</v>
      </c>
      <c r="T1028" t="s">
        <v>31</v>
      </c>
      <c r="U1028" t="s">
        <v>63</v>
      </c>
      <c r="V1028">
        <v>2026</v>
      </c>
      <c r="W1028">
        <v>7</v>
      </c>
      <c r="X1028" t="s">
        <v>1422</v>
      </c>
      <c r="Y1028" s="6">
        <v>46204</v>
      </c>
      <c r="Z1028" t="s">
        <v>1413</v>
      </c>
      <c r="AA1028" t="s">
        <v>31</v>
      </c>
      <c r="AB1028" t="s">
        <v>63</v>
      </c>
      <c r="AC1028" t="s">
        <v>23</v>
      </c>
      <c r="AD1028">
        <v>1</v>
      </c>
      <c r="AE1028">
        <v>0</v>
      </c>
      <c r="AF1028">
        <v>1</v>
      </c>
      <c r="AG1028">
        <v>0</v>
      </c>
      <c r="AH1028">
        <v>0</v>
      </c>
      <c r="AI1028">
        <v>0</v>
      </c>
      <c r="AJ1028">
        <v>1</v>
      </c>
    </row>
    <row r="1029" spans="1:36">
      <c r="A1029" t="s">
        <v>1206</v>
      </c>
      <c r="B1029">
        <v>46.63</v>
      </c>
      <c r="C1029" s="7">
        <v>46242.834722222222</v>
      </c>
      <c r="D1029" s="7">
        <v>46244.777638078704</v>
      </c>
      <c r="E1029" t="s">
        <v>23</v>
      </c>
      <c r="F1029" t="s">
        <v>33</v>
      </c>
      <c r="G1029" t="s">
        <v>51</v>
      </c>
      <c r="H1029" t="s">
        <v>75</v>
      </c>
      <c r="I1029" t="s">
        <v>35</v>
      </c>
      <c r="J1029" t="s">
        <v>43</v>
      </c>
      <c r="K1029" t="s">
        <v>76</v>
      </c>
      <c r="L1029" t="s">
        <v>62</v>
      </c>
      <c r="M1029">
        <v>126</v>
      </c>
      <c r="N1029">
        <v>3</v>
      </c>
      <c r="O1029">
        <v>0</v>
      </c>
      <c r="P1029">
        <v>12</v>
      </c>
      <c r="Q1029" t="s">
        <v>63</v>
      </c>
      <c r="R1029">
        <v>240</v>
      </c>
      <c r="S1029">
        <v>48</v>
      </c>
      <c r="T1029" t="s">
        <v>63</v>
      </c>
      <c r="U1029" t="s">
        <v>63</v>
      </c>
      <c r="V1029">
        <v>2026</v>
      </c>
      <c r="W1029">
        <v>8</v>
      </c>
      <c r="X1029" t="s">
        <v>1417</v>
      </c>
      <c r="Y1029" s="6">
        <v>46235</v>
      </c>
      <c r="Z1029" t="s">
        <v>1418</v>
      </c>
      <c r="AA1029" t="s">
        <v>31</v>
      </c>
      <c r="AB1029" t="s">
        <v>63</v>
      </c>
      <c r="AC1029" t="s">
        <v>23</v>
      </c>
      <c r="AD1029">
        <v>1</v>
      </c>
      <c r="AE1029">
        <v>0</v>
      </c>
      <c r="AF1029">
        <v>1</v>
      </c>
      <c r="AG1029">
        <v>0</v>
      </c>
      <c r="AH1029">
        <v>1</v>
      </c>
      <c r="AI1029">
        <v>1</v>
      </c>
      <c r="AJ1029">
        <v>1</v>
      </c>
    </row>
    <row r="1030" spans="1:36">
      <c r="A1030" t="s">
        <v>1207</v>
      </c>
      <c r="B1030">
        <v>19.260000000000002</v>
      </c>
      <c r="C1030" s="7">
        <v>46228.109027777777</v>
      </c>
      <c r="D1030" s="7">
        <v>46228.911722118057</v>
      </c>
      <c r="E1030" t="s">
        <v>23</v>
      </c>
      <c r="F1030" t="s">
        <v>33</v>
      </c>
      <c r="G1030" t="s">
        <v>51</v>
      </c>
      <c r="H1030" t="s">
        <v>66</v>
      </c>
      <c r="I1030" t="s">
        <v>42</v>
      </c>
      <c r="J1030" t="s">
        <v>36</v>
      </c>
      <c r="K1030" t="s">
        <v>29</v>
      </c>
      <c r="L1030" t="s">
        <v>85</v>
      </c>
      <c r="M1030">
        <v>397</v>
      </c>
      <c r="N1030">
        <v>4</v>
      </c>
      <c r="O1030">
        <v>0</v>
      </c>
      <c r="P1030">
        <v>2</v>
      </c>
      <c r="Q1030" t="s">
        <v>31</v>
      </c>
      <c r="R1030">
        <v>240</v>
      </c>
      <c r="S1030">
        <v>48</v>
      </c>
      <c r="T1030" t="s">
        <v>31</v>
      </c>
      <c r="U1030" t="s">
        <v>63</v>
      </c>
      <c r="V1030">
        <v>2026</v>
      </c>
      <c r="W1030">
        <v>7</v>
      </c>
      <c r="X1030" t="s">
        <v>1422</v>
      </c>
      <c r="Y1030" s="6">
        <v>46204</v>
      </c>
      <c r="Z1030" t="s">
        <v>1413</v>
      </c>
      <c r="AA1030" t="s">
        <v>31</v>
      </c>
      <c r="AB1030" t="s">
        <v>63</v>
      </c>
      <c r="AC1030" t="s">
        <v>23</v>
      </c>
      <c r="AD1030">
        <v>1</v>
      </c>
      <c r="AE1030">
        <v>0</v>
      </c>
      <c r="AF1030">
        <v>1</v>
      </c>
      <c r="AG1030">
        <v>0</v>
      </c>
      <c r="AH1030">
        <v>0</v>
      </c>
      <c r="AI1030">
        <v>0</v>
      </c>
      <c r="AJ1030">
        <v>1</v>
      </c>
    </row>
    <row r="1031" spans="1:36">
      <c r="A1031" t="s">
        <v>1208</v>
      </c>
      <c r="B1031">
        <v>12.75</v>
      </c>
      <c r="C1031" s="7">
        <v>46062.76458333333</v>
      </c>
      <c r="D1031" s="7">
        <v>46063.295665266203</v>
      </c>
      <c r="E1031" t="s">
        <v>23</v>
      </c>
      <c r="F1031" t="s">
        <v>50</v>
      </c>
      <c r="G1031" t="s">
        <v>25</v>
      </c>
      <c r="H1031" t="s">
        <v>26</v>
      </c>
      <c r="I1031" t="s">
        <v>35</v>
      </c>
      <c r="J1031" t="s">
        <v>36</v>
      </c>
      <c r="K1031" t="s">
        <v>29</v>
      </c>
      <c r="L1031" t="s">
        <v>62</v>
      </c>
      <c r="M1031">
        <v>120</v>
      </c>
      <c r="N1031">
        <v>4</v>
      </c>
      <c r="O1031">
        <v>1</v>
      </c>
      <c r="P1031">
        <v>8</v>
      </c>
      <c r="Q1031" t="s">
        <v>31</v>
      </c>
      <c r="R1031">
        <v>120</v>
      </c>
      <c r="S1031">
        <v>24</v>
      </c>
      <c r="T1031" t="s">
        <v>63</v>
      </c>
      <c r="U1031" t="s">
        <v>63</v>
      </c>
      <c r="V1031">
        <v>2026</v>
      </c>
      <c r="W1031">
        <v>2</v>
      </c>
      <c r="X1031" t="s">
        <v>1419</v>
      </c>
      <c r="Y1031" s="6">
        <v>46054</v>
      </c>
      <c r="Z1031" t="s">
        <v>1413</v>
      </c>
      <c r="AA1031" t="s">
        <v>63</v>
      </c>
      <c r="AB1031" t="s">
        <v>63</v>
      </c>
      <c r="AC1031" t="s">
        <v>23</v>
      </c>
      <c r="AD1031">
        <v>1</v>
      </c>
      <c r="AE1031">
        <v>0</v>
      </c>
      <c r="AF1031">
        <v>1</v>
      </c>
      <c r="AG1031">
        <v>1</v>
      </c>
      <c r="AH1031">
        <v>0</v>
      </c>
      <c r="AI1031">
        <v>1</v>
      </c>
      <c r="AJ1031">
        <v>1</v>
      </c>
    </row>
    <row r="1032" spans="1:36">
      <c r="A1032" t="s">
        <v>1209</v>
      </c>
      <c r="B1032">
        <v>88.54</v>
      </c>
      <c r="C1032" s="7">
        <v>46145.044444444444</v>
      </c>
      <c r="D1032" s="7">
        <v>46148.733442372686</v>
      </c>
      <c r="E1032" t="s">
        <v>23</v>
      </c>
      <c r="F1032" t="s">
        <v>33</v>
      </c>
      <c r="G1032" t="s">
        <v>51</v>
      </c>
      <c r="H1032" t="s">
        <v>54</v>
      </c>
      <c r="I1032" t="s">
        <v>35</v>
      </c>
      <c r="J1032" t="s">
        <v>43</v>
      </c>
      <c r="K1032" t="s">
        <v>58</v>
      </c>
      <c r="L1032" t="s">
        <v>93</v>
      </c>
      <c r="M1032">
        <v>277</v>
      </c>
      <c r="N1032">
        <v>2</v>
      </c>
      <c r="O1032">
        <v>2</v>
      </c>
      <c r="P1032">
        <v>13</v>
      </c>
      <c r="Q1032" t="s">
        <v>31</v>
      </c>
      <c r="R1032">
        <v>240</v>
      </c>
      <c r="S1032">
        <v>48</v>
      </c>
      <c r="T1032" t="s">
        <v>31</v>
      </c>
      <c r="U1032" t="s">
        <v>31</v>
      </c>
      <c r="V1032">
        <v>2026</v>
      </c>
      <c r="W1032">
        <v>5</v>
      </c>
      <c r="X1032" t="s">
        <v>1416</v>
      </c>
      <c r="Y1032" s="6">
        <v>46143</v>
      </c>
      <c r="Z1032" t="s">
        <v>1415</v>
      </c>
      <c r="AA1032" t="s">
        <v>63</v>
      </c>
      <c r="AB1032" t="s">
        <v>63</v>
      </c>
      <c r="AC1032" t="s">
        <v>23</v>
      </c>
      <c r="AD1032">
        <v>1</v>
      </c>
      <c r="AE1032">
        <v>0</v>
      </c>
      <c r="AF1032">
        <v>1</v>
      </c>
      <c r="AG1032">
        <v>1</v>
      </c>
      <c r="AH1032">
        <v>0</v>
      </c>
      <c r="AI1032">
        <v>0</v>
      </c>
      <c r="AJ1032">
        <v>0</v>
      </c>
    </row>
    <row r="1033" spans="1:36">
      <c r="A1033" t="s">
        <v>1210</v>
      </c>
      <c r="B1033">
        <v>14.93</v>
      </c>
      <c r="C1033" s="7">
        <v>46177.824999999997</v>
      </c>
      <c r="D1033" s="7">
        <v>46178.446921655093</v>
      </c>
      <c r="E1033" t="s">
        <v>23</v>
      </c>
      <c r="F1033" t="s">
        <v>33</v>
      </c>
      <c r="G1033" t="s">
        <v>51</v>
      </c>
      <c r="H1033" t="s">
        <v>26</v>
      </c>
      <c r="I1033" t="s">
        <v>35</v>
      </c>
      <c r="J1033" t="s">
        <v>28</v>
      </c>
      <c r="K1033" t="s">
        <v>37</v>
      </c>
      <c r="L1033" t="s">
        <v>71</v>
      </c>
      <c r="M1033">
        <v>210</v>
      </c>
      <c r="N1033">
        <v>4</v>
      </c>
      <c r="O1033">
        <v>0</v>
      </c>
      <c r="P1033">
        <v>3</v>
      </c>
      <c r="Q1033" t="s">
        <v>31</v>
      </c>
      <c r="R1033">
        <v>240</v>
      </c>
      <c r="S1033">
        <v>48</v>
      </c>
      <c r="T1033" t="s">
        <v>63</v>
      </c>
      <c r="U1033" t="s">
        <v>63</v>
      </c>
      <c r="V1033">
        <v>2026</v>
      </c>
      <c r="W1033">
        <v>6</v>
      </c>
      <c r="X1033" t="s">
        <v>1421</v>
      </c>
      <c r="Y1033" s="6">
        <v>46174</v>
      </c>
      <c r="Z1033" t="s">
        <v>1413</v>
      </c>
      <c r="AA1033" t="s">
        <v>31</v>
      </c>
      <c r="AB1033" t="s">
        <v>63</v>
      </c>
      <c r="AC1033" t="s">
        <v>23</v>
      </c>
      <c r="AD1033">
        <v>1</v>
      </c>
      <c r="AE1033">
        <v>0</v>
      </c>
      <c r="AF1033">
        <v>1</v>
      </c>
      <c r="AG1033">
        <v>0</v>
      </c>
      <c r="AH1033">
        <v>0</v>
      </c>
      <c r="AI1033">
        <v>1</v>
      </c>
      <c r="AJ1033">
        <v>1</v>
      </c>
    </row>
    <row r="1034" spans="1:36">
      <c r="A1034" t="s">
        <v>1211</v>
      </c>
      <c r="B1034">
        <v>15.23</v>
      </c>
      <c r="C1034" s="7">
        <v>46097.675694444442</v>
      </c>
      <c r="D1034" s="7">
        <v>46098.310298055556</v>
      </c>
      <c r="E1034" t="s">
        <v>23</v>
      </c>
      <c r="F1034" t="s">
        <v>50</v>
      </c>
      <c r="G1034" t="s">
        <v>41</v>
      </c>
      <c r="H1034" t="s">
        <v>54</v>
      </c>
      <c r="I1034" t="s">
        <v>27</v>
      </c>
      <c r="J1034" t="s">
        <v>28</v>
      </c>
      <c r="K1034" t="s">
        <v>29</v>
      </c>
      <c r="L1034" t="s">
        <v>55</v>
      </c>
      <c r="M1034">
        <v>49</v>
      </c>
      <c r="N1034">
        <v>5</v>
      </c>
      <c r="O1034">
        <v>0</v>
      </c>
      <c r="P1034">
        <v>4</v>
      </c>
      <c r="Q1034" t="s">
        <v>31</v>
      </c>
      <c r="R1034">
        <v>120</v>
      </c>
      <c r="S1034">
        <v>24</v>
      </c>
      <c r="T1034" t="s">
        <v>63</v>
      </c>
      <c r="U1034" t="s">
        <v>63</v>
      </c>
      <c r="V1034">
        <v>2026</v>
      </c>
      <c r="W1034">
        <v>3</v>
      </c>
      <c r="X1034" t="s">
        <v>1423</v>
      </c>
      <c r="Y1034" s="6">
        <v>46082</v>
      </c>
      <c r="Z1034" t="s">
        <v>1413</v>
      </c>
      <c r="AA1034" t="s">
        <v>31</v>
      </c>
      <c r="AB1034" t="s">
        <v>63</v>
      </c>
      <c r="AC1034" t="s">
        <v>23</v>
      </c>
      <c r="AD1034">
        <v>1</v>
      </c>
      <c r="AE1034">
        <v>0</v>
      </c>
      <c r="AF1034">
        <v>1</v>
      </c>
      <c r="AG1034">
        <v>0</v>
      </c>
      <c r="AH1034">
        <v>0</v>
      </c>
      <c r="AI1034">
        <v>1</v>
      </c>
      <c r="AJ1034">
        <v>1</v>
      </c>
    </row>
    <row r="1035" spans="1:36">
      <c r="A1035" t="s">
        <v>1212</v>
      </c>
      <c r="B1035">
        <v>12.24</v>
      </c>
      <c r="C1035" s="7">
        <v>46177.147916666669</v>
      </c>
      <c r="D1035" s="7">
        <v>46177.658015775465</v>
      </c>
      <c r="E1035" t="s">
        <v>23</v>
      </c>
      <c r="F1035" t="s">
        <v>33</v>
      </c>
      <c r="G1035" t="s">
        <v>51</v>
      </c>
      <c r="H1035" t="s">
        <v>26</v>
      </c>
      <c r="I1035" t="s">
        <v>35</v>
      </c>
      <c r="J1035" t="s">
        <v>43</v>
      </c>
      <c r="K1035" t="s">
        <v>67</v>
      </c>
      <c r="L1035" t="s">
        <v>68</v>
      </c>
      <c r="M1035">
        <v>218</v>
      </c>
      <c r="N1035">
        <v>4</v>
      </c>
      <c r="O1035">
        <v>0</v>
      </c>
      <c r="P1035">
        <v>2</v>
      </c>
      <c r="Q1035" t="s">
        <v>31</v>
      </c>
      <c r="R1035">
        <v>240</v>
      </c>
      <c r="S1035">
        <v>48</v>
      </c>
      <c r="T1035" t="s">
        <v>63</v>
      </c>
      <c r="U1035" t="s">
        <v>63</v>
      </c>
      <c r="V1035">
        <v>2026</v>
      </c>
      <c r="W1035">
        <v>6</v>
      </c>
      <c r="X1035" t="s">
        <v>1421</v>
      </c>
      <c r="Y1035" s="6">
        <v>46174</v>
      </c>
      <c r="Z1035" t="s">
        <v>1413</v>
      </c>
      <c r="AA1035" t="s">
        <v>31</v>
      </c>
      <c r="AB1035" t="s">
        <v>63</v>
      </c>
      <c r="AC1035" t="s">
        <v>23</v>
      </c>
      <c r="AD1035">
        <v>1</v>
      </c>
      <c r="AE1035">
        <v>0</v>
      </c>
      <c r="AF1035">
        <v>1</v>
      </c>
      <c r="AG1035">
        <v>0</v>
      </c>
      <c r="AH1035">
        <v>0</v>
      </c>
      <c r="AI1035">
        <v>1</v>
      </c>
      <c r="AJ1035">
        <v>1</v>
      </c>
    </row>
    <row r="1036" spans="1:36">
      <c r="A1036" t="s">
        <v>1213</v>
      </c>
      <c r="B1036">
        <v>30.29</v>
      </c>
      <c r="C1036" s="7">
        <v>46214.261805555558</v>
      </c>
      <c r="D1036" s="7">
        <v>46215.523961087965</v>
      </c>
      <c r="E1036" t="s">
        <v>23</v>
      </c>
      <c r="F1036" t="s">
        <v>33</v>
      </c>
      <c r="G1036" t="s">
        <v>25</v>
      </c>
      <c r="H1036" t="s">
        <v>34</v>
      </c>
      <c r="I1036" t="s">
        <v>42</v>
      </c>
      <c r="J1036" t="s">
        <v>28</v>
      </c>
      <c r="K1036" t="s">
        <v>52</v>
      </c>
      <c r="L1036" t="s">
        <v>101</v>
      </c>
      <c r="M1036">
        <v>91</v>
      </c>
      <c r="N1036">
        <v>4</v>
      </c>
      <c r="O1036">
        <v>0</v>
      </c>
      <c r="P1036">
        <v>6</v>
      </c>
      <c r="Q1036" t="s">
        <v>31</v>
      </c>
      <c r="R1036">
        <v>240</v>
      </c>
      <c r="S1036">
        <v>48</v>
      </c>
      <c r="T1036" t="s">
        <v>63</v>
      </c>
      <c r="U1036" t="s">
        <v>63</v>
      </c>
      <c r="V1036">
        <v>2026</v>
      </c>
      <c r="W1036">
        <v>7</v>
      </c>
      <c r="X1036" t="s">
        <v>1422</v>
      </c>
      <c r="Y1036" s="6">
        <v>46204</v>
      </c>
      <c r="Z1036" t="s">
        <v>1413</v>
      </c>
      <c r="AA1036" t="s">
        <v>31</v>
      </c>
      <c r="AB1036" t="s">
        <v>63</v>
      </c>
      <c r="AC1036" t="s">
        <v>23</v>
      </c>
      <c r="AD1036">
        <v>1</v>
      </c>
      <c r="AE1036">
        <v>0</v>
      </c>
      <c r="AF1036">
        <v>1</v>
      </c>
      <c r="AG1036">
        <v>0</v>
      </c>
      <c r="AH1036">
        <v>0</v>
      </c>
      <c r="AI1036">
        <v>1</v>
      </c>
      <c r="AJ1036">
        <v>1</v>
      </c>
    </row>
    <row r="1037" spans="1:36">
      <c r="A1037" t="s">
        <v>1214</v>
      </c>
      <c r="B1037">
        <v>16.43</v>
      </c>
      <c r="C1037" s="7">
        <v>46123.828472222223</v>
      </c>
      <c r="D1037" s="7">
        <v>46124.513048611108</v>
      </c>
      <c r="E1037" t="s">
        <v>23</v>
      </c>
      <c r="F1037" t="s">
        <v>40</v>
      </c>
      <c r="G1037" t="s">
        <v>41</v>
      </c>
      <c r="H1037" t="s">
        <v>26</v>
      </c>
      <c r="I1037" t="s">
        <v>42</v>
      </c>
      <c r="J1037" t="s">
        <v>48</v>
      </c>
      <c r="K1037" t="s">
        <v>58</v>
      </c>
      <c r="L1037" t="s">
        <v>85</v>
      </c>
      <c r="M1037">
        <v>11</v>
      </c>
      <c r="N1037">
        <v>4</v>
      </c>
      <c r="O1037">
        <v>1</v>
      </c>
      <c r="P1037">
        <v>8</v>
      </c>
      <c r="Q1037" t="s">
        <v>31</v>
      </c>
      <c r="R1037">
        <v>30</v>
      </c>
      <c r="S1037">
        <v>8</v>
      </c>
      <c r="T1037" t="s">
        <v>63</v>
      </c>
      <c r="U1037" t="s">
        <v>31</v>
      </c>
      <c r="V1037">
        <v>2026</v>
      </c>
      <c r="W1037">
        <v>4</v>
      </c>
      <c r="X1037" t="s">
        <v>1412</v>
      </c>
      <c r="Y1037" s="6">
        <v>46113</v>
      </c>
      <c r="Z1037" t="s">
        <v>1413</v>
      </c>
      <c r="AA1037" t="s">
        <v>63</v>
      </c>
      <c r="AB1037" t="s">
        <v>63</v>
      </c>
      <c r="AC1037" t="s">
        <v>23</v>
      </c>
      <c r="AD1037">
        <v>1</v>
      </c>
      <c r="AE1037">
        <v>0</v>
      </c>
      <c r="AF1037">
        <v>1</v>
      </c>
      <c r="AG1037">
        <v>1</v>
      </c>
      <c r="AH1037">
        <v>0</v>
      </c>
      <c r="AI1037">
        <v>1</v>
      </c>
      <c r="AJ1037">
        <v>0</v>
      </c>
    </row>
    <row r="1038" spans="1:36">
      <c r="A1038" t="s">
        <v>1215</v>
      </c>
      <c r="B1038">
        <v>8.0500000000000007</v>
      </c>
      <c r="C1038" s="7">
        <v>46225.079861111109</v>
      </c>
      <c r="D1038" s="7">
        <v>46225.415076840276</v>
      </c>
      <c r="E1038" t="s">
        <v>23</v>
      </c>
      <c r="F1038" t="s">
        <v>40</v>
      </c>
      <c r="G1038" t="s">
        <v>25</v>
      </c>
      <c r="H1038" t="s">
        <v>34</v>
      </c>
      <c r="I1038" t="s">
        <v>35</v>
      </c>
      <c r="J1038" t="s">
        <v>43</v>
      </c>
      <c r="K1038" t="s">
        <v>52</v>
      </c>
      <c r="L1038" t="s">
        <v>44</v>
      </c>
      <c r="M1038">
        <v>24</v>
      </c>
      <c r="N1038">
        <v>4</v>
      </c>
      <c r="O1038">
        <v>0</v>
      </c>
      <c r="P1038">
        <v>4</v>
      </c>
      <c r="Q1038" t="s">
        <v>31</v>
      </c>
      <c r="R1038">
        <v>30</v>
      </c>
      <c r="S1038">
        <v>8</v>
      </c>
      <c r="T1038" t="s">
        <v>63</v>
      </c>
      <c r="U1038" t="s">
        <v>31</v>
      </c>
      <c r="V1038">
        <v>2026</v>
      </c>
      <c r="W1038">
        <v>7</v>
      </c>
      <c r="X1038" t="s">
        <v>1422</v>
      </c>
      <c r="Y1038" s="6">
        <v>46204</v>
      </c>
      <c r="Z1038" t="s">
        <v>1413</v>
      </c>
      <c r="AA1038" t="s">
        <v>31</v>
      </c>
      <c r="AB1038" t="s">
        <v>63</v>
      </c>
      <c r="AC1038" t="s">
        <v>23</v>
      </c>
      <c r="AD1038">
        <v>1</v>
      </c>
      <c r="AE1038">
        <v>0</v>
      </c>
      <c r="AF1038">
        <v>1</v>
      </c>
      <c r="AG1038">
        <v>0</v>
      </c>
      <c r="AH1038">
        <v>0</v>
      </c>
      <c r="AI1038">
        <v>1</v>
      </c>
      <c r="AJ1038">
        <v>0</v>
      </c>
    </row>
    <row r="1039" spans="1:36">
      <c r="A1039" t="s">
        <v>1216</v>
      </c>
      <c r="B1039">
        <v>56.54</v>
      </c>
      <c r="C1039" s="7">
        <v>46054.838194444441</v>
      </c>
      <c r="D1039" s="7">
        <v>46057.194073391205</v>
      </c>
      <c r="E1039" t="s">
        <v>23</v>
      </c>
      <c r="F1039" t="s">
        <v>33</v>
      </c>
      <c r="G1039" t="s">
        <v>51</v>
      </c>
      <c r="H1039" t="s">
        <v>75</v>
      </c>
      <c r="I1039" t="s">
        <v>42</v>
      </c>
      <c r="J1039" t="s">
        <v>48</v>
      </c>
      <c r="K1039" t="s">
        <v>58</v>
      </c>
      <c r="L1039" t="s">
        <v>93</v>
      </c>
      <c r="M1039">
        <v>181</v>
      </c>
      <c r="N1039">
        <v>2</v>
      </c>
      <c r="O1039">
        <v>3</v>
      </c>
      <c r="P1039">
        <v>21</v>
      </c>
      <c r="Q1039" t="s">
        <v>31</v>
      </c>
      <c r="R1039">
        <v>240</v>
      </c>
      <c r="S1039">
        <v>48</v>
      </c>
      <c r="T1039" t="s">
        <v>63</v>
      </c>
      <c r="U1039" t="s">
        <v>31</v>
      </c>
      <c r="V1039">
        <v>2026</v>
      </c>
      <c r="W1039">
        <v>2</v>
      </c>
      <c r="X1039" t="s">
        <v>1419</v>
      </c>
      <c r="Y1039" s="6">
        <v>46054</v>
      </c>
      <c r="Z1039" t="s">
        <v>1415</v>
      </c>
      <c r="AA1039" t="s">
        <v>63</v>
      </c>
      <c r="AB1039" t="s">
        <v>63</v>
      </c>
      <c r="AC1039" t="s">
        <v>23</v>
      </c>
      <c r="AD1039">
        <v>1</v>
      </c>
      <c r="AE1039">
        <v>0</v>
      </c>
      <c r="AF1039">
        <v>1</v>
      </c>
      <c r="AG1039">
        <v>1</v>
      </c>
      <c r="AH1039">
        <v>0</v>
      </c>
      <c r="AI1039">
        <v>1</v>
      </c>
      <c r="AJ1039">
        <v>0</v>
      </c>
    </row>
    <row r="1040" spans="1:36">
      <c r="A1040" t="s">
        <v>1217</v>
      </c>
      <c r="B1040">
        <v>64.48</v>
      </c>
      <c r="C1040" s="7">
        <v>46224.612500000003</v>
      </c>
      <c r="D1040" s="7">
        <v>46227.29902215278</v>
      </c>
      <c r="E1040" t="s">
        <v>23</v>
      </c>
      <c r="F1040" t="s">
        <v>33</v>
      </c>
      <c r="G1040" t="s">
        <v>41</v>
      </c>
      <c r="H1040" t="s">
        <v>75</v>
      </c>
      <c r="I1040" t="s">
        <v>35</v>
      </c>
      <c r="J1040" t="s">
        <v>28</v>
      </c>
      <c r="K1040" t="s">
        <v>58</v>
      </c>
      <c r="L1040" t="s">
        <v>62</v>
      </c>
      <c r="M1040">
        <v>381</v>
      </c>
      <c r="O1040">
        <v>0</v>
      </c>
      <c r="P1040">
        <v>2</v>
      </c>
      <c r="Q1040" t="s">
        <v>31</v>
      </c>
      <c r="R1040">
        <v>240</v>
      </c>
      <c r="S1040">
        <v>48</v>
      </c>
      <c r="T1040" t="s">
        <v>31</v>
      </c>
      <c r="U1040" t="s">
        <v>31</v>
      </c>
      <c r="V1040">
        <v>2026</v>
      </c>
      <c r="W1040">
        <v>7</v>
      </c>
      <c r="X1040" t="s">
        <v>1422</v>
      </c>
      <c r="Y1040" s="6">
        <v>46204</v>
      </c>
      <c r="Z1040" t="s">
        <v>1420</v>
      </c>
      <c r="AA1040" t="s">
        <v>31</v>
      </c>
      <c r="AB1040" t="s">
        <v>31</v>
      </c>
      <c r="AC1040" t="s">
        <v>23</v>
      </c>
      <c r="AD1040">
        <v>1</v>
      </c>
      <c r="AE1040">
        <v>0</v>
      </c>
      <c r="AF1040">
        <v>1</v>
      </c>
      <c r="AG1040">
        <v>0</v>
      </c>
      <c r="AH1040">
        <v>0</v>
      </c>
      <c r="AI1040">
        <v>0</v>
      </c>
      <c r="AJ1040">
        <v>0</v>
      </c>
    </row>
    <row r="1041" spans="1:36">
      <c r="A1041" t="s">
        <v>1218</v>
      </c>
      <c r="B1041">
        <v>6.62</v>
      </c>
      <c r="C1041" s="7">
        <v>46093.513888888891</v>
      </c>
      <c r="D1041" s="7">
        <v>46093.789549664354</v>
      </c>
      <c r="E1041" t="s">
        <v>23</v>
      </c>
      <c r="F1041" t="s">
        <v>50</v>
      </c>
      <c r="G1041" t="s">
        <v>41</v>
      </c>
      <c r="H1041" t="s">
        <v>54</v>
      </c>
      <c r="I1041" t="s">
        <v>27</v>
      </c>
      <c r="J1041" t="s">
        <v>36</v>
      </c>
      <c r="K1041" t="s">
        <v>52</v>
      </c>
      <c r="L1041" t="s">
        <v>55</v>
      </c>
      <c r="M1041">
        <v>114</v>
      </c>
      <c r="N1041">
        <v>4</v>
      </c>
      <c r="O1041">
        <v>0</v>
      </c>
      <c r="P1041">
        <v>4</v>
      </c>
      <c r="Q1041" t="s">
        <v>31</v>
      </c>
      <c r="R1041">
        <v>120</v>
      </c>
      <c r="S1041">
        <v>24</v>
      </c>
      <c r="T1041" t="s">
        <v>63</v>
      </c>
      <c r="U1041" t="s">
        <v>63</v>
      </c>
      <c r="V1041">
        <v>2026</v>
      </c>
      <c r="W1041">
        <v>3</v>
      </c>
      <c r="X1041" t="s">
        <v>1423</v>
      </c>
      <c r="Y1041" s="6">
        <v>46082</v>
      </c>
      <c r="Z1041" t="s">
        <v>1413</v>
      </c>
      <c r="AA1041" t="s">
        <v>31</v>
      </c>
      <c r="AB1041" t="s">
        <v>63</v>
      </c>
      <c r="AC1041" t="s">
        <v>23</v>
      </c>
      <c r="AD1041">
        <v>1</v>
      </c>
      <c r="AE1041">
        <v>0</v>
      </c>
      <c r="AF1041">
        <v>1</v>
      </c>
      <c r="AG1041">
        <v>0</v>
      </c>
      <c r="AH1041">
        <v>0</v>
      </c>
      <c r="AI1041">
        <v>1</v>
      </c>
      <c r="AJ1041">
        <v>1</v>
      </c>
    </row>
    <row r="1042" spans="1:36">
      <c r="A1042" t="s">
        <v>1219</v>
      </c>
      <c r="B1042">
        <v>42.08</v>
      </c>
      <c r="C1042" s="7">
        <v>46131.533333333333</v>
      </c>
      <c r="D1042" s="7">
        <v>46133.286805555559</v>
      </c>
      <c r="E1042" t="s">
        <v>23</v>
      </c>
      <c r="F1042" t="s">
        <v>33</v>
      </c>
      <c r="G1042" t="s">
        <v>51</v>
      </c>
      <c r="H1042" t="s">
        <v>26</v>
      </c>
      <c r="I1042" t="s">
        <v>35</v>
      </c>
      <c r="J1042" t="s">
        <v>48</v>
      </c>
      <c r="K1042" t="s">
        <v>37</v>
      </c>
      <c r="L1042" t="s">
        <v>55</v>
      </c>
      <c r="M1042">
        <v>250</v>
      </c>
      <c r="N1042">
        <v>3</v>
      </c>
      <c r="O1042">
        <v>0</v>
      </c>
      <c r="P1042">
        <v>6</v>
      </c>
      <c r="Q1042" t="s">
        <v>31</v>
      </c>
      <c r="R1042">
        <v>240</v>
      </c>
      <c r="S1042">
        <v>48</v>
      </c>
      <c r="T1042" t="s">
        <v>31</v>
      </c>
      <c r="U1042" t="s">
        <v>63</v>
      </c>
      <c r="V1042">
        <v>2026</v>
      </c>
      <c r="W1042">
        <v>4</v>
      </c>
      <c r="X1042" t="s">
        <v>1412</v>
      </c>
      <c r="Y1042" s="6">
        <v>46113</v>
      </c>
      <c r="Z1042" t="s">
        <v>1418</v>
      </c>
      <c r="AA1042" t="s">
        <v>31</v>
      </c>
      <c r="AB1042" t="s">
        <v>63</v>
      </c>
      <c r="AC1042" t="s">
        <v>23</v>
      </c>
      <c r="AD1042">
        <v>1</v>
      </c>
      <c r="AE1042">
        <v>0</v>
      </c>
      <c r="AF1042">
        <v>1</v>
      </c>
      <c r="AG1042">
        <v>0</v>
      </c>
      <c r="AH1042">
        <v>0</v>
      </c>
      <c r="AI1042">
        <v>0</v>
      </c>
      <c r="AJ1042">
        <v>1</v>
      </c>
    </row>
    <row r="1043" spans="1:36">
      <c r="A1043" t="s">
        <v>1221</v>
      </c>
      <c r="B1043">
        <v>91.55</v>
      </c>
      <c r="C1043" s="7">
        <v>46253.664583333331</v>
      </c>
      <c r="D1043" s="7">
        <v>46257.479117824078</v>
      </c>
      <c r="E1043" t="s">
        <v>23</v>
      </c>
      <c r="F1043" t="s">
        <v>50</v>
      </c>
      <c r="G1043" t="s">
        <v>51</v>
      </c>
      <c r="H1043" t="s">
        <v>54</v>
      </c>
      <c r="I1043" t="s">
        <v>27</v>
      </c>
      <c r="J1043" t="s">
        <v>43</v>
      </c>
      <c r="K1043" t="s">
        <v>58</v>
      </c>
      <c r="L1043" t="s">
        <v>30</v>
      </c>
      <c r="M1043">
        <v>179</v>
      </c>
      <c r="N1043">
        <v>3</v>
      </c>
      <c r="O1043">
        <v>0</v>
      </c>
      <c r="P1043">
        <v>5</v>
      </c>
      <c r="Q1043" t="s">
        <v>31</v>
      </c>
      <c r="R1043">
        <v>120</v>
      </c>
      <c r="S1043">
        <v>24</v>
      </c>
      <c r="T1043" t="s">
        <v>31</v>
      </c>
      <c r="U1043" t="s">
        <v>31</v>
      </c>
      <c r="V1043">
        <v>2026</v>
      </c>
      <c r="W1043">
        <v>8</v>
      </c>
      <c r="X1043" t="s">
        <v>1417</v>
      </c>
      <c r="Y1043" s="6">
        <v>46235</v>
      </c>
      <c r="Z1043" t="s">
        <v>1418</v>
      </c>
      <c r="AA1043" t="s">
        <v>31</v>
      </c>
      <c r="AB1043" t="s">
        <v>63</v>
      </c>
      <c r="AC1043" t="s">
        <v>23</v>
      </c>
      <c r="AD1043">
        <v>1</v>
      </c>
      <c r="AE1043">
        <v>0</v>
      </c>
      <c r="AF1043">
        <v>1</v>
      </c>
      <c r="AG1043">
        <v>0</v>
      </c>
      <c r="AH1043">
        <v>0</v>
      </c>
      <c r="AI1043">
        <v>0</v>
      </c>
      <c r="AJ1043">
        <v>0</v>
      </c>
    </row>
    <row r="1044" spans="1:36">
      <c r="A1044" t="s">
        <v>1222</v>
      </c>
      <c r="B1044">
        <v>22.71</v>
      </c>
      <c r="C1044" s="7">
        <v>46161.059027777781</v>
      </c>
      <c r="D1044" s="7">
        <v>46162.00513853009</v>
      </c>
      <c r="E1044" t="s">
        <v>23</v>
      </c>
      <c r="F1044" t="s">
        <v>50</v>
      </c>
      <c r="G1044" t="s">
        <v>51</v>
      </c>
      <c r="H1044" t="s">
        <v>26</v>
      </c>
      <c r="I1044" t="s">
        <v>27</v>
      </c>
      <c r="J1044" t="s">
        <v>36</v>
      </c>
      <c r="K1044" t="s">
        <v>58</v>
      </c>
      <c r="L1044" t="s">
        <v>93</v>
      </c>
      <c r="M1044">
        <v>78</v>
      </c>
      <c r="N1044">
        <v>4</v>
      </c>
      <c r="O1044">
        <v>0</v>
      </c>
      <c r="P1044">
        <v>7</v>
      </c>
      <c r="Q1044" t="s">
        <v>31</v>
      </c>
      <c r="R1044">
        <v>120</v>
      </c>
      <c r="S1044">
        <v>24</v>
      </c>
      <c r="T1044" t="s">
        <v>63</v>
      </c>
      <c r="U1044" t="s">
        <v>63</v>
      </c>
      <c r="V1044">
        <v>2026</v>
      </c>
      <c r="W1044">
        <v>5</v>
      </c>
      <c r="X1044" t="s">
        <v>1416</v>
      </c>
      <c r="Y1044" s="6">
        <v>46143</v>
      </c>
      <c r="Z1044" t="s">
        <v>1413</v>
      </c>
      <c r="AA1044" t="s">
        <v>31</v>
      </c>
      <c r="AB1044" t="s">
        <v>63</v>
      </c>
      <c r="AC1044" t="s">
        <v>23</v>
      </c>
      <c r="AD1044">
        <v>1</v>
      </c>
      <c r="AE1044">
        <v>0</v>
      </c>
      <c r="AF1044">
        <v>1</v>
      </c>
      <c r="AG1044">
        <v>0</v>
      </c>
      <c r="AH1044">
        <v>0</v>
      </c>
      <c r="AI1044">
        <v>1</v>
      </c>
      <c r="AJ1044">
        <v>1</v>
      </c>
    </row>
    <row r="1045" spans="1:36">
      <c r="A1045" t="s">
        <v>1223</v>
      </c>
      <c r="B1045">
        <v>7.95</v>
      </c>
      <c r="C1045" s="7">
        <v>46029.894444444442</v>
      </c>
      <c r="D1045" s="7">
        <v>46030.225657071758</v>
      </c>
      <c r="E1045" t="s">
        <v>23</v>
      </c>
      <c r="F1045" t="s">
        <v>1402</v>
      </c>
      <c r="G1045" t="s">
        <v>51</v>
      </c>
      <c r="H1045" t="s">
        <v>34</v>
      </c>
      <c r="I1045" t="s">
        <v>35</v>
      </c>
      <c r="J1045" t="s">
        <v>48</v>
      </c>
      <c r="K1045" t="s">
        <v>29</v>
      </c>
      <c r="L1045" t="s">
        <v>85</v>
      </c>
      <c r="M1045">
        <v>147</v>
      </c>
      <c r="N1045">
        <v>4</v>
      </c>
      <c r="O1045">
        <v>0</v>
      </c>
      <c r="P1045">
        <v>4</v>
      </c>
      <c r="Q1045" t="s">
        <v>31</v>
      </c>
      <c r="V1045">
        <v>2026</v>
      </c>
      <c r="W1045">
        <v>1</v>
      </c>
      <c r="X1045" t="s">
        <v>1414</v>
      </c>
      <c r="Y1045" s="6">
        <v>46023</v>
      </c>
      <c r="Z1045" t="s">
        <v>1413</v>
      </c>
      <c r="AA1045" t="s">
        <v>31</v>
      </c>
      <c r="AB1045" t="s">
        <v>63</v>
      </c>
      <c r="AC1045" t="s">
        <v>23</v>
      </c>
      <c r="AD1045">
        <v>1</v>
      </c>
      <c r="AE1045">
        <v>0</v>
      </c>
      <c r="AF1045">
        <v>1</v>
      </c>
      <c r="AG1045">
        <v>0</v>
      </c>
      <c r="AH1045">
        <v>0</v>
      </c>
    </row>
    <row r="1046" spans="1:36">
      <c r="A1046" t="s">
        <v>1224</v>
      </c>
      <c r="B1046">
        <v>49.04</v>
      </c>
      <c r="C1046" s="7">
        <v>46118.026388888888</v>
      </c>
      <c r="D1046" s="7">
        <v>46120.06953630787</v>
      </c>
      <c r="E1046" t="s">
        <v>23</v>
      </c>
      <c r="F1046" t="s">
        <v>50</v>
      </c>
      <c r="G1046" t="s">
        <v>25</v>
      </c>
      <c r="H1046" t="s">
        <v>26</v>
      </c>
      <c r="I1046" t="s">
        <v>27</v>
      </c>
      <c r="J1046" t="s">
        <v>43</v>
      </c>
      <c r="K1046" t="s">
        <v>67</v>
      </c>
      <c r="L1046" t="s">
        <v>71</v>
      </c>
      <c r="M1046">
        <v>112</v>
      </c>
      <c r="N1046">
        <v>3</v>
      </c>
      <c r="O1046">
        <v>0</v>
      </c>
      <c r="P1046">
        <v>6</v>
      </c>
      <c r="Q1046" t="s">
        <v>31</v>
      </c>
      <c r="R1046">
        <v>120</v>
      </c>
      <c r="S1046">
        <v>24</v>
      </c>
      <c r="T1046" t="s">
        <v>63</v>
      </c>
      <c r="U1046" t="s">
        <v>31</v>
      </c>
      <c r="V1046">
        <v>2026</v>
      </c>
      <c r="W1046">
        <v>4</v>
      </c>
      <c r="X1046" t="s">
        <v>1412</v>
      </c>
      <c r="Y1046" s="6">
        <v>46113</v>
      </c>
      <c r="Z1046" t="s">
        <v>1418</v>
      </c>
      <c r="AA1046" t="s">
        <v>31</v>
      </c>
      <c r="AB1046" t="s">
        <v>63</v>
      </c>
      <c r="AC1046" t="s">
        <v>23</v>
      </c>
      <c r="AD1046">
        <v>1</v>
      </c>
      <c r="AE1046">
        <v>0</v>
      </c>
      <c r="AF1046">
        <v>1</v>
      </c>
      <c r="AG1046">
        <v>0</v>
      </c>
      <c r="AH1046">
        <v>0</v>
      </c>
      <c r="AI1046">
        <v>1</v>
      </c>
      <c r="AJ1046">
        <v>0</v>
      </c>
    </row>
    <row r="1047" spans="1:36">
      <c r="A1047" t="s">
        <v>1225</v>
      </c>
      <c r="B1047">
        <v>16.489999999999998</v>
      </c>
      <c r="C1047" s="7">
        <v>46052.615972222222</v>
      </c>
      <c r="D1047" s="7">
        <v>46053.303029953706</v>
      </c>
      <c r="E1047" t="s">
        <v>23</v>
      </c>
      <c r="F1047" t="s">
        <v>40</v>
      </c>
      <c r="G1047" t="s">
        <v>65</v>
      </c>
      <c r="H1047" t="s">
        <v>66</v>
      </c>
      <c r="I1047" t="s">
        <v>42</v>
      </c>
      <c r="J1047" t="s">
        <v>43</v>
      </c>
      <c r="K1047" t="s">
        <v>76</v>
      </c>
      <c r="L1047" t="s">
        <v>71</v>
      </c>
      <c r="M1047">
        <v>117</v>
      </c>
      <c r="N1047">
        <v>4</v>
      </c>
      <c r="O1047">
        <v>0</v>
      </c>
      <c r="P1047">
        <v>2</v>
      </c>
      <c r="Q1047" t="s">
        <v>31</v>
      </c>
      <c r="R1047">
        <v>30</v>
      </c>
      <c r="S1047">
        <v>8</v>
      </c>
      <c r="T1047" t="s">
        <v>31</v>
      </c>
      <c r="U1047" t="s">
        <v>31</v>
      </c>
      <c r="V1047">
        <v>2026</v>
      </c>
      <c r="W1047">
        <v>1</v>
      </c>
      <c r="X1047" t="s">
        <v>1414</v>
      </c>
      <c r="Y1047" s="6">
        <v>46023</v>
      </c>
      <c r="Z1047" t="s">
        <v>1413</v>
      </c>
      <c r="AA1047" t="s">
        <v>31</v>
      </c>
      <c r="AB1047" t="s">
        <v>63</v>
      </c>
      <c r="AC1047" t="s">
        <v>23</v>
      </c>
      <c r="AD1047">
        <v>1</v>
      </c>
      <c r="AE1047">
        <v>0</v>
      </c>
      <c r="AF1047">
        <v>1</v>
      </c>
      <c r="AG1047">
        <v>0</v>
      </c>
      <c r="AH1047">
        <v>0</v>
      </c>
      <c r="AI1047">
        <v>0</v>
      </c>
      <c r="AJ1047">
        <v>0</v>
      </c>
    </row>
    <row r="1048" spans="1:36">
      <c r="A1048" t="s">
        <v>1226</v>
      </c>
      <c r="B1048">
        <v>8.09</v>
      </c>
      <c r="C1048" s="7">
        <v>46258.068749999999</v>
      </c>
      <c r="D1048" s="7">
        <v>46258.405644479164</v>
      </c>
      <c r="E1048" t="s">
        <v>23</v>
      </c>
      <c r="F1048" t="s">
        <v>50</v>
      </c>
      <c r="G1048" t="s">
        <v>51</v>
      </c>
      <c r="H1048" t="s">
        <v>54</v>
      </c>
      <c r="I1048" t="s">
        <v>35</v>
      </c>
      <c r="J1048" t="s">
        <v>36</v>
      </c>
      <c r="K1048" t="s">
        <v>29</v>
      </c>
      <c r="L1048" t="s">
        <v>71</v>
      </c>
      <c r="M1048">
        <v>81</v>
      </c>
      <c r="N1048">
        <v>4</v>
      </c>
      <c r="O1048">
        <v>0</v>
      </c>
      <c r="P1048">
        <v>6</v>
      </c>
      <c r="Q1048" t="s">
        <v>31</v>
      </c>
      <c r="R1048">
        <v>120</v>
      </c>
      <c r="S1048">
        <v>24</v>
      </c>
      <c r="T1048" t="s">
        <v>63</v>
      </c>
      <c r="U1048" t="s">
        <v>63</v>
      </c>
      <c r="V1048">
        <v>2026</v>
      </c>
      <c r="W1048">
        <v>8</v>
      </c>
      <c r="X1048" t="s">
        <v>1417</v>
      </c>
      <c r="Y1048" s="6">
        <v>46235</v>
      </c>
      <c r="Z1048" t="s">
        <v>1413</v>
      </c>
      <c r="AA1048" t="s">
        <v>31</v>
      </c>
      <c r="AB1048" t="s">
        <v>63</v>
      </c>
      <c r="AC1048" t="s">
        <v>23</v>
      </c>
      <c r="AD1048">
        <v>1</v>
      </c>
      <c r="AE1048">
        <v>0</v>
      </c>
      <c r="AF1048">
        <v>1</v>
      </c>
      <c r="AG1048">
        <v>0</v>
      </c>
      <c r="AH1048">
        <v>0</v>
      </c>
      <c r="AI1048">
        <v>1</v>
      </c>
      <c r="AJ1048">
        <v>1</v>
      </c>
    </row>
    <row r="1049" spans="1:36">
      <c r="A1049" t="s">
        <v>1227</v>
      </c>
      <c r="B1049">
        <v>96.3</v>
      </c>
      <c r="C1049" s="7">
        <v>46080.020833333336</v>
      </c>
      <c r="D1049" s="7">
        <v>46084.033291145832</v>
      </c>
      <c r="E1049" t="s">
        <v>23</v>
      </c>
      <c r="F1049" t="s">
        <v>33</v>
      </c>
      <c r="G1049" t="s">
        <v>41</v>
      </c>
      <c r="H1049" t="s">
        <v>34</v>
      </c>
      <c r="I1049" t="s">
        <v>42</v>
      </c>
      <c r="J1049" t="s">
        <v>36</v>
      </c>
      <c r="K1049" t="s">
        <v>37</v>
      </c>
      <c r="L1049" t="s">
        <v>38</v>
      </c>
      <c r="M1049">
        <v>180</v>
      </c>
      <c r="N1049">
        <v>3</v>
      </c>
      <c r="O1049">
        <v>0</v>
      </c>
      <c r="P1049">
        <v>10</v>
      </c>
      <c r="Q1049" t="s">
        <v>63</v>
      </c>
      <c r="R1049">
        <v>240</v>
      </c>
      <c r="S1049">
        <v>48</v>
      </c>
      <c r="T1049" t="s">
        <v>63</v>
      </c>
      <c r="U1049" t="s">
        <v>31</v>
      </c>
      <c r="V1049">
        <v>2026</v>
      </c>
      <c r="W1049">
        <v>2</v>
      </c>
      <c r="X1049" t="s">
        <v>1419</v>
      </c>
      <c r="Y1049" s="6">
        <v>46054</v>
      </c>
      <c r="Z1049" t="s">
        <v>1418</v>
      </c>
      <c r="AA1049" t="s">
        <v>31</v>
      </c>
      <c r="AB1049" t="s">
        <v>63</v>
      </c>
      <c r="AC1049" t="s">
        <v>23</v>
      </c>
      <c r="AD1049">
        <v>1</v>
      </c>
      <c r="AE1049">
        <v>0</v>
      </c>
      <c r="AF1049">
        <v>1</v>
      </c>
      <c r="AG1049">
        <v>0</v>
      </c>
      <c r="AH1049">
        <v>1</v>
      </c>
      <c r="AI1049">
        <v>1</v>
      </c>
      <c r="AJ1049">
        <v>0</v>
      </c>
    </row>
    <row r="1050" spans="1:36">
      <c r="A1050" t="s">
        <v>1228</v>
      </c>
      <c r="B1050">
        <v>32.46</v>
      </c>
      <c r="C1050" s="7">
        <v>46094.646527777775</v>
      </c>
      <c r="D1050" s="7">
        <v>46095.999055706015</v>
      </c>
      <c r="E1050" t="s">
        <v>23</v>
      </c>
      <c r="F1050" t="s">
        <v>33</v>
      </c>
      <c r="G1050" t="s">
        <v>65</v>
      </c>
      <c r="H1050" t="s">
        <v>66</v>
      </c>
      <c r="I1050" t="s">
        <v>27</v>
      </c>
      <c r="J1050" t="s">
        <v>28</v>
      </c>
      <c r="K1050" t="s">
        <v>37</v>
      </c>
      <c r="L1050" t="s">
        <v>55</v>
      </c>
      <c r="M1050">
        <v>122</v>
      </c>
      <c r="N1050">
        <v>3</v>
      </c>
      <c r="O1050">
        <v>1</v>
      </c>
      <c r="P1050">
        <v>10</v>
      </c>
      <c r="Q1050" t="s">
        <v>31</v>
      </c>
      <c r="R1050">
        <v>240</v>
      </c>
      <c r="S1050">
        <v>48</v>
      </c>
      <c r="T1050" t="s">
        <v>63</v>
      </c>
      <c r="U1050" t="s">
        <v>63</v>
      </c>
      <c r="V1050">
        <v>2026</v>
      </c>
      <c r="W1050">
        <v>3</v>
      </c>
      <c r="X1050" t="s">
        <v>1423</v>
      </c>
      <c r="Y1050" s="6">
        <v>46082</v>
      </c>
      <c r="Z1050" t="s">
        <v>1418</v>
      </c>
      <c r="AA1050" t="s">
        <v>63</v>
      </c>
      <c r="AB1050" t="s">
        <v>63</v>
      </c>
      <c r="AC1050" t="s">
        <v>23</v>
      </c>
      <c r="AD1050">
        <v>1</v>
      </c>
      <c r="AE1050">
        <v>0</v>
      </c>
      <c r="AF1050">
        <v>1</v>
      </c>
      <c r="AG1050">
        <v>1</v>
      </c>
      <c r="AH1050">
        <v>0</v>
      </c>
      <c r="AI1050">
        <v>1</v>
      </c>
      <c r="AJ1050">
        <v>1</v>
      </c>
    </row>
    <row r="1051" spans="1:36">
      <c r="A1051" t="s">
        <v>1229</v>
      </c>
      <c r="B1051">
        <v>31.16</v>
      </c>
      <c r="C1051" s="7">
        <v>46076.335416666669</v>
      </c>
      <c r="D1051" s="7">
        <v>46077.633925902781</v>
      </c>
      <c r="E1051" t="s">
        <v>23</v>
      </c>
      <c r="F1051" t="s">
        <v>50</v>
      </c>
      <c r="G1051" t="s">
        <v>25</v>
      </c>
      <c r="H1051" t="s">
        <v>34</v>
      </c>
      <c r="I1051" t="s">
        <v>35</v>
      </c>
      <c r="J1051" t="s">
        <v>43</v>
      </c>
      <c r="K1051" t="s">
        <v>37</v>
      </c>
      <c r="L1051" t="s">
        <v>55</v>
      </c>
      <c r="M1051">
        <v>112</v>
      </c>
      <c r="N1051">
        <v>4</v>
      </c>
      <c r="O1051">
        <v>0</v>
      </c>
      <c r="P1051">
        <v>7</v>
      </c>
      <c r="Q1051" t="s">
        <v>31</v>
      </c>
      <c r="R1051">
        <v>120</v>
      </c>
      <c r="S1051">
        <v>24</v>
      </c>
      <c r="T1051" t="s">
        <v>63</v>
      </c>
      <c r="U1051" t="s">
        <v>31</v>
      </c>
      <c r="V1051">
        <v>2026</v>
      </c>
      <c r="W1051">
        <v>2</v>
      </c>
      <c r="X1051" t="s">
        <v>1419</v>
      </c>
      <c r="Y1051" s="6">
        <v>46054</v>
      </c>
      <c r="Z1051" t="s">
        <v>1413</v>
      </c>
      <c r="AA1051" t="s">
        <v>31</v>
      </c>
      <c r="AB1051" t="s">
        <v>63</v>
      </c>
      <c r="AC1051" t="s">
        <v>23</v>
      </c>
      <c r="AD1051">
        <v>1</v>
      </c>
      <c r="AE1051">
        <v>0</v>
      </c>
      <c r="AF1051">
        <v>1</v>
      </c>
      <c r="AG1051">
        <v>0</v>
      </c>
      <c r="AH1051">
        <v>0</v>
      </c>
      <c r="AI1051">
        <v>1</v>
      </c>
      <c r="AJ1051">
        <v>0</v>
      </c>
    </row>
    <row r="1052" spans="1:36">
      <c r="A1052" t="s">
        <v>1230</v>
      </c>
      <c r="B1052">
        <v>19.510000000000002</v>
      </c>
      <c r="C1052" s="7">
        <v>46194.621527777781</v>
      </c>
      <c r="D1052" s="7">
        <v>46195.43455258102</v>
      </c>
      <c r="E1052" t="s">
        <v>23</v>
      </c>
      <c r="F1052" t="s">
        <v>33</v>
      </c>
      <c r="G1052" t="s">
        <v>51</v>
      </c>
      <c r="H1052" t="s">
        <v>26</v>
      </c>
      <c r="I1052" t="s">
        <v>27</v>
      </c>
      <c r="J1052" t="s">
        <v>48</v>
      </c>
      <c r="K1052" t="s">
        <v>52</v>
      </c>
      <c r="L1052" t="s">
        <v>44</v>
      </c>
      <c r="M1052">
        <v>547</v>
      </c>
      <c r="N1052">
        <v>3</v>
      </c>
      <c r="O1052">
        <v>0</v>
      </c>
      <c r="P1052">
        <v>4</v>
      </c>
      <c r="Q1052" t="s">
        <v>31</v>
      </c>
      <c r="R1052">
        <v>240</v>
      </c>
      <c r="S1052">
        <v>48</v>
      </c>
      <c r="T1052" t="s">
        <v>31</v>
      </c>
      <c r="U1052" t="s">
        <v>63</v>
      </c>
      <c r="V1052">
        <v>2026</v>
      </c>
      <c r="W1052">
        <v>6</v>
      </c>
      <c r="X1052" t="s">
        <v>1421</v>
      </c>
      <c r="Y1052" s="6">
        <v>46174</v>
      </c>
      <c r="Z1052" t="s">
        <v>1418</v>
      </c>
      <c r="AA1052" t="s">
        <v>31</v>
      </c>
      <c r="AB1052" t="s">
        <v>63</v>
      </c>
      <c r="AC1052" t="s">
        <v>23</v>
      </c>
      <c r="AD1052">
        <v>1</v>
      </c>
      <c r="AE1052">
        <v>0</v>
      </c>
      <c r="AF1052">
        <v>1</v>
      </c>
      <c r="AG1052">
        <v>0</v>
      </c>
      <c r="AH1052">
        <v>0</v>
      </c>
      <c r="AI1052">
        <v>0</v>
      </c>
      <c r="AJ1052">
        <v>1</v>
      </c>
    </row>
    <row r="1053" spans="1:36">
      <c r="A1053" t="s">
        <v>1231</v>
      </c>
      <c r="B1053">
        <v>25.9</v>
      </c>
      <c r="C1053" s="7">
        <v>46206.456944444442</v>
      </c>
      <c r="D1053" s="7">
        <v>46207.536038194441</v>
      </c>
      <c r="E1053" t="s">
        <v>23</v>
      </c>
      <c r="F1053" t="s">
        <v>50</v>
      </c>
      <c r="G1053" t="s">
        <v>51</v>
      </c>
      <c r="H1053" t="s">
        <v>26</v>
      </c>
      <c r="I1053" t="s">
        <v>35</v>
      </c>
      <c r="J1053" t="s">
        <v>43</v>
      </c>
      <c r="K1053" t="s">
        <v>76</v>
      </c>
      <c r="L1053" t="s">
        <v>93</v>
      </c>
      <c r="M1053">
        <v>92</v>
      </c>
      <c r="N1053">
        <v>4</v>
      </c>
      <c r="O1053">
        <v>0</v>
      </c>
      <c r="P1053">
        <v>4</v>
      </c>
      <c r="Q1053" t="s">
        <v>31</v>
      </c>
      <c r="R1053">
        <v>120</v>
      </c>
      <c r="S1053">
        <v>24</v>
      </c>
      <c r="T1053" t="s">
        <v>63</v>
      </c>
      <c r="U1053" t="s">
        <v>31</v>
      </c>
      <c r="V1053">
        <v>2026</v>
      </c>
      <c r="W1053">
        <v>7</v>
      </c>
      <c r="X1053" t="s">
        <v>1422</v>
      </c>
      <c r="Y1053" s="6">
        <v>46204</v>
      </c>
      <c r="Z1053" t="s">
        <v>1413</v>
      </c>
      <c r="AA1053" t="s">
        <v>31</v>
      </c>
      <c r="AB1053" t="s">
        <v>63</v>
      </c>
      <c r="AC1053" t="s">
        <v>23</v>
      </c>
      <c r="AD1053">
        <v>1</v>
      </c>
      <c r="AE1053">
        <v>0</v>
      </c>
      <c r="AF1053">
        <v>1</v>
      </c>
      <c r="AG1053">
        <v>0</v>
      </c>
      <c r="AH1053">
        <v>0</v>
      </c>
      <c r="AI1053">
        <v>1</v>
      </c>
      <c r="AJ1053">
        <v>0</v>
      </c>
    </row>
    <row r="1054" spans="1:36">
      <c r="A1054" t="s">
        <v>1232</v>
      </c>
      <c r="B1054">
        <v>16.72</v>
      </c>
      <c r="C1054" s="7">
        <v>46215.504166666666</v>
      </c>
      <c r="D1054" s="7">
        <v>46216.200902569442</v>
      </c>
      <c r="E1054" t="s">
        <v>23</v>
      </c>
      <c r="F1054" t="s">
        <v>40</v>
      </c>
      <c r="G1054" t="s">
        <v>51</v>
      </c>
      <c r="H1054" t="s">
        <v>75</v>
      </c>
      <c r="I1054" t="s">
        <v>35</v>
      </c>
      <c r="J1054" t="s">
        <v>43</v>
      </c>
      <c r="K1054" t="s">
        <v>52</v>
      </c>
      <c r="L1054" t="s">
        <v>44</v>
      </c>
      <c r="M1054">
        <v>75</v>
      </c>
      <c r="N1054">
        <v>4</v>
      </c>
      <c r="O1054">
        <v>2</v>
      </c>
      <c r="P1054">
        <v>6</v>
      </c>
      <c r="Q1054" t="s">
        <v>31</v>
      </c>
      <c r="R1054">
        <v>30</v>
      </c>
      <c r="S1054">
        <v>8</v>
      </c>
      <c r="T1054" t="s">
        <v>31</v>
      </c>
      <c r="U1054" t="s">
        <v>31</v>
      </c>
      <c r="V1054">
        <v>2026</v>
      </c>
      <c r="W1054">
        <v>7</v>
      </c>
      <c r="X1054" t="s">
        <v>1422</v>
      </c>
      <c r="Y1054" s="6">
        <v>46204</v>
      </c>
      <c r="Z1054" t="s">
        <v>1413</v>
      </c>
      <c r="AA1054" t="s">
        <v>63</v>
      </c>
      <c r="AB1054" t="s">
        <v>63</v>
      </c>
      <c r="AC1054" t="s">
        <v>23</v>
      </c>
      <c r="AD1054">
        <v>1</v>
      </c>
      <c r="AE1054">
        <v>0</v>
      </c>
      <c r="AF1054">
        <v>1</v>
      </c>
      <c r="AG1054">
        <v>1</v>
      </c>
      <c r="AH1054">
        <v>0</v>
      </c>
      <c r="AI1054">
        <v>0</v>
      </c>
      <c r="AJ1054">
        <v>0</v>
      </c>
    </row>
    <row r="1055" spans="1:36">
      <c r="A1055" t="s">
        <v>1233</v>
      </c>
      <c r="B1055">
        <v>49.29</v>
      </c>
      <c r="C1055" s="7">
        <v>46070.710416666669</v>
      </c>
      <c r="D1055" s="7">
        <v>46072.763995844907</v>
      </c>
      <c r="E1055" t="s">
        <v>23</v>
      </c>
      <c r="F1055" t="s">
        <v>33</v>
      </c>
      <c r="G1055" t="s">
        <v>65</v>
      </c>
      <c r="H1055" t="s">
        <v>66</v>
      </c>
      <c r="I1055" t="s">
        <v>35</v>
      </c>
      <c r="J1055" t="s">
        <v>28</v>
      </c>
      <c r="K1055" t="s">
        <v>37</v>
      </c>
      <c r="L1055" t="s">
        <v>68</v>
      </c>
      <c r="M1055">
        <v>168</v>
      </c>
      <c r="N1055">
        <v>3</v>
      </c>
      <c r="O1055">
        <v>1</v>
      </c>
      <c r="P1055">
        <v>11</v>
      </c>
      <c r="Q1055" t="s">
        <v>31</v>
      </c>
      <c r="R1055">
        <v>240</v>
      </c>
      <c r="S1055">
        <v>48</v>
      </c>
      <c r="T1055" t="s">
        <v>63</v>
      </c>
      <c r="U1055" t="s">
        <v>31</v>
      </c>
      <c r="V1055">
        <v>2026</v>
      </c>
      <c r="W1055">
        <v>2</v>
      </c>
      <c r="X1055" t="s">
        <v>1419</v>
      </c>
      <c r="Y1055" s="6">
        <v>46054</v>
      </c>
      <c r="Z1055" t="s">
        <v>1418</v>
      </c>
      <c r="AA1055" t="s">
        <v>63</v>
      </c>
      <c r="AB1055" t="s">
        <v>63</v>
      </c>
      <c r="AC1055" t="s">
        <v>23</v>
      </c>
      <c r="AD1055">
        <v>1</v>
      </c>
      <c r="AE1055">
        <v>0</v>
      </c>
      <c r="AF1055">
        <v>1</v>
      </c>
      <c r="AG1055">
        <v>1</v>
      </c>
      <c r="AH1055">
        <v>0</v>
      </c>
      <c r="AI1055">
        <v>1</v>
      </c>
      <c r="AJ1055">
        <v>0</v>
      </c>
    </row>
    <row r="1056" spans="1:36">
      <c r="A1056" t="s">
        <v>1234</v>
      </c>
      <c r="B1056">
        <v>27.17</v>
      </c>
      <c r="C1056" s="7">
        <v>46104.929861111108</v>
      </c>
      <c r="D1056" s="7">
        <v>46106.062096377318</v>
      </c>
      <c r="E1056" t="s">
        <v>23</v>
      </c>
      <c r="F1056" t="s">
        <v>50</v>
      </c>
      <c r="G1056" t="s">
        <v>25</v>
      </c>
      <c r="H1056" t="s">
        <v>66</v>
      </c>
      <c r="I1056" t="s">
        <v>35</v>
      </c>
      <c r="J1056" t="s">
        <v>43</v>
      </c>
      <c r="K1056" t="s">
        <v>37</v>
      </c>
      <c r="L1056" t="s">
        <v>93</v>
      </c>
      <c r="M1056">
        <v>126</v>
      </c>
      <c r="N1056">
        <v>4</v>
      </c>
      <c r="O1056">
        <v>0</v>
      </c>
      <c r="P1056">
        <v>5</v>
      </c>
      <c r="Q1056" t="s">
        <v>31</v>
      </c>
      <c r="R1056">
        <v>120</v>
      </c>
      <c r="S1056">
        <v>24</v>
      </c>
      <c r="T1056" t="s">
        <v>31</v>
      </c>
      <c r="U1056" t="s">
        <v>31</v>
      </c>
      <c r="V1056">
        <v>2026</v>
      </c>
      <c r="W1056">
        <v>3</v>
      </c>
      <c r="X1056" t="s">
        <v>1423</v>
      </c>
      <c r="Y1056" s="6">
        <v>46082</v>
      </c>
      <c r="Z1056" t="s">
        <v>1413</v>
      </c>
      <c r="AA1056" t="s">
        <v>31</v>
      </c>
      <c r="AB1056" t="s">
        <v>63</v>
      </c>
      <c r="AC1056" t="s">
        <v>23</v>
      </c>
      <c r="AD1056">
        <v>1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0</v>
      </c>
    </row>
    <row r="1057" spans="1:36">
      <c r="A1057" t="s">
        <v>1235</v>
      </c>
      <c r="B1057">
        <v>31.35</v>
      </c>
      <c r="C1057" s="7">
        <v>46155.331250000003</v>
      </c>
      <c r="D1057" s="7">
        <v>46156.63740472222</v>
      </c>
      <c r="E1057" t="s">
        <v>23</v>
      </c>
      <c r="F1057" t="s">
        <v>50</v>
      </c>
      <c r="G1057" t="s">
        <v>25</v>
      </c>
      <c r="H1057" t="s">
        <v>75</v>
      </c>
      <c r="I1057" t="s">
        <v>42</v>
      </c>
      <c r="J1057" t="s">
        <v>48</v>
      </c>
      <c r="K1057" t="s">
        <v>58</v>
      </c>
      <c r="L1057" t="s">
        <v>101</v>
      </c>
      <c r="M1057">
        <v>172</v>
      </c>
      <c r="N1057">
        <v>3</v>
      </c>
      <c r="O1057">
        <v>0</v>
      </c>
      <c r="P1057">
        <v>3</v>
      </c>
      <c r="Q1057" t="s">
        <v>31</v>
      </c>
      <c r="R1057">
        <v>120</v>
      </c>
      <c r="S1057">
        <v>24</v>
      </c>
      <c r="T1057" t="s">
        <v>31</v>
      </c>
      <c r="U1057" t="s">
        <v>31</v>
      </c>
      <c r="V1057">
        <v>2026</v>
      </c>
      <c r="W1057">
        <v>5</v>
      </c>
      <c r="X1057" t="s">
        <v>1416</v>
      </c>
      <c r="Y1057" s="6">
        <v>46143</v>
      </c>
      <c r="Z1057" t="s">
        <v>1418</v>
      </c>
      <c r="AA1057" t="s">
        <v>31</v>
      </c>
      <c r="AB1057" t="s">
        <v>63</v>
      </c>
      <c r="AC1057" t="s">
        <v>23</v>
      </c>
      <c r="AD1057">
        <v>1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0</v>
      </c>
    </row>
    <row r="1058" spans="1:36">
      <c r="A1058" t="s">
        <v>1236</v>
      </c>
      <c r="B1058">
        <v>52.31</v>
      </c>
      <c r="C1058" s="7">
        <v>46098.258333333331</v>
      </c>
      <c r="D1058" s="7">
        <v>46100.437747037038</v>
      </c>
      <c r="E1058" t="s">
        <v>23</v>
      </c>
      <c r="F1058" t="s">
        <v>33</v>
      </c>
      <c r="G1058" t="s">
        <v>25</v>
      </c>
      <c r="H1058" t="s">
        <v>75</v>
      </c>
      <c r="I1058" t="s">
        <v>35</v>
      </c>
      <c r="J1058" t="s">
        <v>48</v>
      </c>
      <c r="K1058" t="s">
        <v>37</v>
      </c>
      <c r="L1058" t="s">
        <v>44</v>
      </c>
      <c r="M1058">
        <v>231</v>
      </c>
      <c r="N1058">
        <v>3</v>
      </c>
      <c r="O1058">
        <v>1</v>
      </c>
      <c r="P1058">
        <v>11</v>
      </c>
      <c r="Q1058" t="s">
        <v>31</v>
      </c>
      <c r="R1058">
        <v>240</v>
      </c>
      <c r="S1058">
        <v>48</v>
      </c>
      <c r="T1058" t="s">
        <v>63</v>
      </c>
      <c r="U1058" t="s">
        <v>31</v>
      </c>
      <c r="V1058">
        <v>2026</v>
      </c>
      <c r="W1058">
        <v>3</v>
      </c>
      <c r="X1058" t="s">
        <v>1423</v>
      </c>
      <c r="Y1058" s="6">
        <v>46082</v>
      </c>
      <c r="Z1058" t="s">
        <v>1418</v>
      </c>
      <c r="AA1058" t="s">
        <v>63</v>
      </c>
      <c r="AB1058" t="s">
        <v>63</v>
      </c>
      <c r="AC1058" t="s">
        <v>23</v>
      </c>
      <c r="AD1058">
        <v>1</v>
      </c>
      <c r="AE1058">
        <v>0</v>
      </c>
      <c r="AF1058">
        <v>1</v>
      </c>
      <c r="AG1058">
        <v>1</v>
      </c>
      <c r="AH1058">
        <v>0</v>
      </c>
      <c r="AI1058">
        <v>1</v>
      </c>
      <c r="AJ1058">
        <v>0</v>
      </c>
    </row>
    <row r="1059" spans="1:36">
      <c r="A1059" t="s">
        <v>1237</v>
      </c>
      <c r="B1059">
        <v>24.85</v>
      </c>
      <c r="C1059" s="7">
        <v>46092.397916666669</v>
      </c>
      <c r="D1059" s="7">
        <v>46093.433408344907</v>
      </c>
      <c r="E1059" t="s">
        <v>23</v>
      </c>
      <c r="F1059" t="s">
        <v>33</v>
      </c>
      <c r="G1059" t="s">
        <v>51</v>
      </c>
      <c r="H1059" t="s">
        <v>66</v>
      </c>
      <c r="I1059" t="s">
        <v>42</v>
      </c>
      <c r="J1059" t="s">
        <v>43</v>
      </c>
      <c r="K1059" t="s">
        <v>29</v>
      </c>
      <c r="L1059" t="s">
        <v>30</v>
      </c>
      <c r="M1059">
        <v>249</v>
      </c>
      <c r="N1059">
        <v>3</v>
      </c>
      <c r="O1059">
        <v>0</v>
      </c>
      <c r="P1059">
        <v>2</v>
      </c>
      <c r="Q1059" t="s">
        <v>31</v>
      </c>
      <c r="R1059">
        <v>240</v>
      </c>
      <c r="S1059">
        <v>48</v>
      </c>
      <c r="T1059" t="s">
        <v>31</v>
      </c>
      <c r="U1059" t="s">
        <v>63</v>
      </c>
      <c r="V1059">
        <v>2026</v>
      </c>
      <c r="W1059">
        <v>3</v>
      </c>
      <c r="X1059" t="s">
        <v>1423</v>
      </c>
      <c r="Y1059" s="6">
        <v>46082</v>
      </c>
      <c r="Z1059" t="s">
        <v>1418</v>
      </c>
      <c r="AA1059" t="s">
        <v>31</v>
      </c>
      <c r="AB1059" t="s">
        <v>63</v>
      </c>
      <c r="AC1059" t="s">
        <v>23</v>
      </c>
      <c r="AD1059">
        <v>1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1</v>
      </c>
    </row>
    <row r="1060" spans="1:36">
      <c r="A1060" t="s">
        <v>1238</v>
      </c>
      <c r="B1060">
        <v>71.12</v>
      </c>
      <c r="C1060" s="7">
        <v>46112.352777777778</v>
      </c>
      <c r="D1060" s="7">
        <v>46115.315952511577</v>
      </c>
      <c r="E1060" t="s">
        <v>23</v>
      </c>
      <c r="F1060" t="s">
        <v>50</v>
      </c>
      <c r="G1060" t="s">
        <v>51</v>
      </c>
      <c r="H1060" t="s">
        <v>54</v>
      </c>
      <c r="I1060" t="s">
        <v>42</v>
      </c>
      <c r="J1060" t="s">
        <v>48</v>
      </c>
      <c r="K1060" t="s">
        <v>58</v>
      </c>
      <c r="L1060" t="s">
        <v>62</v>
      </c>
      <c r="M1060">
        <v>135</v>
      </c>
      <c r="N1060">
        <v>3</v>
      </c>
      <c r="O1060">
        <v>0</v>
      </c>
      <c r="P1060">
        <v>3</v>
      </c>
      <c r="Q1060" t="s">
        <v>31</v>
      </c>
      <c r="R1060">
        <v>120</v>
      </c>
      <c r="S1060">
        <v>24</v>
      </c>
      <c r="T1060" t="s">
        <v>31</v>
      </c>
      <c r="U1060" t="s">
        <v>31</v>
      </c>
      <c r="V1060">
        <v>2026</v>
      </c>
      <c r="W1060">
        <v>3</v>
      </c>
      <c r="X1060" t="s">
        <v>1423</v>
      </c>
      <c r="Y1060" s="6">
        <v>46082</v>
      </c>
      <c r="Z1060" t="s">
        <v>1418</v>
      </c>
      <c r="AA1060" t="s">
        <v>31</v>
      </c>
      <c r="AB1060" t="s">
        <v>63</v>
      </c>
      <c r="AC1060" t="s">
        <v>23</v>
      </c>
      <c r="AD1060">
        <v>1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</row>
    <row r="1061" spans="1:36">
      <c r="A1061" t="s">
        <v>1239</v>
      </c>
      <c r="B1061">
        <v>20.89</v>
      </c>
      <c r="C1061" s="7">
        <v>46060.993055555555</v>
      </c>
      <c r="D1061" s="7">
        <v>46061.863415173611</v>
      </c>
      <c r="E1061" t="s">
        <v>23</v>
      </c>
      <c r="F1061" t="s">
        <v>50</v>
      </c>
      <c r="G1061" t="s">
        <v>51</v>
      </c>
      <c r="H1061" t="s">
        <v>26</v>
      </c>
      <c r="I1061" t="s">
        <v>42</v>
      </c>
      <c r="J1061" t="s">
        <v>43</v>
      </c>
      <c r="K1061" t="s">
        <v>29</v>
      </c>
      <c r="L1061" t="s">
        <v>44</v>
      </c>
      <c r="M1061">
        <v>156</v>
      </c>
      <c r="N1061">
        <v>4</v>
      </c>
      <c r="O1061">
        <v>0</v>
      </c>
      <c r="P1061">
        <v>2</v>
      </c>
      <c r="Q1061" t="s">
        <v>31</v>
      </c>
      <c r="R1061">
        <v>120</v>
      </c>
      <c r="S1061">
        <v>24</v>
      </c>
      <c r="T1061" t="s">
        <v>31</v>
      </c>
      <c r="U1061" t="s">
        <v>63</v>
      </c>
      <c r="V1061">
        <v>2026</v>
      </c>
      <c r="W1061">
        <v>2</v>
      </c>
      <c r="X1061" t="s">
        <v>1419</v>
      </c>
      <c r="Y1061" s="6">
        <v>46054</v>
      </c>
      <c r="Z1061" t="s">
        <v>1413</v>
      </c>
      <c r="AA1061" t="s">
        <v>31</v>
      </c>
      <c r="AB1061" t="s">
        <v>63</v>
      </c>
      <c r="AC1061" t="s">
        <v>23</v>
      </c>
      <c r="AD1061">
        <v>1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1</v>
      </c>
    </row>
    <row r="1062" spans="1:36">
      <c r="A1062" t="s">
        <v>1240</v>
      </c>
      <c r="B1062">
        <v>87.25</v>
      </c>
      <c r="C1062" s="7">
        <v>46259.29791666667</v>
      </c>
      <c r="D1062" s="7">
        <v>46262.933281967591</v>
      </c>
      <c r="E1062" t="s">
        <v>23</v>
      </c>
      <c r="F1062" t="s">
        <v>33</v>
      </c>
      <c r="G1062" t="s">
        <v>25</v>
      </c>
      <c r="H1062" t="s">
        <v>26</v>
      </c>
      <c r="I1062" t="s">
        <v>42</v>
      </c>
      <c r="J1062" t="s">
        <v>48</v>
      </c>
      <c r="K1062" t="s">
        <v>37</v>
      </c>
      <c r="L1062" t="s">
        <v>85</v>
      </c>
      <c r="M1062">
        <v>260</v>
      </c>
      <c r="N1062">
        <v>3</v>
      </c>
      <c r="O1062">
        <v>0</v>
      </c>
      <c r="P1062">
        <v>4</v>
      </c>
      <c r="Q1062" t="s">
        <v>31</v>
      </c>
      <c r="R1062">
        <v>240</v>
      </c>
      <c r="S1062">
        <v>48</v>
      </c>
      <c r="T1062" t="s">
        <v>31</v>
      </c>
      <c r="U1062" t="s">
        <v>31</v>
      </c>
      <c r="V1062">
        <v>2026</v>
      </c>
      <c r="W1062">
        <v>8</v>
      </c>
      <c r="X1062" t="s">
        <v>1417</v>
      </c>
      <c r="Y1062" s="6">
        <v>46235</v>
      </c>
      <c r="Z1062" t="s">
        <v>1418</v>
      </c>
      <c r="AA1062" t="s">
        <v>31</v>
      </c>
      <c r="AB1062" t="s">
        <v>63</v>
      </c>
      <c r="AC1062" t="s">
        <v>23</v>
      </c>
      <c r="AD1062">
        <v>1</v>
      </c>
      <c r="AE1062">
        <v>0</v>
      </c>
      <c r="AF1062">
        <v>1</v>
      </c>
      <c r="AG1062">
        <v>0</v>
      </c>
      <c r="AH1062">
        <v>0</v>
      </c>
      <c r="AI1062">
        <v>0</v>
      </c>
      <c r="AJ1062">
        <v>0</v>
      </c>
    </row>
    <row r="1063" spans="1:36">
      <c r="A1063" t="s">
        <v>1241</v>
      </c>
      <c r="B1063">
        <v>44.2</v>
      </c>
      <c r="C1063" s="7">
        <v>46205.115277777775</v>
      </c>
      <c r="D1063" s="7">
        <v>46206.956946307873</v>
      </c>
      <c r="E1063" t="s">
        <v>23</v>
      </c>
      <c r="F1063" t="s">
        <v>33</v>
      </c>
      <c r="G1063" t="s">
        <v>51</v>
      </c>
      <c r="H1063" t="s">
        <v>54</v>
      </c>
      <c r="I1063" t="s">
        <v>42</v>
      </c>
      <c r="J1063" t="s">
        <v>36</v>
      </c>
      <c r="K1063" t="s">
        <v>76</v>
      </c>
      <c r="L1063" t="s">
        <v>38</v>
      </c>
      <c r="M1063">
        <v>210</v>
      </c>
      <c r="N1063">
        <v>4</v>
      </c>
      <c r="O1063">
        <v>0</v>
      </c>
      <c r="P1063">
        <v>2</v>
      </c>
      <c r="Q1063" t="s">
        <v>31</v>
      </c>
      <c r="R1063">
        <v>240</v>
      </c>
      <c r="S1063">
        <v>48</v>
      </c>
      <c r="T1063" t="s">
        <v>63</v>
      </c>
      <c r="U1063" t="s">
        <v>63</v>
      </c>
      <c r="V1063">
        <v>2026</v>
      </c>
      <c r="W1063">
        <v>7</v>
      </c>
      <c r="X1063" t="s">
        <v>1422</v>
      </c>
      <c r="Y1063" s="6">
        <v>46204</v>
      </c>
      <c r="Z1063" t="s">
        <v>1413</v>
      </c>
      <c r="AA1063" t="s">
        <v>31</v>
      </c>
      <c r="AB1063" t="s">
        <v>63</v>
      </c>
      <c r="AC1063" t="s">
        <v>23</v>
      </c>
      <c r="AD1063">
        <v>1</v>
      </c>
      <c r="AE1063">
        <v>0</v>
      </c>
      <c r="AF1063">
        <v>1</v>
      </c>
      <c r="AG1063">
        <v>0</v>
      </c>
      <c r="AH1063">
        <v>0</v>
      </c>
      <c r="AI1063">
        <v>1</v>
      </c>
      <c r="AJ1063">
        <v>1</v>
      </c>
    </row>
    <row r="1064" spans="1:36">
      <c r="A1064" t="s">
        <v>1242</v>
      </c>
      <c r="B1064">
        <v>9.35</v>
      </c>
      <c r="C1064" s="7">
        <v>46078.447222222225</v>
      </c>
      <c r="D1064" s="7">
        <v>46078.836902361109</v>
      </c>
      <c r="E1064" t="s">
        <v>23</v>
      </c>
      <c r="F1064" t="s">
        <v>1402</v>
      </c>
      <c r="G1064" t="s">
        <v>25</v>
      </c>
      <c r="H1064" t="s">
        <v>66</v>
      </c>
      <c r="I1064" t="s">
        <v>27</v>
      </c>
      <c r="J1064" t="s">
        <v>48</v>
      </c>
      <c r="K1064" t="s">
        <v>37</v>
      </c>
      <c r="L1064" t="s">
        <v>101</v>
      </c>
      <c r="M1064">
        <v>38</v>
      </c>
      <c r="N1064">
        <v>4</v>
      </c>
      <c r="O1064">
        <v>0</v>
      </c>
      <c r="P1064">
        <v>7</v>
      </c>
      <c r="Q1064" t="s">
        <v>31</v>
      </c>
      <c r="V1064">
        <v>2026</v>
      </c>
      <c r="W1064">
        <v>2</v>
      </c>
      <c r="X1064" t="s">
        <v>1419</v>
      </c>
      <c r="Y1064" s="6">
        <v>46054</v>
      </c>
      <c r="Z1064" t="s">
        <v>1413</v>
      </c>
      <c r="AA1064" t="s">
        <v>31</v>
      </c>
      <c r="AB1064" t="s">
        <v>63</v>
      </c>
      <c r="AC1064" t="s">
        <v>23</v>
      </c>
      <c r="AD1064">
        <v>1</v>
      </c>
      <c r="AE1064">
        <v>0</v>
      </c>
      <c r="AF1064">
        <v>1</v>
      </c>
      <c r="AG1064">
        <v>0</v>
      </c>
      <c r="AH1064">
        <v>0</v>
      </c>
    </row>
    <row r="1065" spans="1:36">
      <c r="A1065" t="s">
        <v>1243</v>
      </c>
      <c r="B1065">
        <v>17.91</v>
      </c>
      <c r="C1065" s="7">
        <v>46144.757638888892</v>
      </c>
      <c r="D1065" s="7">
        <v>46145.503901782409</v>
      </c>
      <c r="E1065" t="s">
        <v>23</v>
      </c>
      <c r="F1065" t="s">
        <v>40</v>
      </c>
      <c r="G1065" t="s">
        <v>51</v>
      </c>
      <c r="H1065" t="s">
        <v>26</v>
      </c>
      <c r="I1065" t="s">
        <v>35</v>
      </c>
      <c r="J1065" t="s">
        <v>48</v>
      </c>
      <c r="K1065" t="s">
        <v>67</v>
      </c>
      <c r="L1065" t="s">
        <v>55</v>
      </c>
      <c r="M1065">
        <v>38</v>
      </c>
      <c r="N1065">
        <v>3</v>
      </c>
      <c r="O1065">
        <v>2</v>
      </c>
      <c r="P1065">
        <v>13</v>
      </c>
      <c r="Q1065" t="s">
        <v>31</v>
      </c>
      <c r="R1065">
        <v>30</v>
      </c>
      <c r="S1065">
        <v>8</v>
      </c>
      <c r="T1065" t="s">
        <v>31</v>
      </c>
      <c r="U1065" t="s">
        <v>31</v>
      </c>
      <c r="V1065">
        <v>2026</v>
      </c>
      <c r="W1065">
        <v>5</v>
      </c>
      <c r="X1065" t="s">
        <v>1416</v>
      </c>
      <c r="Y1065" s="6">
        <v>46143</v>
      </c>
      <c r="Z1065" t="s">
        <v>1418</v>
      </c>
      <c r="AA1065" t="s">
        <v>63</v>
      </c>
      <c r="AB1065" t="s">
        <v>63</v>
      </c>
      <c r="AC1065" t="s">
        <v>23</v>
      </c>
      <c r="AD1065">
        <v>1</v>
      </c>
      <c r="AE1065">
        <v>0</v>
      </c>
      <c r="AF1065">
        <v>1</v>
      </c>
      <c r="AG1065">
        <v>1</v>
      </c>
      <c r="AH1065">
        <v>0</v>
      </c>
      <c r="AI1065">
        <v>0</v>
      </c>
      <c r="AJ1065">
        <v>0</v>
      </c>
    </row>
    <row r="1066" spans="1:36">
      <c r="A1066" t="s">
        <v>1244</v>
      </c>
      <c r="B1066">
        <v>55.91</v>
      </c>
      <c r="C1066" s="7">
        <v>46230.915972222225</v>
      </c>
      <c r="D1066" s="7">
        <v>46233.245709768518</v>
      </c>
      <c r="E1066" t="s">
        <v>23</v>
      </c>
      <c r="F1066" t="s">
        <v>33</v>
      </c>
      <c r="G1066" t="s">
        <v>25</v>
      </c>
      <c r="H1066" t="s">
        <v>34</v>
      </c>
      <c r="I1066" t="s">
        <v>42</v>
      </c>
      <c r="J1066" t="s">
        <v>28</v>
      </c>
      <c r="K1066" t="s">
        <v>37</v>
      </c>
      <c r="L1066" t="s">
        <v>55</v>
      </c>
      <c r="M1066">
        <v>234</v>
      </c>
      <c r="N1066">
        <v>3</v>
      </c>
      <c r="O1066">
        <v>1</v>
      </c>
      <c r="P1066">
        <v>5</v>
      </c>
      <c r="Q1066" t="s">
        <v>31</v>
      </c>
      <c r="R1066">
        <v>240</v>
      </c>
      <c r="S1066">
        <v>48</v>
      </c>
      <c r="T1066" t="s">
        <v>63</v>
      </c>
      <c r="U1066" t="s">
        <v>31</v>
      </c>
      <c r="V1066">
        <v>2026</v>
      </c>
      <c r="W1066">
        <v>7</v>
      </c>
      <c r="X1066" t="s">
        <v>1422</v>
      </c>
      <c r="Y1066" s="6">
        <v>46204</v>
      </c>
      <c r="Z1066" t="s">
        <v>1418</v>
      </c>
      <c r="AA1066" t="s">
        <v>63</v>
      </c>
      <c r="AB1066" t="s">
        <v>63</v>
      </c>
      <c r="AC1066" t="s">
        <v>23</v>
      </c>
      <c r="AD1066">
        <v>1</v>
      </c>
      <c r="AE1066">
        <v>0</v>
      </c>
      <c r="AF1066">
        <v>1</v>
      </c>
      <c r="AG1066">
        <v>1</v>
      </c>
      <c r="AH1066">
        <v>0</v>
      </c>
      <c r="AI1066">
        <v>1</v>
      </c>
      <c r="AJ1066">
        <v>0</v>
      </c>
    </row>
    <row r="1067" spans="1:36">
      <c r="A1067" t="s">
        <v>1245</v>
      </c>
      <c r="B1067">
        <v>1.35</v>
      </c>
      <c r="C1067" s="7">
        <v>46044.838888888888</v>
      </c>
      <c r="D1067" s="7">
        <v>46044.895136030093</v>
      </c>
      <c r="E1067" t="s">
        <v>23</v>
      </c>
      <c r="F1067" t="s">
        <v>24</v>
      </c>
      <c r="G1067" t="s">
        <v>51</v>
      </c>
      <c r="H1067" t="s">
        <v>26</v>
      </c>
      <c r="I1067" t="s">
        <v>35</v>
      </c>
      <c r="J1067" t="s">
        <v>36</v>
      </c>
      <c r="K1067" t="s">
        <v>52</v>
      </c>
      <c r="L1067" t="s">
        <v>55</v>
      </c>
      <c r="M1067">
        <v>11</v>
      </c>
      <c r="N1067">
        <v>4</v>
      </c>
      <c r="O1067">
        <v>0</v>
      </c>
      <c r="P1067">
        <v>7</v>
      </c>
      <c r="Q1067" t="s">
        <v>31</v>
      </c>
      <c r="R1067">
        <v>15</v>
      </c>
      <c r="S1067">
        <v>4</v>
      </c>
      <c r="T1067" t="s">
        <v>63</v>
      </c>
      <c r="U1067" t="s">
        <v>63</v>
      </c>
      <c r="V1067">
        <v>2026</v>
      </c>
      <c r="W1067">
        <v>1</v>
      </c>
      <c r="X1067" t="s">
        <v>1414</v>
      </c>
      <c r="Y1067" s="6">
        <v>46023</v>
      </c>
      <c r="Z1067" t="s">
        <v>1413</v>
      </c>
      <c r="AA1067" t="s">
        <v>31</v>
      </c>
      <c r="AB1067" t="s">
        <v>63</v>
      </c>
      <c r="AC1067" t="s">
        <v>23</v>
      </c>
      <c r="AD1067">
        <v>1</v>
      </c>
      <c r="AE1067">
        <v>0</v>
      </c>
      <c r="AF1067">
        <v>1</v>
      </c>
      <c r="AG1067">
        <v>0</v>
      </c>
      <c r="AH1067">
        <v>0</v>
      </c>
      <c r="AI1067">
        <v>1</v>
      </c>
      <c r="AJ1067">
        <v>1</v>
      </c>
    </row>
    <row r="1068" spans="1:36">
      <c r="A1068" t="s">
        <v>1246</v>
      </c>
      <c r="B1068">
        <v>57.53</v>
      </c>
      <c r="C1068" s="7">
        <v>46218.677777777775</v>
      </c>
      <c r="D1068" s="7">
        <v>46221.074703078702</v>
      </c>
      <c r="E1068" t="s">
        <v>23</v>
      </c>
      <c r="F1068" t="s">
        <v>50</v>
      </c>
      <c r="G1068" t="s">
        <v>41</v>
      </c>
      <c r="H1068" t="s">
        <v>54</v>
      </c>
      <c r="I1068" t="s">
        <v>42</v>
      </c>
      <c r="J1068" t="s">
        <v>48</v>
      </c>
      <c r="K1068" t="s">
        <v>76</v>
      </c>
      <c r="L1068" t="s">
        <v>101</v>
      </c>
      <c r="M1068">
        <v>132</v>
      </c>
      <c r="N1068">
        <v>3</v>
      </c>
      <c r="O1068">
        <v>0</v>
      </c>
      <c r="P1068">
        <v>5</v>
      </c>
      <c r="Q1068" t="s">
        <v>63</v>
      </c>
      <c r="R1068">
        <v>120</v>
      </c>
      <c r="S1068">
        <v>24</v>
      </c>
      <c r="T1068" t="s">
        <v>31</v>
      </c>
      <c r="U1068" t="s">
        <v>31</v>
      </c>
      <c r="V1068">
        <v>2026</v>
      </c>
      <c r="W1068">
        <v>7</v>
      </c>
      <c r="X1068" t="s">
        <v>1422</v>
      </c>
      <c r="Y1068" s="6">
        <v>46204</v>
      </c>
      <c r="Z1068" t="s">
        <v>1418</v>
      </c>
      <c r="AA1068" t="s">
        <v>31</v>
      </c>
      <c r="AB1068" t="s">
        <v>63</v>
      </c>
      <c r="AC1068" t="s">
        <v>23</v>
      </c>
      <c r="AD1068">
        <v>1</v>
      </c>
      <c r="AE1068">
        <v>0</v>
      </c>
      <c r="AF1068">
        <v>1</v>
      </c>
      <c r="AG1068">
        <v>0</v>
      </c>
      <c r="AH1068">
        <v>1</v>
      </c>
      <c r="AI1068">
        <v>0</v>
      </c>
      <c r="AJ1068">
        <v>0</v>
      </c>
    </row>
    <row r="1069" spans="1:36">
      <c r="A1069" t="s">
        <v>1247</v>
      </c>
      <c r="B1069">
        <v>26.53</v>
      </c>
      <c r="C1069" s="7">
        <v>46155.5</v>
      </c>
      <c r="D1069" s="7">
        <v>46156.605483553241</v>
      </c>
      <c r="E1069" t="s">
        <v>23</v>
      </c>
      <c r="F1069" t="s">
        <v>33</v>
      </c>
      <c r="G1069" t="s">
        <v>25</v>
      </c>
      <c r="H1069" t="s">
        <v>66</v>
      </c>
      <c r="I1069" t="s">
        <v>42</v>
      </c>
      <c r="J1069" t="s">
        <v>36</v>
      </c>
      <c r="K1069" t="s">
        <v>67</v>
      </c>
      <c r="L1069" t="s">
        <v>85</v>
      </c>
      <c r="M1069">
        <v>247</v>
      </c>
      <c r="N1069">
        <v>4</v>
      </c>
      <c r="O1069">
        <v>0</v>
      </c>
      <c r="P1069">
        <v>7</v>
      </c>
      <c r="Q1069" t="s">
        <v>31</v>
      </c>
      <c r="R1069">
        <v>240</v>
      </c>
      <c r="S1069">
        <v>48</v>
      </c>
      <c r="T1069" t="s">
        <v>31</v>
      </c>
      <c r="U1069" t="s">
        <v>63</v>
      </c>
      <c r="V1069">
        <v>2026</v>
      </c>
      <c r="W1069">
        <v>5</v>
      </c>
      <c r="X1069" t="s">
        <v>1416</v>
      </c>
      <c r="Y1069" s="6">
        <v>46143</v>
      </c>
      <c r="Z1069" t="s">
        <v>1413</v>
      </c>
      <c r="AA1069" t="s">
        <v>31</v>
      </c>
      <c r="AB1069" t="s">
        <v>63</v>
      </c>
      <c r="AC1069" t="s">
        <v>23</v>
      </c>
      <c r="AD1069">
        <v>1</v>
      </c>
      <c r="AE1069">
        <v>0</v>
      </c>
      <c r="AF1069">
        <v>1</v>
      </c>
      <c r="AG1069">
        <v>0</v>
      </c>
      <c r="AH1069">
        <v>0</v>
      </c>
      <c r="AI1069">
        <v>0</v>
      </c>
      <c r="AJ1069">
        <v>1</v>
      </c>
    </row>
    <row r="1070" spans="1:36">
      <c r="A1070" t="s">
        <v>1248</v>
      </c>
      <c r="B1070">
        <v>11.65</v>
      </c>
      <c r="C1070" s="7">
        <v>46118.259027777778</v>
      </c>
      <c r="D1070" s="7">
        <v>46118.744626423613</v>
      </c>
      <c r="E1070" t="s">
        <v>23</v>
      </c>
      <c r="F1070" t="s">
        <v>50</v>
      </c>
      <c r="G1070" t="s">
        <v>51</v>
      </c>
      <c r="H1070" t="s">
        <v>26</v>
      </c>
      <c r="I1070" t="s">
        <v>42</v>
      </c>
      <c r="J1070" t="s">
        <v>43</v>
      </c>
      <c r="K1070" t="s">
        <v>52</v>
      </c>
      <c r="L1070" t="s">
        <v>85</v>
      </c>
      <c r="M1070">
        <v>172</v>
      </c>
      <c r="N1070">
        <v>3</v>
      </c>
      <c r="O1070">
        <v>3</v>
      </c>
      <c r="P1070">
        <v>17</v>
      </c>
      <c r="Q1070" t="s">
        <v>31</v>
      </c>
      <c r="R1070">
        <v>120</v>
      </c>
      <c r="S1070">
        <v>24</v>
      </c>
      <c r="T1070" t="s">
        <v>31</v>
      </c>
      <c r="U1070" t="s">
        <v>63</v>
      </c>
      <c r="V1070">
        <v>2026</v>
      </c>
      <c r="W1070">
        <v>4</v>
      </c>
      <c r="X1070" t="s">
        <v>1412</v>
      </c>
      <c r="Y1070" s="6">
        <v>46113</v>
      </c>
      <c r="Z1070" t="s">
        <v>1418</v>
      </c>
      <c r="AA1070" t="s">
        <v>63</v>
      </c>
      <c r="AB1070" t="s">
        <v>63</v>
      </c>
      <c r="AC1070" t="s">
        <v>23</v>
      </c>
      <c r="AD1070">
        <v>1</v>
      </c>
      <c r="AE1070">
        <v>0</v>
      </c>
      <c r="AF1070">
        <v>1</v>
      </c>
      <c r="AG1070">
        <v>1</v>
      </c>
      <c r="AH1070">
        <v>0</v>
      </c>
      <c r="AI1070">
        <v>0</v>
      </c>
      <c r="AJ1070">
        <v>1</v>
      </c>
    </row>
    <row r="1071" spans="1:36">
      <c r="A1071" t="s">
        <v>1249</v>
      </c>
      <c r="B1071">
        <v>20.100000000000001</v>
      </c>
      <c r="C1071" s="7">
        <v>46102.152777777781</v>
      </c>
      <c r="D1071" s="7">
        <v>46102.990242546293</v>
      </c>
      <c r="E1071" t="s">
        <v>23</v>
      </c>
      <c r="F1071" t="s">
        <v>33</v>
      </c>
      <c r="G1071" t="s">
        <v>51</v>
      </c>
      <c r="H1071" t="s">
        <v>26</v>
      </c>
      <c r="I1071" t="s">
        <v>27</v>
      </c>
      <c r="J1071" t="s">
        <v>48</v>
      </c>
      <c r="K1071" t="s">
        <v>29</v>
      </c>
      <c r="L1071" t="s">
        <v>30</v>
      </c>
      <c r="M1071">
        <v>112</v>
      </c>
      <c r="N1071">
        <v>4</v>
      </c>
      <c r="O1071">
        <v>0</v>
      </c>
      <c r="P1071">
        <v>7</v>
      </c>
      <c r="Q1071" t="s">
        <v>31</v>
      </c>
      <c r="R1071">
        <v>240</v>
      </c>
      <c r="S1071">
        <v>48</v>
      </c>
      <c r="T1071" t="s">
        <v>63</v>
      </c>
      <c r="U1071" t="s">
        <v>63</v>
      </c>
      <c r="V1071">
        <v>2026</v>
      </c>
      <c r="W1071">
        <v>3</v>
      </c>
      <c r="X1071" t="s">
        <v>1423</v>
      </c>
      <c r="Y1071" s="6">
        <v>46082</v>
      </c>
      <c r="Z1071" t="s">
        <v>1413</v>
      </c>
      <c r="AA1071" t="s">
        <v>31</v>
      </c>
      <c r="AB1071" t="s">
        <v>63</v>
      </c>
      <c r="AC1071" t="s">
        <v>23</v>
      </c>
      <c r="AD1071">
        <v>1</v>
      </c>
      <c r="AE1071">
        <v>0</v>
      </c>
      <c r="AF1071">
        <v>1</v>
      </c>
      <c r="AG1071">
        <v>0</v>
      </c>
      <c r="AH1071">
        <v>0</v>
      </c>
      <c r="AI1071">
        <v>1</v>
      </c>
      <c r="AJ1071">
        <v>1</v>
      </c>
    </row>
    <row r="1072" spans="1:36">
      <c r="A1072" t="s">
        <v>1250</v>
      </c>
      <c r="B1072">
        <v>3.98</v>
      </c>
      <c r="C1072" s="7">
        <v>46219.175694444442</v>
      </c>
      <c r="D1072" s="7">
        <v>46219.341656076387</v>
      </c>
      <c r="E1072" t="s">
        <v>23</v>
      </c>
      <c r="F1072" t="s">
        <v>24</v>
      </c>
      <c r="G1072" t="s">
        <v>25</v>
      </c>
      <c r="H1072" t="s">
        <v>26</v>
      </c>
      <c r="I1072" t="s">
        <v>35</v>
      </c>
      <c r="J1072" t="s">
        <v>28</v>
      </c>
      <c r="K1072" t="s">
        <v>29</v>
      </c>
      <c r="L1072" t="s">
        <v>55</v>
      </c>
      <c r="M1072">
        <v>18</v>
      </c>
      <c r="N1072">
        <v>4</v>
      </c>
      <c r="O1072">
        <v>0</v>
      </c>
      <c r="P1072">
        <v>4</v>
      </c>
      <c r="Q1072" t="s">
        <v>31</v>
      </c>
      <c r="R1072">
        <v>15</v>
      </c>
      <c r="S1072">
        <v>4</v>
      </c>
      <c r="T1072" t="s">
        <v>31</v>
      </c>
      <c r="U1072" t="s">
        <v>63</v>
      </c>
      <c r="V1072">
        <v>2026</v>
      </c>
      <c r="W1072">
        <v>7</v>
      </c>
      <c r="X1072" t="s">
        <v>1422</v>
      </c>
      <c r="Y1072" s="6">
        <v>46204</v>
      </c>
      <c r="Z1072" t="s">
        <v>1413</v>
      </c>
      <c r="AA1072" t="s">
        <v>31</v>
      </c>
      <c r="AB1072" t="s">
        <v>63</v>
      </c>
      <c r="AC1072" t="s">
        <v>23</v>
      </c>
      <c r="AD1072">
        <v>1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1</v>
      </c>
    </row>
    <row r="1073" spans="1:36">
      <c r="A1073" t="s">
        <v>1251</v>
      </c>
      <c r="B1073">
        <v>148.91999999999999</v>
      </c>
      <c r="C1073" s="7">
        <v>46238.257638888892</v>
      </c>
      <c r="D1073" s="7">
        <v>46244.462691458335</v>
      </c>
      <c r="E1073" t="s">
        <v>23</v>
      </c>
      <c r="F1073" t="s">
        <v>33</v>
      </c>
      <c r="G1073" t="s">
        <v>51</v>
      </c>
      <c r="H1073" t="s">
        <v>75</v>
      </c>
      <c r="I1073" t="s">
        <v>27</v>
      </c>
      <c r="J1073" t="s">
        <v>28</v>
      </c>
      <c r="K1073" t="s">
        <v>52</v>
      </c>
      <c r="L1073" t="s">
        <v>101</v>
      </c>
      <c r="M1073">
        <v>213</v>
      </c>
      <c r="N1073">
        <v>3</v>
      </c>
      <c r="O1073">
        <v>1</v>
      </c>
      <c r="P1073">
        <v>13</v>
      </c>
      <c r="Q1073" t="s">
        <v>63</v>
      </c>
      <c r="R1073">
        <v>240</v>
      </c>
      <c r="S1073">
        <v>48</v>
      </c>
      <c r="T1073" t="s">
        <v>63</v>
      </c>
      <c r="U1073" t="s">
        <v>31</v>
      </c>
      <c r="V1073">
        <v>2026</v>
      </c>
      <c r="W1073">
        <v>8</v>
      </c>
      <c r="X1073" t="s">
        <v>1417</v>
      </c>
      <c r="Y1073" s="6">
        <v>46235</v>
      </c>
      <c r="Z1073" t="s">
        <v>1418</v>
      </c>
      <c r="AA1073" t="s">
        <v>63</v>
      </c>
      <c r="AB1073" t="s">
        <v>63</v>
      </c>
      <c r="AC1073" t="s">
        <v>23</v>
      </c>
      <c r="AD1073">
        <v>1</v>
      </c>
      <c r="AE1073">
        <v>0</v>
      </c>
      <c r="AF1073">
        <v>1</v>
      </c>
      <c r="AG1073">
        <v>1</v>
      </c>
      <c r="AH1073">
        <v>1</v>
      </c>
      <c r="AI1073">
        <v>1</v>
      </c>
      <c r="AJ1073">
        <v>0</v>
      </c>
    </row>
    <row r="1074" spans="1:36">
      <c r="A1074" t="s">
        <v>1252</v>
      </c>
      <c r="B1074">
        <v>5.63</v>
      </c>
      <c r="C1074" s="7">
        <v>46226.365277777775</v>
      </c>
      <c r="D1074" s="7">
        <v>46226.599919918983</v>
      </c>
      <c r="E1074" t="s">
        <v>23</v>
      </c>
      <c r="F1074" t="s">
        <v>40</v>
      </c>
      <c r="G1074" t="s">
        <v>25</v>
      </c>
      <c r="H1074" t="s">
        <v>54</v>
      </c>
      <c r="I1074" t="s">
        <v>42</v>
      </c>
      <c r="J1074" t="s">
        <v>28</v>
      </c>
      <c r="K1074" t="s">
        <v>29</v>
      </c>
      <c r="L1074" t="s">
        <v>38</v>
      </c>
      <c r="M1074">
        <v>27</v>
      </c>
      <c r="N1074">
        <v>4</v>
      </c>
      <c r="O1074">
        <v>1</v>
      </c>
      <c r="P1074">
        <v>10</v>
      </c>
      <c r="Q1074" t="s">
        <v>31</v>
      </c>
      <c r="R1074">
        <v>30</v>
      </c>
      <c r="S1074">
        <v>8</v>
      </c>
      <c r="T1074" t="s">
        <v>63</v>
      </c>
      <c r="U1074" t="s">
        <v>63</v>
      </c>
      <c r="V1074">
        <v>2026</v>
      </c>
      <c r="W1074">
        <v>7</v>
      </c>
      <c r="X1074" t="s">
        <v>1422</v>
      </c>
      <c r="Y1074" s="6">
        <v>46204</v>
      </c>
      <c r="Z1074" t="s">
        <v>1413</v>
      </c>
      <c r="AA1074" t="s">
        <v>63</v>
      </c>
      <c r="AB1074" t="s">
        <v>63</v>
      </c>
      <c r="AC1074" t="s">
        <v>23</v>
      </c>
      <c r="AD1074">
        <v>1</v>
      </c>
      <c r="AE1074">
        <v>0</v>
      </c>
      <c r="AF1074">
        <v>1</v>
      </c>
      <c r="AG1074">
        <v>1</v>
      </c>
      <c r="AH1074">
        <v>0</v>
      </c>
      <c r="AI1074">
        <v>1</v>
      </c>
      <c r="AJ1074">
        <v>1</v>
      </c>
    </row>
    <row r="1075" spans="1:36">
      <c r="A1075" t="s">
        <v>1253</v>
      </c>
      <c r="B1075">
        <v>69.5</v>
      </c>
      <c r="C1075" s="7">
        <v>46234.952777777777</v>
      </c>
      <c r="D1075" s="7">
        <v>46237.848796550927</v>
      </c>
      <c r="E1075" t="s">
        <v>23</v>
      </c>
      <c r="F1075" t="s">
        <v>50</v>
      </c>
      <c r="G1075" t="s">
        <v>25</v>
      </c>
      <c r="H1075" t="s">
        <v>26</v>
      </c>
      <c r="I1075" t="s">
        <v>35</v>
      </c>
      <c r="J1075" t="s">
        <v>43</v>
      </c>
      <c r="K1075" t="s">
        <v>37</v>
      </c>
      <c r="L1075" t="s">
        <v>38</v>
      </c>
      <c r="M1075">
        <v>115</v>
      </c>
      <c r="N1075">
        <v>3</v>
      </c>
      <c r="O1075">
        <v>0</v>
      </c>
      <c r="P1075">
        <v>6</v>
      </c>
      <c r="Q1075" t="s">
        <v>31</v>
      </c>
      <c r="R1075">
        <v>120</v>
      </c>
      <c r="S1075">
        <v>24</v>
      </c>
      <c r="T1075" t="s">
        <v>63</v>
      </c>
      <c r="U1075" t="s">
        <v>31</v>
      </c>
      <c r="V1075">
        <v>2026</v>
      </c>
      <c r="W1075">
        <v>7</v>
      </c>
      <c r="X1075" t="s">
        <v>1422</v>
      </c>
      <c r="Y1075" s="6">
        <v>46204</v>
      </c>
      <c r="Z1075" t="s">
        <v>1418</v>
      </c>
      <c r="AA1075" t="s">
        <v>31</v>
      </c>
      <c r="AB1075" t="s">
        <v>63</v>
      </c>
      <c r="AC1075" t="s">
        <v>23</v>
      </c>
      <c r="AD1075">
        <v>1</v>
      </c>
      <c r="AE1075">
        <v>0</v>
      </c>
      <c r="AF1075">
        <v>1</v>
      </c>
      <c r="AG1075">
        <v>0</v>
      </c>
      <c r="AH1075">
        <v>0</v>
      </c>
      <c r="AI1075">
        <v>1</v>
      </c>
      <c r="AJ1075">
        <v>0</v>
      </c>
    </row>
    <row r="1076" spans="1:36">
      <c r="A1076" t="s">
        <v>1254</v>
      </c>
      <c r="B1076">
        <v>5.9</v>
      </c>
      <c r="C1076" s="7">
        <v>46192.943055555559</v>
      </c>
      <c r="D1076" s="7">
        <v>46193.188805335645</v>
      </c>
      <c r="E1076" t="s">
        <v>23</v>
      </c>
      <c r="F1076" t="s">
        <v>24</v>
      </c>
      <c r="G1076" t="s">
        <v>25</v>
      </c>
      <c r="H1076" t="s">
        <v>54</v>
      </c>
      <c r="I1076" t="s">
        <v>27</v>
      </c>
      <c r="J1076" t="s">
        <v>28</v>
      </c>
      <c r="K1076" t="s">
        <v>37</v>
      </c>
      <c r="L1076" t="s">
        <v>30</v>
      </c>
      <c r="M1076">
        <v>31</v>
      </c>
      <c r="N1076">
        <v>4</v>
      </c>
      <c r="O1076">
        <v>1</v>
      </c>
      <c r="P1076">
        <v>5</v>
      </c>
      <c r="Q1076" t="s">
        <v>31</v>
      </c>
      <c r="R1076">
        <v>15</v>
      </c>
      <c r="S1076">
        <v>4</v>
      </c>
      <c r="T1076" t="s">
        <v>31</v>
      </c>
      <c r="U1076" t="s">
        <v>31</v>
      </c>
      <c r="V1076">
        <v>2026</v>
      </c>
      <c r="W1076">
        <v>6</v>
      </c>
      <c r="X1076" t="s">
        <v>1421</v>
      </c>
      <c r="Y1076" s="6">
        <v>46174</v>
      </c>
      <c r="Z1076" t="s">
        <v>1413</v>
      </c>
      <c r="AA1076" t="s">
        <v>63</v>
      </c>
      <c r="AB1076" t="s">
        <v>63</v>
      </c>
      <c r="AC1076" t="s">
        <v>23</v>
      </c>
      <c r="AD1076">
        <v>1</v>
      </c>
      <c r="AE1076">
        <v>0</v>
      </c>
      <c r="AF1076">
        <v>1</v>
      </c>
      <c r="AG1076">
        <v>1</v>
      </c>
      <c r="AH1076">
        <v>0</v>
      </c>
      <c r="AI1076">
        <v>0</v>
      </c>
      <c r="AJ1076">
        <v>0</v>
      </c>
    </row>
    <row r="1077" spans="1:36">
      <c r="A1077" t="s">
        <v>1255</v>
      </c>
      <c r="B1077">
        <v>114.69</v>
      </c>
      <c r="C1077" s="7">
        <v>46040.663888888892</v>
      </c>
      <c r="D1077" s="7">
        <v>46045.442690000003</v>
      </c>
      <c r="E1077" t="s">
        <v>23</v>
      </c>
      <c r="F1077" t="s">
        <v>50</v>
      </c>
      <c r="G1077" t="s">
        <v>51</v>
      </c>
      <c r="H1077" t="s">
        <v>66</v>
      </c>
      <c r="I1077" t="s">
        <v>42</v>
      </c>
      <c r="J1077" t="s">
        <v>36</v>
      </c>
      <c r="K1077" t="s">
        <v>58</v>
      </c>
      <c r="L1077" t="s">
        <v>30</v>
      </c>
      <c r="M1077">
        <v>234</v>
      </c>
      <c r="N1077">
        <v>3</v>
      </c>
      <c r="O1077">
        <v>0</v>
      </c>
      <c r="P1077">
        <v>3</v>
      </c>
      <c r="Q1077" t="s">
        <v>31</v>
      </c>
      <c r="R1077">
        <v>120</v>
      </c>
      <c r="S1077">
        <v>24</v>
      </c>
      <c r="T1077" t="s">
        <v>31</v>
      </c>
      <c r="U1077" t="s">
        <v>31</v>
      </c>
      <c r="V1077">
        <v>2026</v>
      </c>
      <c r="W1077">
        <v>1</v>
      </c>
      <c r="X1077" t="s">
        <v>1414</v>
      </c>
      <c r="Y1077" s="6">
        <v>46023</v>
      </c>
      <c r="Z1077" t="s">
        <v>1418</v>
      </c>
      <c r="AA1077" t="s">
        <v>31</v>
      </c>
      <c r="AB1077" t="s">
        <v>63</v>
      </c>
      <c r="AC1077" t="s">
        <v>23</v>
      </c>
      <c r="AD1077">
        <v>1</v>
      </c>
      <c r="AE1077">
        <v>0</v>
      </c>
      <c r="AF1077">
        <v>1</v>
      </c>
      <c r="AG1077">
        <v>0</v>
      </c>
      <c r="AH1077">
        <v>0</v>
      </c>
      <c r="AI1077">
        <v>0</v>
      </c>
      <c r="AJ1077">
        <v>0</v>
      </c>
    </row>
    <row r="1078" spans="1:36">
      <c r="A1078" t="s">
        <v>1256</v>
      </c>
      <c r="B1078">
        <v>2.58</v>
      </c>
      <c r="C1078" s="7">
        <v>46213.143750000003</v>
      </c>
      <c r="D1078" s="7">
        <v>46213.251244398147</v>
      </c>
      <c r="E1078" t="s">
        <v>23</v>
      </c>
      <c r="F1078" t="s">
        <v>24</v>
      </c>
      <c r="G1078" t="s">
        <v>65</v>
      </c>
      <c r="H1078" t="s">
        <v>26</v>
      </c>
      <c r="I1078" t="s">
        <v>35</v>
      </c>
      <c r="J1078" t="s">
        <v>28</v>
      </c>
      <c r="K1078" t="s">
        <v>52</v>
      </c>
      <c r="L1078" t="s">
        <v>93</v>
      </c>
      <c r="M1078">
        <v>16</v>
      </c>
      <c r="N1078">
        <v>4</v>
      </c>
      <c r="O1078">
        <v>0</v>
      </c>
      <c r="P1078">
        <v>3</v>
      </c>
      <c r="Q1078" t="s">
        <v>31</v>
      </c>
      <c r="R1078">
        <v>15</v>
      </c>
      <c r="S1078">
        <v>4</v>
      </c>
      <c r="T1078" t="s">
        <v>31</v>
      </c>
      <c r="U1078" t="s">
        <v>63</v>
      </c>
      <c r="V1078">
        <v>2026</v>
      </c>
      <c r="W1078">
        <v>7</v>
      </c>
      <c r="X1078" t="s">
        <v>1422</v>
      </c>
      <c r="Y1078" s="6">
        <v>46204</v>
      </c>
      <c r="Z1078" t="s">
        <v>1413</v>
      </c>
      <c r="AA1078" t="s">
        <v>31</v>
      </c>
      <c r="AB1078" t="s">
        <v>63</v>
      </c>
      <c r="AC1078" t="s">
        <v>23</v>
      </c>
      <c r="AD1078">
        <v>1</v>
      </c>
      <c r="AE1078">
        <v>0</v>
      </c>
      <c r="AF1078">
        <v>1</v>
      </c>
      <c r="AG1078">
        <v>0</v>
      </c>
      <c r="AH1078">
        <v>0</v>
      </c>
      <c r="AI1078">
        <v>0</v>
      </c>
      <c r="AJ1078">
        <v>1</v>
      </c>
    </row>
    <row r="1079" spans="1:36">
      <c r="A1079" t="s">
        <v>1257</v>
      </c>
      <c r="B1079">
        <v>12.26</v>
      </c>
      <c r="C1079" s="7">
        <v>46226.060416666667</v>
      </c>
      <c r="D1079" s="7">
        <v>46226.571393541664</v>
      </c>
      <c r="E1079" t="s">
        <v>23</v>
      </c>
      <c r="F1079" t="s">
        <v>24</v>
      </c>
      <c r="G1079" t="s">
        <v>51</v>
      </c>
      <c r="H1079" t="s">
        <v>54</v>
      </c>
      <c r="I1079" t="s">
        <v>42</v>
      </c>
      <c r="J1079" t="s">
        <v>36</v>
      </c>
      <c r="K1079" t="s">
        <v>76</v>
      </c>
      <c r="L1079" t="s">
        <v>71</v>
      </c>
      <c r="M1079">
        <v>12</v>
      </c>
      <c r="N1079">
        <v>4</v>
      </c>
      <c r="O1079">
        <v>1</v>
      </c>
      <c r="P1079">
        <v>5</v>
      </c>
      <c r="Q1079" t="s">
        <v>31</v>
      </c>
      <c r="R1079">
        <v>15</v>
      </c>
      <c r="S1079">
        <v>4</v>
      </c>
      <c r="T1079" t="s">
        <v>63</v>
      </c>
      <c r="U1079" t="s">
        <v>31</v>
      </c>
      <c r="V1079">
        <v>2026</v>
      </c>
      <c r="W1079">
        <v>7</v>
      </c>
      <c r="X1079" t="s">
        <v>1422</v>
      </c>
      <c r="Y1079" s="6">
        <v>46204</v>
      </c>
      <c r="Z1079" t="s">
        <v>1413</v>
      </c>
      <c r="AA1079" t="s">
        <v>63</v>
      </c>
      <c r="AB1079" t="s">
        <v>63</v>
      </c>
      <c r="AC1079" t="s">
        <v>23</v>
      </c>
      <c r="AD1079">
        <v>1</v>
      </c>
      <c r="AE1079">
        <v>0</v>
      </c>
      <c r="AF1079">
        <v>1</v>
      </c>
      <c r="AG1079">
        <v>1</v>
      </c>
      <c r="AH1079">
        <v>0</v>
      </c>
      <c r="AI1079">
        <v>1</v>
      </c>
      <c r="AJ1079">
        <v>0</v>
      </c>
    </row>
    <row r="1080" spans="1:36">
      <c r="A1080" t="s">
        <v>1258</v>
      </c>
      <c r="B1080">
        <v>24.58</v>
      </c>
      <c r="C1080" s="7">
        <v>46193.388194444444</v>
      </c>
      <c r="D1080" s="7">
        <v>46194.412525162035</v>
      </c>
      <c r="E1080" t="s">
        <v>23</v>
      </c>
      <c r="F1080" t="s">
        <v>50</v>
      </c>
      <c r="G1080" t="s">
        <v>51</v>
      </c>
      <c r="H1080" t="s">
        <v>34</v>
      </c>
      <c r="I1080" t="s">
        <v>42</v>
      </c>
      <c r="J1080" t="s">
        <v>36</v>
      </c>
      <c r="K1080" t="s">
        <v>29</v>
      </c>
      <c r="L1080" t="s">
        <v>30</v>
      </c>
      <c r="M1080">
        <v>119</v>
      </c>
      <c r="N1080">
        <v>4</v>
      </c>
      <c r="O1080">
        <v>0</v>
      </c>
      <c r="P1080">
        <v>3</v>
      </c>
      <c r="Q1080" t="s">
        <v>31</v>
      </c>
      <c r="R1080">
        <v>120</v>
      </c>
      <c r="S1080">
        <v>24</v>
      </c>
      <c r="T1080" t="s">
        <v>63</v>
      </c>
      <c r="U1080" t="s">
        <v>31</v>
      </c>
      <c r="V1080">
        <v>2026</v>
      </c>
      <c r="W1080">
        <v>6</v>
      </c>
      <c r="X1080" t="s">
        <v>1421</v>
      </c>
      <c r="Y1080" s="6">
        <v>46174</v>
      </c>
      <c r="Z1080" t="s">
        <v>1413</v>
      </c>
      <c r="AA1080" t="s">
        <v>31</v>
      </c>
      <c r="AB1080" t="s">
        <v>63</v>
      </c>
      <c r="AC1080" t="s">
        <v>23</v>
      </c>
      <c r="AD1080">
        <v>1</v>
      </c>
      <c r="AE1080">
        <v>0</v>
      </c>
      <c r="AF1080">
        <v>1</v>
      </c>
      <c r="AG1080">
        <v>0</v>
      </c>
      <c r="AH1080">
        <v>0</v>
      </c>
      <c r="AI1080">
        <v>1</v>
      </c>
      <c r="AJ1080">
        <v>0</v>
      </c>
    </row>
    <row r="1081" spans="1:36">
      <c r="A1081" t="s">
        <v>1259</v>
      </c>
      <c r="B1081">
        <v>12.07</v>
      </c>
      <c r="C1081" s="7">
        <v>46159.267361111109</v>
      </c>
      <c r="D1081" s="7">
        <v>46159.770241180559</v>
      </c>
      <c r="E1081" t="s">
        <v>23</v>
      </c>
      <c r="F1081" t="s">
        <v>40</v>
      </c>
      <c r="G1081" t="s">
        <v>25</v>
      </c>
      <c r="H1081" t="s">
        <v>26</v>
      </c>
      <c r="I1081" t="s">
        <v>42</v>
      </c>
      <c r="J1081" t="s">
        <v>28</v>
      </c>
      <c r="K1081" t="s">
        <v>52</v>
      </c>
      <c r="L1081" t="s">
        <v>93</v>
      </c>
      <c r="M1081">
        <v>49</v>
      </c>
      <c r="N1081">
        <v>4</v>
      </c>
      <c r="O1081">
        <v>0</v>
      </c>
      <c r="P1081">
        <v>4</v>
      </c>
      <c r="Q1081" t="s">
        <v>31</v>
      </c>
      <c r="R1081">
        <v>30</v>
      </c>
      <c r="S1081">
        <v>8</v>
      </c>
      <c r="T1081" t="s">
        <v>31</v>
      </c>
      <c r="U1081" t="s">
        <v>31</v>
      </c>
      <c r="V1081">
        <v>2026</v>
      </c>
      <c r="W1081">
        <v>5</v>
      </c>
      <c r="X1081" t="s">
        <v>1416</v>
      </c>
      <c r="Y1081" s="6">
        <v>46143</v>
      </c>
      <c r="Z1081" t="s">
        <v>1413</v>
      </c>
      <c r="AA1081" t="s">
        <v>31</v>
      </c>
      <c r="AB1081" t="s">
        <v>63</v>
      </c>
      <c r="AC1081" t="s">
        <v>23</v>
      </c>
      <c r="AD1081">
        <v>1</v>
      </c>
      <c r="AE1081">
        <v>0</v>
      </c>
      <c r="AF1081">
        <v>1</v>
      </c>
      <c r="AG1081">
        <v>0</v>
      </c>
      <c r="AH1081">
        <v>0</v>
      </c>
      <c r="AI1081">
        <v>0</v>
      </c>
      <c r="AJ1081">
        <v>0</v>
      </c>
    </row>
    <row r="1082" spans="1:36">
      <c r="A1082" t="s">
        <v>1260</v>
      </c>
      <c r="B1082">
        <v>10.09</v>
      </c>
      <c r="C1082" s="7">
        <v>46161.957638888889</v>
      </c>
      <c r="D1082" s="7">
        <v>46162.378123113427</v>
      </c>
      <c r="E1082" t="s">
        <v>23</v>
      </c>
      <c r="F1082" t="s">
        <v>40</v>
      </c>
      <c r="G1082" t="s">
        <v>41</v>
      </c>
      <c r="H1082" t="s">
        <v>34</v>
      </c>
      <c r="I1082" t="s">
        <v>27</v>
      </c>
      <c r="J1082" t="s">
        <v>48</v>
      </c>
      <c r="K1082" t="s">
        <v>76</v>
      </c>
      <c r="L1082" t="s">
        <v>62</v>
      </c>
      <c r="M1082">
        <v>23</v>
      </c>
      <c r="N1082">
        <v>4</v>
      </c>
      <c r="O1082">
        <v>0</v>
      </c>
      <c r="P1082">
        <v>5</v>
      </c>
      <c r="Q1082" t="s">
        <v>31</v>
      </c>
      <c r="R1082">
        <v>30</v>
      </c>
      <c r="S1082">
        <v>8</v>
      </c>
      <c r="T1082" t="s">
        <v>63</v>
      </c>
      <c r="U1082" t="s">
        <v>31</v>
      </c>
      <c r="V1082">
        <v>2026</v>
      </c>
      <c r="W1082">
        <v>5</v>
      </c>
      <c r="X1082" t="s">
        <v>1416</v>
      </c>
      <c r="Y1082" s="6">
        <v>46143</v>
      </c>
      <c r="Z1082" t="s">
        <v>1413</v>
      </c>
      <c r="AA1082" t="s">
        <v>31</v>
      </c>
      <c r="AB1082" t="s">
        <v>63</v>
      </c>
      <c r="AC1082" t="s">
        <v>23</v>
      </c>
      <c r="AD1082">
        <v>1</v>
      </c>
      <c r="AE1082">
        <v>0</v>
      </c>
      <c r="AF1082">
        <v>1</v>
      </c>
      <c r="AG1082">
        <v>0</v>
      </c>
      <c r="AH1082">
        <v>0</v>
      </c>
      <c r="AI1082">
        <v>1</v>
      </c>
      <c r="AJ1082">
        <v>0</v>
      </c>
    </row>
    <row r="1083" spans="1:36">
      <c r="A1083" t="s">
        <v>1261</v>
      </c>
      <c r="B1083">
        <v>48.22</v>
      </c>
      <c r="C1083" s="7">
        <v>46162.263888888891</v>
      </c>
      <c r="D1083" s="7">
        <v>46164.273112083334</v>
      </c>
      <c r="E1083" t="s">
        <v>23</v>
      </c>
      <c r="F1083" t="s">
        <v>33</v>
      </c>
      <c r="G1083" t="s">
        <v>51</v>
      </c>
      <c r="H1083" t="s">
        <v>26</v>
      </c>
      <c r="I1083" t="s">
        <v>35</v>
      </c>
      <c r="J1083" t="s">
        <v>28</v>
      </c>
      <c r="K1083" t="s">
        <v>76</v>
      </c>
      <c r="L1083" t="s">
        <v>55</v>
      </c>
      <c r="M1083">
        <v>324</v>
      </c>
      <c r="N1083">
        <v>3</v>
      </c>
      <c r="O1083">
        <v>0</v>
      </c>
      <c r="P1083">
        <v>4</v>
      </c>
      <c r="Q1083" t="s">
        <v>31</v>
      </c>
      <c r="R1083">
        <v>240</v>
      </c>
      <c r="S1083">
        <v>48</v>
      </c>
      <c r="T1083" t="s">
        <v>31</v>
      </c>
      <c r="U1083" t="s">
        <v>31</v>
      </c>
      <c r="V1083">
        <v>2026</v>
      </c>
      <c r="W1083">
        <v>5</v>
      </c>
      <c r="X1083" t="s">
        <v>1416</v>
      </c>
      <c r="Y1083" s="6">
        <v>46143</v>
      </c>
      <c r="Z1083" t="s">
        <v>1418</v>
      </c>
      <c r="AA1083" t="s">
        <v>31</v>
      </c>
      <c r="AB1083" t="s">
        <v>63</v>
      </c>
      <c r="AC1083" t="s">
        <v>23</v>
      </c>
      <c r="AD1083">
        <v>1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0</v>
      </c>
    </row>
    <row r="1084" spans="1:36">
      <c r="A1084" t="s">
        <v>1262</v>
      </c>
      <c r="B1084">
        <v>70.8</v>
      </c>
      <c r="C1084" s="7">
        <v>46080.285416666666</v>
      </c>
      <c r="D1084" s="7">
        <v>46083.235595219907</v>
      </c>
      <c r="E1084" t="s">
        <v>23</v>
      </c>
      <c r="F1084" t="s">
        <v>50</v>
      </c>
      <c r="G1084" t="s">
        <v>51</v>
      </c>
      <c r="H1084" t="s">
        <v>26</v>
      </c>
      <c r="I1084" t="s">
        <v>35</v>
      </c>
      <c r="J1084" t="s">
        <v>43</v>
      </c>
      <c r="K1084" t="s">
        <v>58</v>
      </c>
      <c r="L1084" t="s">
        <v>30</v>
      </c>
      <c r="M1084">
        <v>112</v>
      </c>
      <c r="N1084">
        <v>3</v>
      </c>
      <c r="O1084">
        <v>0</v>
      </c>
      <c r="P1084">
        <v>12</v>
      </c>
      <c r="Q1084" t="s">
        <v>63</v>
      </c>
      <c r="R1084">
        <v>120</v>
      </c>
      <c r="S1084">
        <v>24</v>
      </c>
      <c r="T1084" t="s">
        <v>63</v>
      </c>
      <c r="U1084" t="s">
        <v>31</v>
      </c>
      <c r="V1084">
        <v>2026</v>
      </c>
      <c r="W1084">
        <v>2</v>
      </c>
      <c r="X1084" t="s">
        <v>1419</v>
      </c>
      <c r="Y1084" s="6">
        <v>46054</v>
      </c>
      <c r="Z1084" t="s">
        <v>1418</v>
      </c>
      <c r="AA1084" t="s">
        <v>31</v>
      </c>
      <c r="AB1084" t="s">
        <v>63</v>
      </c>
      <c r="AC1084" t="s">
        <v>23</v>
      </c>
      <c r="AD1084">
        <v>1</v>
      </c>
      <c r="AE1084">
        <v>0</v>
      </c>
      <c r="AF1084">
        <v>1</v>
      </c>
      <c r="AG1084">
        <v>0</v>
      </c>
      <c r="AH1084">
        <v>1</v>
      </c>
      <c r="AI1084">
        <v>1</v>
      </c>
      <c r="AJ1084">
        <v>0</v>
      </c>
    </row>
    <row r="1085" spans="1:36">
      <c r="A1085" t="s">
        <v>1263</v>
      </c>
      <c r="B1085">
        <v>68.16</v>
      </c>
      <c r="C1085" s="7">
        <v>46157.830555555556</v>
      </c>
      <c r="D1085" s="7">
        <v>46160.670402384261</v>
      </c>
      <c r="E1085" t="s">
        <v>23</v>
      </c>
      <c r="F1085" t="s">
        <v>33</v>
      </c>
      <c r="G1085" t="s">
        <v>51</v>
      </c>
      <c r="H1085" t="s">
        <v>26</v>
      </c>
      <c r="I1085" t="s">
        <v>35</v>
      </c>
      <c r="J1085" t="s">
        <v>28</v>
      </c>
      <c r="K1085" t="s">
        <v>37</v>
      </c>
      <c r="L1085" t="s">
        <v>30</v>
      </c>
      <c r="M1085">
        <v>66</v>
      </c>
      <c r="N1085">
        <v>4</v>
      </c>
      <c r="O1085">
        <v>0</v>
      </c>
      <c r="P1085">
        <v>5</v>
      </c>
      <c r="Q1085" t="s">
        <v>31</v>
      </c>
      <c r="R1085">
        <v>240</v>
      </c>
      <c r="S1085">
        <v>48</v>
      </c>
      <c r="T1085" t="s">
        <v>63</v>
      </c>
      <c r="U1085" t="s">
        <v>31</v>
      </c>
      <c r="V1085">
        <v>2026</v>
      </c>
      <c r="W1085">
        <v>5</v>
      </c>
      <c r="X1085" t="s">
        <v>1416</v>
      </c>
      <c r="Y1085" s="6">
        <v>46143</v>
      </c>
      <c r="Z1085" t="s">
        <v>1413</v>
      </c>
      <c r="AA1085" t="s">
        <v>31</v>
      </c>
      <c r="AB1085" t="s">
        <v>63</v>
      </c>
      <c r="AC1085" t="s">
        <v>23</v>
      </c>
      <c r="AD1085">
        <v>1</v>
      </c>
      <c r="AE1085">
        <v>0</v>
      </c>
      <c r="AF1085">
        <v>1</v>
      </c>
      <c r="AG1085">
        <v>0</v>
      </c>
      <c r="AH1085">
        <v>0</v>
      </c>
      <c r="AI1085">
        <v>1</v>
      </c>
      <c r="AJ1085">
        <v>0</v>
      </c>
    </row>
    <row r="1086" spans="1:36">
      <c r="A1086" t="s">
        <v>1264</v>
      </c>
      <c r="B1086">
        <v>13.99</v>
      </c>
      <c r="C1086" s="7">
        <v>46075.939583333333</v>
      </c>
      <c r="D1086" s="7">
        <v>46076.522700416666</v>
      </c>
      <c r="E1086" t="s">
        <v>23</v>
      </c>
      <c r="F1086" t="s">
        <v>40</v>
      </c>
      <c r="G1086" t="s">
        <v>51</v>
      </c>
      <c r="H1086" t="s">
        <v>26</v>
      </c>
      <c r="I1086" t="s">
        <v>35</v>
      </c>
      <c r="J1086" t="s">
        <v>48</v>
      </c>
      <c r="K1086" t="s">
        <v>67</v>
      </c>
      <c r="L1086" t="s">
        <v>93</v>
      </c>
      <c r="M1086">
        <v>47</v>
      </c>
      <c r="N1086">
        <v>4</v>
      </c>
      <c r="O1086">
        <v>0</v>
      </c>
      <c r="P1086">
        <v>5</v>
      </c>
      <c r="Q1086" t="s">
        <v>31</v>
      </c>
      <c r="R1086">
        <v>30</v>
      </c>
      <c r="S1086">
        <v>8</v>
      </c>
      <c r="T1086" t="s">
        <v>31</v>
      </c>
      <c r="U1086" t="s">
        <v>31</v>
      </c>
      <c r="V1086">
        <v>2026</v>
      </c>
      <c r="W1086">
        <v>2</v>
      </c>
      <c r="X1086" t="s">
        <v>1419</v>
      </c>
      <c r="Y1086" s="6">
        <v>46054</v>
      </c>
      <c r="Z1086" t="s">
        <v>1413</v>
      </c>
      <c r="AA1086" t="s">
        <v>31</v>
      </c>
      <c r="AB1086" t="s">
        <v>63</v>
      </c>
      <c r="AC1086" t="s">
        <v>23</v>
      </c>
      <c r="AD1086">
        <v>1</v>
      </c>
      <c r="AE1086">
        <v>0</v>
      </c>
      <c r="AF1086">
        <v>1</v>
      </c>
      <c r="AG1086">
        <v>0</v>
      </c>
      <c r="AH1086">
        <v>0</v>
      </c>
      <c r="AI1086">
        <v>0</v>
      </c>
      <c r="AJ1086">
        <v>0</v>
      </c>
    </row>
    <row r="1087" spans="1:36">
      <c r="A1087" t="s">
        <v>1265</v>
      </c>
      <c r="B1087">
        <v>23.11</v>
      </c>
      <c r="C1087" s="7">
        <v>46126.172222222223</v>
      </c>
      <c r="D1087" s="7">
        <v>46127.135267592595</v>
      </c>
      <c r="E1087" t="s">
        <v>23</v>
      </c>
      <c r="F1087" t="s">
        <v>40</v>
      </c>
      <c r="G1087" t="s">
        <v>65</v>
      </c>
      <c r="H1087" t="s">
        <v>26</v>
      </c>
      <c r="I1087" t="s">
        <v>35</v>
      </c>
      <c r="J1087" t="s">
        <v>48</v>
      </c>
      <c r="K1087" t="s">
        <v>37</v>
      </c>
      <c r="L1087" t="s">
        <v>55</v>
      </c>
      <c r="M1087">
        <v>24</v>
      </c>
      <c r="N1087">
        <v>4</v>
      </c>
      <c r="O1087">
        <v>0</v>
      </c>
      <c r="P1087">
        <v>9</v>
      </c>
      <c r="Q1087" t="s">
        <v>63</v>
      </c>
      <c r="R1087">
        <v>30</v>
      </c>
      <c r="S1087">
        <v>8</v>
      </c>
      <c r="T1087" t="s">
        <v>63</v>
      </c>
      <c r="U1087" t="s">
        <v>31</v>
      </c>
      <c r="V1087">
        <v>2026</v>
      </c>
      <c r="W1087">
        <v>4</v>
      </c>
      <c r="X1087" t="s">
        <v>1412</v>
      </c>
      <c r="Y1087" s="6">
        <v>46113</v>
      </c>
      <c r="Z1087" t="s">
        <v>1413</v>
      </c>
      <c r="AA1087" t="s">
        <v>31</v>
      </c>
      <c r="AB1087" t="s">
        <v>63</v>
      </c>
      <c r="AC1087" t="s">
        <v>23</v>
      </c>
      <c r="AD1087">
        <v>1</v>
      </c>
      <c r="AE1087">
        <v>0</v>
      </c>
      <c r="AF1087">
        <v>1</v>
      </c>
      <c r="AG1087">
        <v>0</v>
      </c>
      <c r="AH1087">
        <v>1</v>
      </c>
      <c r="AI1087">
        <v>1</v>
      </c>
      <c r="AJ1087">
        <v>0</v>
      </c>
    </row>
    <row r="1088" spans="1:36">
      <c r="A1088" t="s">
        <v>1266</v>
      </c>
      <c r="B1088">
        <v>35.06</v>
      </c>
      <c r="C1088" s="7">
        <v>46122.415972222225</v>
      </c>
      <c r="D1088" s="7">
        <v>46123.876629351849</v>
      </c>
      <c r="E1088" t="s">
        <v>23</v>
      </c>
      <c r="F1088" t="s">
        <v>50</v>
      </c>
      <c r="G1088" t="s">
        <v>51</v>
      </c>
      <c r="H1088" t="s">
        <v>26</v>
      </c>
      <c r="I1088" t="s">
        <v>42</v>
      </c>
      <c r="J1088" t="s">
        <v>43</v>
      </c>
      <c r="K1088" t="s">
        <v>58</v>
      </c>
      <c r="L1088" t="s">
        <v>68</v>
      </c>
      <c r="M1088">
        <v>181</v>
      </c>
      <c r="N1088">
        <v>3</v>
      </c>
      <c r="O1088">
        <v>0</v>
      </c>
      <c r="P1088">
        <v>5</v>
      </c>
      <c r="Q1088" t="s">
        <v>31</v>
      </c>
      <c r="R1088">
        <v>120</v>
      </c>
      <c r="S1088">
        <v>24</v>
      </c>
      <c r="T1088" t="s">
        <v>31</v>
      </c>
      <c r="U1088" t="s">
        <v>31</v>
      </c>
      <c r="V1088">
        <v>2026</v>
      </c>
      <c r="W1088">
        <v>4</v>
      </c>
      <c r="X1088" t="s">
        <v>1412</v>
      </c>
      <c r="Y1088" s="6">
        <v>46113</v>
      </c>
      <c r="Z1088" t="s">
        <v>1418</v>
      </c>
      <c r="AA1088" t="s">
        <v>31</v>
      </c>
      <c r="AB1088" t="s">
        <v>63</v>
      </c>
      <c r="AC1088" t="s">
        <v>23</v>
      </c>
      <c r="AD1088">
        <v>1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>
        <v>0</v>
      </c>
    </row>
    <row r="1089" spans="1:36">
      <c r="A1089" t="s">
        <v>1267</v>
      </c>
      <c r="B1089">
        <v>32.17</v>
      </c>
      <c r="C1089" s="7">
        <v>46128.921527777777</v>
      </c>
      <c r="D1089" s="7">
        <v>46130.26177798611</v>
      </c>
      <c r="E1089" t="s">
        <v>23</v>
      </c>
      <c r="F1089" t="s">
        <v>50</v>
      </c>
      <c r="G1089" t="s">
        <v>51</v>
      </c>
      <c r="H1089" t="s">
        <v>75</v>
      </c>
      <c r="I1089" t="s">
        <v>27</v>
      </c>
      <c r="J1089" t="s">
        <v>28</v>
      </c>
      <c r="K1089" t="s">
        <v>58</v>
      </c>
      <c r="L1089" t="s">
        <v>30</v>
      </c>
      <c r="M1089">
        <v>118</v>
      </c>
      <c r="N1089">
        <v>4</v>
      </c>
      <c r="O1089">
        <v>0</v>
      </c>
      <c r="P1089">
        <v>5</v>
      </c>
      <c r="Q1089" t="s">
        <v>31</v>
      </c>
      <c r="R1089">
        <v>120</v>
      </c>
      <c r="S1089">
        <v>24</v>
      </c>
      <c r="T1089" t="s">
        <v>63</v>
      </c>
      <c r="U1089" t="s">
        <v>31</v>
      </c>
      <c r="V1089">
        <v>2026</v>
      </c>
      <c r="W1089">
        <v>4</v>
      </c>
      <c r="X1089" t="s">
        <v>1412</v>
      </c>
      <c r="Y1089" s="6">
        <v>46113</v>
      </c>
      <c r="Z1089" t="s">
        <v>1413</v>
      </c>
      <c r="AA1089" t="s">
        <v>31</v>
      </c>
      <c r="AB1089" t="s">
        <v>63</v>
      </c>
      <c r="AC1089" t="s">
        <v>23</v>
      </c>
      <c r="AD1089">
        <v>1</v>
      </c>
      <c r="AE1089">
        <v>0</v>
      </c>
      <c r="AF1089">
        <v>1</v>
      </c>
      <c r="AG1089">
        <v>0</v>
      </c>
      <c r="AH1089">
        <v>0</v>
      </c>
      <c r="AI1089">
        <v>1</v>
      </c>
      <c r="AJ1089">
        <v>0</v>
      </c>
    </row>
    <row r="1090" spans="1:36">
      <c r="A1090" t="s">
        <v>1268</v>
      </c>
      <c r="B1090">
        <v>20.04</v>
      </c>
      <c r="C1090" s="7">
        <v>46033.425694444442</v>
      </c>
      <c r="D1090" s="7">
        <v>46034.260812442131</v>
      </c>
      <c r="E1090" t="s">
        <v>23</v>
      </c>
      <c r="F1090" t="s">
        <v>50</v>
      </c>
      <c r="G1090" t="s">
        <v>51</v>
      </c>
      <c r="H1090" t="s">
        <v>26</v>
      </c>
      <c r="I1090" t="s">
        <v>35</v>
      </c>
      <c r="J1090" t="s">
        <v>43</v>
      </c>
      <c r="K1090" t="s">
        <v>67</v>
      </c>
      <c r="L1090" t="s">
        <v>55</v>
      </c>
      <c r="M1090">
        <v>144</v>
      </c>
      <c r="N1090">
        <v>4</v>
      </c>
      <c r="O1090">
        <v>0</v>
      </c>
      <c r="P1090">
        <v>7</v>
      </c>
      <c r="Q1090" t="s">
        <v>31</v>
      </c>
      <c r="R1090">
        <v>120</v>
      </c>
      <c r="S1090">
        <v>24</v>
      </c>
      <c r="T1090" t="s">
        <v>31</v>
      </c>
      <c r="U1090" t="s">
        <v>63</v>
      </c>
      <c r="V1090">
        <v>2026</v>
      </c>
      <c r="W1090">
        <v>1</v>
      </c>
      <c r="X1090" t="s">
        <v>1414</v>
      </c>
      <c r="Y1090" s="6">
        <v>46023</v>
      </c>
      <c r="Z1090" t="s">
        <v>1413</v>
      </c>
      <c r="AA1090" t="s">
        <v>31</v>
      </c>
      <c r="AB1090" t="s">
        <v>63</v>
      </c>
      <c r="AC1090" t="s">
        <v>23</v>
      </c>
      <c r="AD1090">
        <v>1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1</v>
      </c>
    </row>
    <row r="1091" spans="1:36">
      <c r="A1091" t="s">
        <v>1269</v>
      </c>
      <c r="B1091">
        <v>36.68</v>
      </c>
      <c r="C1091" s="7">
        <v>46203.397222222222</v>
      </c>
      <c r="D1091" s="7">
        <v>46204.925363553244</v>
      </c>
      <c r="E1091" t="s">
        <v>23</v>
      </c>
      <c r="F1091" t="s">
        <v>50</v>
      </c>
      <c r="G1091" t="s">
        <v>51</v>
      </c>
      <c r="H1091" t="s">
        <v>26</v>
      </c>
      <c r="I1091" t="s">
        <v>35</v>
      </c>
      <c r="J1091" t="s">
        <v>43</v>
      </c>
      <c r="K1091" t="s">
        <v>37</v>
      </c>
      <c r="L1091" t="s">
        <v>62</v>
      </c>
      <c r="M1091">
        <v>169</v>
      </c>
      <c r="N1091">
        <v>4</v>
      </c>
      <c r="O1091">
        <v>0</v>
      </c>
      <c r="P1091">
        <v>7</v>
      </c>
      <c r="Q1091" t="s">
        <v>31</v>
      </c>
      <c r="R1091">
        <v>120</v>
      </c>
      <c r="S1091">
        <v>24</v>
      </c>
      <c r="T1091" t="s">
        <v>31</v>
      </c>
      <c r="U1091" t="s">
        <v>31</v>
      </c>
      <c r="V1091">
        <v>2026</v>
      </c>
      <c r="W1091">
        <v>6</v>
      </c>
      <c r="X1091" t="s">
        <v>1421</v>
      </c>
      <c r="Y1091" s="6">
        <v>46174</v>
      </c>
      <c r="Z1091" t="s">
        <v>1413</v>
      </c>
      <c r="AA1091" t="s">
        <v>31</v>
      </c>
      <c r="AB1091" t="s">
        <v>63</v>
      </c>
      <c r="AC1091" t="s">
        <v>23</v>
      </c>
      <c r="AD1091">
        <v>1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</row>
    <row r="1092" spans="1:36">
      <c r="A1092" t="s">
        <v>1270</v>
      </c>
      <c r="B1092">
        <v>15.89</v>
      </c>
      <c r="C1092" s="7">
        <v>46161.39166666667</v>
      </c>
      <c r="D1092" s="7">
        <v>46162.053642997686</v>
      </c>
      <c r="E1092" t="s">
        <v>23</v>
      </c>
      <c r="F1092" t="s">
        <v>50</v>
      </c>
      <c r="G1092" t="s">
        <v>51</v>
      </c>
      <c r="H1092" t="s">
        <v>26</v>
      </c>
      <c r="I1092" t="s">
        <v>35</v>
      </c>
      <c r="J1092" t="s">
        <v>48</v>
      </c>
      <c r="K1092" t="s">
        <v>52</v>
      </c>
      <c r="L1092" t="s">
        <v>71</v>
      </c>
      <c r="M1092">
        <v>113</v>
      </c>
      <c r="N1092">
        <v>4</v>
      </c>
      <c r="O1092">
        <v>0</v>
      </c>
      <c r="P1092">
        <v>2</v>
      </c>
      <c r="Q1092" t="s">
        <v>31</v>
      </c>
      <c r="R1092">
        <v>120</v>
      </c>
      <c r="S1092">
        <v>24</v>
      </c>
      <c r="T1092" t="s">
        <v>63</v>
      </c>
      <c r="U1092" t="s">
        <v>63</v>
      </c>
      <c r="V1092">
        <v>2026</v>
      </c>
      <c r="W1092">
        <v>5</v>
      </c>
      <c r="X1092" t="s">
        <v>1416</v>
      </c>
      <c r="Y1092" s="6">
        <v>46143</v>
      </c>
      <c r="Z1092" t="s">
        <v>1413</v>
      </c>
      <c r="AA1092" t="s">
        <v>31</v>
      </c>
      <c r="AB1092" t="s">
        <v>63</v>
      </c>
      <c r="AC1092" t="s">
        <v>23</v>
      </c>
      <c r="AD1092">
        <v>1</v>
      </c>
      <c r="AE1092">
        <v>0</v>
      </c>
      <c r="AF1092">
        <v>1</v>
      </c>
      <c r="AG1092">
        <v>0</v>
      </c>
      <c r="AH1092">
        <v>0</v>
      </c>
      <c r="AI1092">
        <v>1</v>
      </c>
      <c r="AJ1092">
        <v>1</v>
      </c>
    </row>
    <row r="1093" spans="1:36">
      <c r="A1093" t="s">
        <v>1271</v>
      </c>
      <c r="B1093">
        <v>44.02</v>
      </c>
      <c r="C1093" s="7">
        <v>46025.521527777775</v>
      </c>
      <c r="D1093" s="7">
        <v>46027.355640439811</v>
      </c>
      <c r="E1093" t="s">
        <v>23</v>
      </c>
      <c r="F1093" t="s">
        <v>33</v>
      </c>
      <c r="G1093" t="s">
        <v>65</v>
      </c>
      <c r="H1093" t="s">
        <v>54</v>
      </c>
      <c r="I1093" t="s">
        <v>42</v>
      </c>
      <c r="J1093" t="s">
        <v>48</v>
      </c>
      <c r="K1093" t="s">
        <v>29</v>
      </c>
      <c r="L1093" t="s">
        <v>101</v>
      </c>
      <c r="M1093">
        <v>130</v>
      </c>
      <c r="N1093">
        <v>3</v>
      </c>
      <c r="O1093">
        <v>1</v>
      </c>
      <c r="P1093">
        <v>9</v>
      </c>
      <c r="Q1093" t="s">
        <v>31</v>
      </c>
      <c r="R1093">
        <v>240</v>
      </c>
      <c r="S1093">
        <v>48</v>
      </c>
      <c r="T1093" t="s">
        <v>63</v>
      </c>
      <c r="U1093" t="s">
        <v>63</v>
      </c>
      <c r="V1093">
        <v>2026</v>
      </c>
      <c r="W1093">
        <v>1</v>
      </c>
      <c r="X1093" t="s">
        <v>1414</v>
      </c>
      <c r="Y1093" s="6">
        <v>46023</v>
      </c>
      <c r="Z1093" t="s">
        <v>1418</v>
      </c>
      <c r="AA1093" t="s">
        <v>63</v>
      </c>
      <c r="AB1093" t="s">
        <v>63</v>
      </c>
      <c r="AC1093" t="s">
        <v>23</v>
      </c>
      <c r="AD1093">
        <v>1</v>
      </c>
      <c r="AE1093">
        <v>0</v>
      </c>
      <c r="AF1093">
        <v>1</v>
      </c>
      <c r="AG1093">
        <v>1</v>
      </c>
      <c r="AH1093">
        <v>0</v>
      </c>
      <c r="AI1093">
        <v>1</v>
      </c>
      <c r="AJ1093">
        <v>1</v>
      </c>
    </row>
    <row r="1094" spans="1:36">
      <c r="A1094" t="s">
        <v>1272</v>
      </c>
      <c r="B1094">
        <v>12.76</v>
      </c>
      <c r="C1094" s="7">
        <v>46060.14166666667</v>
      </c>
      <c r="D1094" s="7">
        <v>46060.673409606483</v>
      </c>
      <c r="E1094" t="s">
        <v>23</v>
      </c>
      <c r="F1094" t="s">
        <v>40</v>
      </c>
      <c r="G1094" t="s">
        <v>25</v>
      </c>
      <c r="H1094" t="s">
        <v>54</v>
      </c>
      <c r="I1094" t="s">
        <v>42</v>
      </c>
      <c r="J1094" t="s">
        <v>43</v>
      </c>
      <c r="K1094" t="s">
        <v>76</v>
      </c>
      <c r="L1094" t="s">
        <v>55</v>
      </c>
      <c r="M1094">
        <v>14</v>
      </c>
      <c r="N1094">
        <v>4</v>
      </c>
      <c r="O1094">
        <v>0</v>
      </c>
      <c r="P1094">
        <v>7</v>
      </c>
      <c r="Q1094" t="s">
        <v>31</v>
      </c>
      <c r="R1094">
        <v>30</v>
      </c>
      <c r="S1094">
        <v>8</v>
      </c>
      <c r="T1094" t="s">
        <v>63</v>
      </c>
      <c r="U1094" t="s">
        <v>31</v>
      </c>
      <c r="V1094">
        <v>2026</v>
      </c>
      <c r="W1094">
        <v>2</v>
      </c>
      <c r="X1094" t="s">
        <v>1419</v>
      </c>
      <c r="Y1094" s="6">
        <v>46054</v>
      </c>
      <c r="Z1094" t="s">
        <v>1413</v>
      </c>
      <c r="AA1094" t="s">
        <v>31</v>
      </c>
      <c r="AB1094" t="s">
        <v>63</v>
      </c>
      <c r="AC1094" t="s">
        <v>23</v>
      </c>
      <c r="AD1094">
        <v>1</v>
      </c>
      <c r="AE1094">
        <v>0</v>
      </c>
      <c r="AF1094">
        <v>1</v>
      </c>
      <c r="AG1094">
        <v>0</v>
      </c>
      <c r="AH1094">
        <v>0</v>
      </c>
      <c r="AI1094">
        <v>1</v>
      </c>
      <c r="AJ1094">
        <v>0</v>
      </c>
    </row>
    <row r="1095" spans="1:36">
      <c r="A1095" t="s">
        <v>1273</v>
      </c>
      <c r="B1095">
        <v>13.47</v>
      </c>
      <c r="C1095" s="7">
        <v>46236.433333333334</v>
      </c>
      <c r="D1095" s="7">
        <v>46236.994530162039</v>
      </c>
      <c r="E1095" t="s">
        <v>23</v>
      </c>
      <c r="F1095" t="s">
        <v>33</v>
      </c>
      <c r="G1095" t="s">
        <v>51</v>
      </c>
      <c r="H1095" t="s">
        <v>54</v>
      </c>
      <c r="I1095" t="s">
        <v>42</v>
      </c>
      <c r="J1095" t="s">
        <v>28</v>
      </c>
      <c r="K1095" t="s">
        <v>52</v>
      </c>
      <c r="L1095" t="s">
        <v>71</v>
      </c>
      <c r="M1095">
        <v>293</v>
      </c>
      <c r="N1095">
        <v>3</v>
      </c>
      <c r="O1095">
        <v>2</v>
      </c>
      <c r="P1095">
        <v>14</v>
      </c>
      <c r="Q1095" t="s">
        <v>31</v>
      </c>
      <c r="R1095">
        <v>240</v>
      </c>
      <c r="S1095">
        <v>48</v>
      </c>
      <c r="T1095" t="s">
        <v>31</v>
      </c>
      <c r="U1095" t="s">
        <v>63</v>
      </c>
      <c r="V1095">
        <v>2026</v>
      </c>
      <c r="W1095">
        <v>8</v>
      </c>
      <c r="X1095" t="s">
        <v>1417</v>
      </c>
      <c r="Y1095" s="6">
        <v>46235</v>
      </c>
      <c r="Z1095" t="s">
        <v>1418</v>
      </c>
      <c r="AA1095" t="s">
        <v>63</v>
      </c>
      <c r="AB1095" t="s">
        <v>63</v>
      </c>
      <c r="AC1095" t="s">
        <v>23</v>
      </c>
      <c r="AD1095">
        <v>1</v>
      </c>
      <c r="AE1095">
        <v>0</v>
      </c>
      <c r="AF1095">
        <v>1</v>
      </c>
      <c r="AG1095">
        <v>1</v>
      </c>
      <c r="AH1095">
        <v>0</v>
      </c>
      <c r="AI1095">
        <v>0</v>
      </c>
      <c r="AJ1095">
        <v>1</v>
      </c>
    </row>
    <row r="1096" spans="1:36">
      <c r="A1096" t="s">
        <v>1274</v>
      </c>
      <c r="B1096">
        <v>28.96</v>
      </c>
      <c r="C1096" s="7">
        <v>46067.327777777777</v>
      </c>
      <c r="D1096" s="7">
        <v>46068.534457476853</v>
      </c>
      <c r="E1096" t="s">
        <v>23</v>
      </c>
      <c r="F1096" t="s">
        <v>50</v>
      </c>
      <c r="G1096" t="s">
        <v>25</v>
      </c>
      <c r="H1096" t="s">
        <v>54</v>
      </c>
      <c r="I1096" t="s">
        <v>42</v>
      </c>
      <c r="J1096" t="s">
        <v>48</v>
      </c>
      <c r="K1096" t="s">
        <v>29</v>
      </c>
      <c r="L1096" t="s">
        <v>30</v>
      </c>
      <c r="M1096">
        <v>103</v>
      </c>
      <c r="N1096">
        <v>3</v>
      </c>
      <c r="O1096">
        <v>1</v>
      </c>
      <c r="P1096">
        <v>11</v>
      </c>
      <c r="Q1096" t="s">
        <v>63</v>
      </c>
      <c r="R1096">
        <v>120</v>
      </c>
      <c r="S1096">
        <v>24</v>
      </c>
      <c r="T1096" t="s">
        <v>63</v>
      </c>
      <c r="U1096" t="s">
        <v>31</v>
      </c>
      <c r="V1096">
        <v>2026</v>
      </c>
      <c r="W1096">
        <v>2</v>
      </c>
      <c r="X1096" t="s">
        <v>1419</v>
      </c>
      <c r="Y1096" s="6">
        <v>46054</v>
      </c>
      <c r="Z1096" t="s">
        <v>1418</v>
      </c>
      <c r="AA1096" t="s">
        <v>63</v>
      </c>
      <c r="AB1096" t="s">
        <v>63</v>
      </c>
      <c r="AC1096" t="s">
        <v>23</v>
      </c>
      <c r="AD1096">
        <v>1</v>
      </c>
      <c r="AE1096">
        <v>0</v>
      </c>
      <c r="AF1096">
        <v>1</v>
      </c>
      <c r="AG1096">
        <v>1</v>
      </c>
      <c r="AH1096">
        <v>1</v>
      </c>
      <c r="AI1096">
        <v>1</v>
      </c>
      <c r="AJ1096">
        <v>0</v>
      </c>
    </row>
    <row r="1097" spans="1:36">
      <c r="A1097" t="s">
        <v>1275</v>
      </c>
      <c r="B1097">
        <v>33.47</v>
      </c>
      <c r="C1097" s="7">
        <v>46060.952777777777</v>
      </c>
      <c r="D1097" s="7">
        <v>46062.347473506947</v>
      </c>
      <c r="E1097" t="s">
        <v>23</v>
      </c>
      <c r="F1097" t="s">
        <v>50</v>
      </c>
      <c r="G1097" t="s">
        <v>65</v>
      </c>
      <c r="H1097" t="s">
        <v>54</v>
      </c>
      <c r="I1097" t="s">
        <v>42</v>
      </c>
      <c r="J1097" t="s">
        <v>43</v>
      </c>
      <c r="K1097" t="s">
        <v>37</v>
      </c>
      <c r="L1097" t="s">
        <v>30</v>
      </c>
      <c r="M1097">
        <v>102</v>
      </c>
      <c r="N1097">
        <v>4</v>
      </c>
      <c r="O1097">
        <v>0</v>
      </c>
      <c r="P1097">
        <v>2</v>
      </c>
      <c r="Q1097" t="s">
        <v>31</v>
      </c>
      <c r="R1097">
        <v>120</v>
      </c>
      <c r="S1097">
        <v>24</v>
      </c>
      <c r="T1097" t="s">
        <v>63</v>
      </c>
      <c r="U1097" t="s">
        <v>31</v>
      </c>
      <c r="V1097">
        <v>2026</v>
      </c>
      <c r="W1097">
        <v>2</v>
      </c>
      <c r="X1097" t="s">
        <v>1419</v>
      </c>
      <c r="Y1097" s="6">
        <v>46054</v>
      </c>
      <c r="Z1097" t="s">
        <v>1413</v>
      </c>
      <c r="AA1097" t="s">
        <v>31</v>
      </c>
      <c r="AB1097" t="s">
        <v>63</v>
      </c>
      <c r="AC1097" t="s">
        <v>23</v>
      </c>
      <c r="AD1097">
        <v>1</v>
      </c>
      <c r="AE1097">
        <v>0</v>
      </c>
      <c r="AF1097">
        <v>1</v>
      </c>
      <c r="AG1097">
        <v>0</v>
      </c>
      <c r="AH1097">
        <v>0</v>
      </c>
      <c r="AI1097">
        <v>1</v>
      </c>
      <c r="AJ1097">
        <v>0</v>
      </c>
    </row>
    <row r="1098" spans="1:36">
      <c r="A1098" t="s">
        <v>1276</v>
      </c>
      <c r="B1098">
        <v>31.15</v>
      </c>
      <c r="C1098" s="7">
        <v>46208.117361111108</v>
      </c>
      <c r="D1098" s="7">
        <v>46209.415114236108</v>
      </c>
      <c r="E1098" t="s">
        <v>23</v>
      </c>
      <c r="F1098" t="s">
        <v>40</v>
      </c>
      <c r="G1098" t="s">
        <v>51</v>
      </c>
      <c r="H1098" t="s">
        <v>34</v>
      </c>
      <c r="I1098" t="s">
        <v>35</v>
      </c>
      <c r="J1098" t="s">
        <v>28</v>
      </c>
      <c r="K1098" t="s">
        <v>58</v>
      </c>
      <c r="L1098" t="s">
        <v>44</v>
      </c>
      <c r="M1098">
        <v>18</v>
      </c>
      <c r="N1098">
        <v>5</v>
      </c>
      <c r="O1098">
        <v>0</v>
      </c>
      <c r="P1098">
        <v>3</v>
      </c>
      <c r="Q1098" t="s">
        <v>31</v>
      </c>
      <c r="R1098">
        <v>30</v>
      </c>
      <c r="S1098">
        <v>8</v>
      </c>
      <c r="T1098" t="s">
        <v>63</v>
      </c>
      <c r="U1098" t="s">
        <v>31</v>
      </c>
      <c r="V1098">
        <v>2026</v>
      </c>
      <c r="W1098">
        <v>7</v>
      </c>
      <c r="X1098" t="s">
        <v>1422</v>
      </c>
      <c r="Y1098" s="6">
        <v>46204</v>
      </c>
      <c r="Z1098" t="s">
        <v>1413</v>
      </c>
      <c r="AA1098" t="s">
        <v>31</v>
      </c>
      <c r="AB1098" t="s">
        <v>63</v>
      </c>
      <c r="AC1098" t="s">
        <v>23</v>
      </c>
      <c r="AD1098">
        <v>1</v>
      </c>
      <c r="AE1098">
        <v>0</v>
      </c>
      <c r="AF1098">
        <v>1</v>
      </c>
      <c r="AG1098">
        <v>0</v>
      </c>
      <c r="AH1098">
        <v>0</v>
      </c>
      <c r="AI1098">
        <v>1</v>
      </c>
      <c r="AJ1098">
        <v>0</v>
      </c>
    </row>
    <row r="1099" spans="1:36">
      <c r="A1099" t="s">
        <v>1278</v>
      </c>
      <c r="B1099">
        <v>27.19</v>
      </c>
      <c r="C1099" s="7">
        <v>46147.71597222222</v>
      </c>
      <c r="D1099" s="7">
        <v>46148.848969236111</v>
      </c>
      <c r="E1099" t="s">
        <v>23</v>
      </c>
      <c r="F1099" t="s">
        <v>33</v>
      </c>
      <c r="G1099" t="s">
        <v>65</v>
      </c>
      <c r="H1099" t="s">
        <v>34</v>
      </c>
      <c r="I1099" t="s">
        <v>35</v>
      </c>
      <c r="J1099" t="s">
        <v>36</v>
      </c>
      <c r="K1099" t="s">
        <v>29</v>
      </c>
      <c r="L1099" t="s">
        <v>71</v>
      </c>
      <c r="M1099">
        <v>112</v>
      </c>
      <c r="N1099">
        <v>4</v>
      </c>
      <c r="O1099">
        <v>0</v>
      </c>
      <c r="P1099">
        <v>7</v>
      </c>
      <c r="Q1099" t="s">
        <v>31</v>
      </c>
      <c r="R1099">
        <v>240</v>
      </c>
      <c r="S1099">
        <v>48</v>
      </c>
      <c r="T1099" t="s">
        <v>63</v>
      </c>
      <c r="U1099" t="s">
        <v>63</v>
      </c>
      <c r="V1099">
        <v>2026</v>
      </c>
      <c r="W1099">
        <v>5</v>
      </c>
      <c r="X1099" t="s">
        <v>1416</v>
      </c>
      <c r="Y1099" s="6">
        <v>46143</v>
      </c>
      <c r="Z1099" t="s">
        <v>1413</v>
      </c>
      <c r="AA1099" t="s">
        <v>31</v>
      </c>
      <c r="AB1099" t="s">
        <v>63</v>
      </c>
      <c r="AC1099" t="s">
        <v>23</v>
      </c>
      <c r="AD1099">
        <v>1</v>
      </c>
      <c r="AE1099">
        <v>0</v>
      </c>
      <c r="AF1099">
        <v>1</v>
      </c>
      <c r="AG1099">
        <v>0</v>
      </c>
      <c r="AH1099">
        <v>0</v>
      </c>
      <c r="AI1099">
        <v>1</v>
      </c>
      <c r="AJ1099">
        <v>1</v>
      </c>
    </row>
    <row r="1100" spans="1:36">
      <c r="A1100" t="s">
        <v>1279</v>
      </c>
      <c r="B1100">
        <v>10.69</v>
      </c>
      <c r="C1100" s="7">
        <v>46251.870833333334</v>
      </c>
      <c r="D1100" s="7">
        <v>46252.316143842596</v>
      </c>
      <c r="E1100" t="s">
        <v>23</v>
      </c>
      <c r="F1100" t="s">
        <v>50</v>
      </c>
      <c r="G1100" t="s">
        <v>51</v>
      </c>
      <c r="H1100" t="s">
        <v>66</v>
      </c>
      <c r="I1100" t="s">
        <v>27</v>
      </c>
      <c r="J1100" t="s">
        <v>36</v>
      </c>
      <c r="K1100" t="s">
        <v>29</v>
      </c>
      <c r="L1100" t="s">
        <v>44</v>
      </c>
      <c r="M1100">
        <v>251</v>
      </c>
      <c r="N1100">
        <v>4</v>
      </c>
      <c r="O1100">
        <v>0</v>
      </c>
      <c r="P1100">
        <v>5</v>
      </c>
      <c r="Q1100" t="s">
        <v>31</v>
      </c>
      <c r="R1100">
        <v>120</v>
      </c>
      <c r="S1100">
        <v>24</v>
      </c>
      <c r="T1100" t="s">
        <v>31</v>
      </c>
      <c r="U1100" t="s">
        <v>63</v>
      </c>
      <c r="V1100">
        <v>2026</v>
      </c>
      <c r="W1100">
        <v>8</v>
      </c>
      <c r="X1100" t="s">
        <v>1417</v>
      </c>
      <c r="Y1100" s="6">
        <v>46235</v>
      </c>
      <c r="Z1100" t="s">
        <v>1413</v>
      </c>
      <c r="AA1100" t="s">
        <v>31</v>
      </c>
      <c r="AB1100" t="s">
        <v>63</v>
      </c>
      <c r="AC1100" t="s">
        <v>23</v>
      </c>
      <c r="AD1100">
        <v>1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1</v>
      </c>
    </row>
    <row r="1101" spans="1:36">
      <c r="A1101" t="s">
        <v>1280</v>
      </c>
      <c r="B1101">
        <v>10.57</v>
      </c>
      <c r="C1101" s="7">
        <v>46255.9</v>
      </c>
      <c r="D1101" s="7">
        <v>46256.340605879632</v>
      </c>
      <c r="E1101" t="s">
        <v>23</v>
      </c>
      <c r="F1101" t="s">
        <v>33</v>
      </c>
      <c r="G1101" t="s">
        <v>51</v>
      </c>
      <c r="H1101" t="s">
        <v>66</v>
      </c>
      <c r="I1101" t="s">
        <v>35</v>
      </c>
      <c r="J1101" t="s">
        <v>43</v>
      </c>
      <c r="K1101" t="s">
        <v>52</v>
      </c>
      <c r="L1101" t="s">
        <v>30</v>
      </c>
      <c r="M1101">
        <v>251</v>
      </c>
      <c r="N1101">
        <v>3</v>
      </c>
      <c r="O1101">
        <v>0</v>
      </c>
      <c r="P1101">
        <v>6</v>
      </c>
      <c r="Q1101" t="s">
        <v>31</v>
      </c>
      <c r="R1101">
        <v>240</v>
      </c>
      <c r="S1101">
        <v>48</v>
      </c>
      <c r="T1101" t="s">
        <v>31</v>
      </c>
      <c r="U1101" t="s">
        <v>63</v>
      </c>
      <c r="V1101">
        <v>2026</v>
      </c>
      <c r="W1101">
        <v>8</v>
      </c>
      <c r="X1101" t="s">
        <v>1417</v>
      </c>
      <c r="Y1101" s="6">
        <v>46235</v>
      </c>
      <c r="Z1101" t="s">
        <v>1418</v>
      </c>
      <c r="AA1101" t="s">
        <v>31</v>
      </c>
      <c r="AB1101" t="s">
        <v>63</v>
      </c>
      <c r="AC1101" t="s">
        <v>23</v>
      </c>
      <c r="AD1101">
        <v>1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1</v>
      </c>
    </row>
    <row r="1102" spans="1:36">
      <c r="A1102" t="s">
        <v>1281</v>
      </c>
      <c r="B1102">
        <v>28.79</v>
      </c>
      <c r="C1102" s="7">
        <v>46068.21875</v>
      </c>
      <c r="D1102" s="7">
        <v>46069.418260439816</v>
      </c>
      <c r="E1102" t="s">
        <v>23</v>
      </c>
      <c r="F1102" t="s">
        <v>50</v>
      </c>
      <c r="G1102" t="s">
        <v>51</v>
      </c>
      <c r="H1102" t="s">
        <v>26</v>
      </c>
      <c r="I1102" t="s">
        <v>35</v>
      </c>
      <c r="J1102" t="s">
        <v>48</v>
      </c>
      <c r="K1102" t="s">
        <v>58</v>
      </c>
      <c r="L1102" t="s">
        <v>55</v>
      </c>
      <c r="M1102">
        <v>50</v>
      </c>
      <c r="O1102">
        <v>0</v>
      </c>
      <c r="P1102">
        <v>5</v>
      </c>
      <c r="Q1102" t="s">
        <v>31</v>
      </c>
      <c r="R1102">
        <v>120</v>
      </c>
      <c r="S1102">
        <v>24</v>
      </c>
      <c r="T1102" t="s">
        <v>63</v>
      </c>
      <c r="U1102" t="s">
        <v>31</v>
      </c>
      <c r="V1102">
        <v>2026</v>
      </c>
      <c r="W1102">
        <v>2</v>
      </c>
      <c r="X1102" t="s">
        <v>1419</v>
      </c>
      <c r="Y1102" s="6">
        <v>46054</v>
      </c>
      <c r="Z1102" t="s">
        <v>1420</v>
      </c>
      <c r="AA1102" t="s">
        <v>31</v>
      </c>
      <c r="AB1102" t="s">
        <v>31</v>
      </c>
      <c r="AC1102" t="s">
        <v>23</v>
      </c>
      <c r="AD1102">
        <v>1</v>
      </c>
      <c r="AE1102">
        <v>0</v>
      </c>
      <c r="AF1102">
        <v>1</v>
      </c>
      <c r="AG1102">
        <v>0</v>
      </c>
      <c r="AH1102">
        <v>0</v>
      </c>
      <c r="AI1102">
        <v>1</v>
      </c>
      <c r="AJ1102">
        <v>0</v>
      </c>
    </row>
    <row r="1103" spans="1:36">
      <c r="A1103" t="s">
        <v>1282</v>
      </c>
      <c r="B1103">
        <v>32.44</v>
      </c>
      <c r="C1103" s="7">
        <v>46199.193055555559</v>
      </c>
      <c r="D1103" s="7">
        <v>46200.544746412037</v>
      </c>
      <c r="E1103" t="s">
        <v>23</v>
      </c>
      <c r="F1103" t="s">
        <v>50</v>
      </c>
      <c r="G1103" t="s">
        <v>65</v>
      </c>
      <c r="H1103" t="s">
        <v>66</v>
      </c>
      <c r="I1103" t="s">
        <v>27</v>
      </c>
      <c r="J1103" t="s">
        <v>28</v>
      </c>
      <c r="K1103" t="s">
        <v>58</v>
      </c>
      <c r="L1103" t="s">
        <v>71</v>
      </c>
      <c r="M1103">
        <v>115</v>
      </c>
      <c r="N1103">
        <v>3</v>
      </c>
      <c r="O1103">
        <v>1</v>
      </c>
      <c r="P1103">
        <v>18</v>
      </c>
      <c r="Q1103" t="s">
        <v>63</v>
      </c>
      <c r="R1103">
        <v>120</v>
      </c>
      <c r="S1103">
        <v>24</v>
      </c>
      <c r="T1103" t="s">
        <v>63</v>
      </c>
      <c r="U1103" t="s">
        <v>31</v>
      </c>
      <c r="V1103">
        <v>2026</v>
      </c>
      <c r="W1103">
        <v>6</v>
      </c>
      <c r="X1103" t="s">
        <v>1421</v>
      </c>
      <c r="Y1103" s="6">
        <v>46174</v>
      </c>
      <c r="Z1103" t="s">
        <v>1418</v>
      </c>
      <c r="AA1103" t="s">
        <v>63</v>
      </c>
      <c r="AB1103" t="s">
        <v>63</v>
      </c>
      <c r="AC1103" t="s">
        <v>23</v>
      </c>
      <c r="AD1103">
        <v>1</v>
      </c>
      <c r="AE1103">
        <v>0</v>
      </c>
      <c r="AF1103">
        <v>1</v>
      </c>
      <c r="AG1103">
        <v>1</v>
      </c>
      <c r="AH1103">
        <v>1</v>
      </c>
      <c r="AI1103">
        <v>1</v>
      </c>
      <c r="AJ1103">
        <v>0</v>
      </c>
    </row>
    <row r="1104" spans="1:36">
      <c r="A1104" t="s">
        <v>1283</v>
      </c>
      <c r="B1104">
        <v>14.32</v>
      </c>
      <c r="C1104" s="7">
        <v>46153.243055555555</v>
      </c>
      <c r="D1104" s="7">
        <v>46153.839594050929</v>
      </c>
      <c r="E1104" t="s">
        <v>23</v>
      </c>
      <c r="F1104" t="s">
        <v>40</v>
      </c>
      <c r="G1104" t="s">
        <v>25</v>
      </c>
      <c r="H1104" t="s">
        <v>26</v>
      </c>
      <c r="I1104" t="s">
        <v>27</v>
      </c>
      <c r="J1104" t="s">
        <v>28</v>
      </c>
      <c r="K1104" t="s">
        <v>76</v>
      </c>
      <c r="L1104" t="s">
        <v>38</v>
      </c>
      <c r="M1104">
        <v>55</v>
      </c>
      <c r="N1104">
        <v>4</v>
      </c>
      <c r="O1104">
        <v>0</v>
      </c>
      <c r="P1104">
        <v>6</v>
      </c>
      <c r="Q1104" t="s">
        <v>31</v>
      </c>
      <c r="R1104">
        <v>30</v>
      </c>
      <c r="S1104">
        <v>8</v>
      </c>
      <c r="T1104" t="s">
        <v>31</v>
      </c>
      <c r="U1104" t="s">
        <v>31</v>
      </c>
      <c r="V1104">
        <v>2026</v>
      </c>
      <c r="W1104">
        <v>5</v>
      </c>
      <c r="X1104" t="s">
        <v>1416</v>
      </c>
      <c r="Y1104" s="6">
        <v>46143</v>
      </c>
      <c r="Z1104" t="s">
        <v>1413</v>
      </c>
      <c r="AA1104" t="s">
        <v>31</v>
      </c>
      <c r="AB1104" t="s">
        <v>63</v>
      </c>
      <c r="AC1104" t="s">
        <v>23</v>
      </c>
      <c r="AD1104">
        <v>1</v>
      </c>
      <c r="AE1104">
        <v>0</v>
      </c>
      <c r="AF1104">
        <v>1</v>
      </c>
      <c r="AG1104">
        <v>0</v>
      </c>
      <c r="AH1104">
        <v>0</v>
      </c>
      <c r="AI1104">
        <v>0</v>
      </c>
      <c r="AJ1104">
        <v>0</v>
      </c>
    </row>
    <row r="1105" spans="1:36">
      <c r="A1105" t="s">
        <v>1284</v>
      </c>
      <c r="B1105">
        <v>101.45</v>
      </c>
      <c r="C1105" s="7">
        <v>46099.795138888891</v>
      </c>
      <c r="D1105" s="7">
        <v>46104.022028738429</v>
      </c>
      <c r="E1105" t="s">
        <v>23</v>
      </c>
      <c r="F1105" t="s">
        <v>33</v>
      </c>
      <c r="G1105" t="s">
        <v>41</v>
      </c>
      <c r="H1105" t="s">
        <v>66</v>
      </c>
      <c r="I1105" t="s">
        <v>42</v>
      </c>
      <c r="J1105" t="s">
        <v>43</v>
      </c>
      <c r="K1105" t="s">
        <v>67</v>
      </c>
      <c r="L1105" t="s">
        <v>44</v>
      </c>
      <c r="M1105">
        <v>264</v>
      </c>
      <c r="N1105">
        <v>3</v>
      </c>
      <c r="O1105">
        <v>0</v>
      </c>
      <c r="P1105">
        <v>7</v>
      </c>
      <c r="Q1105" t="s">
        <v>31</v>
      </c>
      <c r="R1105">
        <v>240</v>
      </c>
      <c r="S1105">
        <v>48</v>
      </c>
      <c r="T1105" t="s">
        <v>31</v>
      </c>
      <c r="U1105" t="s">
        <v>31</v>
      </c>
      <c r="V1105">
        <v>2026</v>
      </c>
      <c r="W1105">
        <v>3</v>
      </c>
      <c r="X1105" t="s">
        <v>1423</v>
      </c>
      <c r="Y1105" s="6">
        <v>46082</v>
      </c>
      <c r="Z1105" t="s">
        <v>1418</v>
      </c>
      <c r="AA1105" t="s">
        <v>31</v>
      </c>
      <c r="AB1105" t="s">
        <v>63</v>
      </c>
      <c r="AC1105" t="s">
        <v>23</v>
      </c>
      <c r="AD1105">
        <v>1</v>
      </c>
      <c r="AE1105">
        <v>0</v>
      </c>
      <c r="AF1105">
        <v>1</v>
      </c>
      <c r="AG1105">
        <v>0</v>
      </c>
      <c r="AH1105">
        <v>0</v>
      </c>
      <c r="AI1105">
        <v>0</v>
      </c>
      <c r="AJ1105">
        <v>0</v>
      </c>
    </row>
    <row r="1106" spans="1:36">
      <c r="A1106" t="s">
        <v>1285</v>
      </c>
      <c r="B1106">
        <v>8.42</v>
      </c>
      <c r="C1106" s="7">
        <v>46208.378472222219</v>
      </c>
      <c r="D1106" s="7">
        <v>46208.729504270836</v>
      </c>
      <c r="E1106" t="s">
        <v>23</v>
      </c>
      <c r="F1106" t="s">
        <v>50</v>
      </c>
      <c r="G1106" t="s">
        <v>25</v>
      </c>
      <c r="H1106" t="s">
        <v>66</v>
      </c>
      <c r="I1106" t="s">
        <v>35</v>
      </c>
      <c r="J1106" t="s">
        <v>43</v>
      </c>
      <c r="K1106" t="s">
        <v>29</v>
      </c>
      <c r="L1106" t="s">
        <v>71</v>
      </c>
      <c r="M1106">
        <v>27</v>
      </c>
      <c r="N1106">
        <v>3</v>
      </c>
      <c r="O1106">
        <v>2</v>
      </c>
      <c r="P1106">
        <v>13</v>
      </c>
      <c r="Q1106" t="s">
        <v>31</v>
      </c>
      <c r="R1106">
        <v>120</v>
      </c>
      <c r="S1106">
        <v>24</v>
      </c>
      <c r="T1106" t="s">
        <v>63</v>
      </c>
      <c r="U1106" t="s">
        <v>63</v>
      </c>
      <c r="V1106">
        <v>2026</v>
      </c>
      <c r="W1106">
        <v>7</v>
      </c>
      <c r="X1106" t="s">
        <v>1422</v>
      </c>
      <c r="Y1106" s="6">
        <v>46204</v>
      </c>
      <c r="Z1106" t="s">
        <v>1418</v>
      </c>
      <c r="AA1106" t="s">
        <v>63</v>
      </c>
      <c r="AB1106" t="s">
        <v>63</v>
      </c>
      <c r="AC1106" t="s">
        <v>23</v>
      </c>
      <c r="AD1106">
        <v>1</v>
      </c>
      <c r="AE1106">
        <v>0</v>
      </c>
      <c r="AF1106">
        <v>1</v>
      </c>
      <c r="AG1106">
        <v>1</v>
      </c>
      <c r="AH1106">
        <v>0</v>
      </c>
      <c r="AI1106">
        <v>1</v>
      </c>
      <c r="AJ1106">
        <v>1</v>
      </c>
    </row>
    <row r="1107" spans="1:36">
      <c r="A1107" t="s">
        <v>1286</v>
      </c>
      <c r="B1107">
        <v>74.27</v>
      </c>
      <c r="C1107" s="7">
        <v>46167.522916666669</v>
      </c>
      <c r="D1107" s="7">
        <v>46170.617599618054</v>
      </c>
      <c r="E1107" t="s">
        <v>23</v>
      </c>
      <c r="F1107" t="s">
        <v>33</v>
      </c>
      <c r="G1107" t="s">
        <v>25</v>
      </c>
      <c r="H1107" t="s">
        <v>66</v>
      </c>
      <c r="I1107" t="s">
        <v>42</v>
      </c>
      <c r="J1107" t="s">
        <v>36</v>
      </c>
      <c r="K1107" t="s">
        <v>67</v>
      </c>
      <c r="L1107" t="s">
        <v>55</v>
      </c>
      <c r="M1107">
        <v>199</v>
      </c>
      <c r="N1107">
        <v>3</v>
      </c>
      <c r="O1107">
        <v>0</v>
      </c>
      <c r="P1107">
        <v>3</v>
      </c>
      <c r="Q1107" t="s">
        <v>31</v>
      </c>
      <c r="R1107">
        <v>240</v>
      </c>
      <c r="S1107">
        <v>48</v>
      </c>
      <c r="T1107" t="s">
        <v>63</v>
      </c>
      <c r="U1107" t="s">
        <v>31</v>
      </c>
      <c r="V1107">
        <v>2026</v>
      </c>
      <c r="W1107">
        <v>5</v>
      </c>
      <c r="X1107" t="s">
        <v>1416</v>
      </c>
      <c r="Y1107" s="6">
        <v>46143</v>
      </c>
      <c r="Z1107" t="s">
        <v>1418</v>
      </c>
      <c r="AA1107" t="s">
        <v>31</v>
      </c>
      <c r="AB1107" t="s">
        <v>63</v>
      </c>
      <c r="AC1107" t="s">
        <v>23</v>
      </c>
      <c r="AD1107">
        <v>1</v>
      </c>
      <c r="AE1107">
        <v>0</v>
      </c>
      <c r="AF1107">
        <v>1</v>
      </c>
      <c r="AG1107">
        <v>0</v>
      </c>
      <c r="AH1107">
        <v>0</v>
      </c>
      <c r="AI1107">
        <v>1</v>
      </c>
      <c r="AJ1107">
        <v>0</v>
      </c>
    </row>
    <row r="1108" spans="1:36">
      <c r="A1108" t="s">
        <v>1287</v>
      </c>
      <c r="B1108">
        <v>14.03</v>
      </c>
      <c r="C1108" s="7">
        <v>46231.738888888889</v>
      </c>
      <c r="D1108" s="7">
        <v>46232.323495081022</v>
      </c>
      <c r="E1108" t="s">
        <v>23</v>
      </c>
      <c r="F1108" t="s">
        <v>33</v>
      </c>
      <c r="G1108" t="s">
        <v>51</v>
      </c>
      <c r="H1108" t="s">
        <v>26</v>
      </c>
      <c r="I1108" t="s">
        <v>42</v>
      </c>
      <c r="J1108" t="s">
        <v>28</v>
      </c>
      <c r="K1108" t="s">
        <v>29</v>
      </c>
      <c r="L1108" t="s">
        <v>44</v>
      </c>
      <c r="M1108">
        <v>310</v>
      </c>
      <c r="N1108">
        <v>4</v>
      </c>
      <c r="O1108">
        <v>0</v>
      </c>
      <c r="P1108">
        <v>6</v>
      </c>
      <c r="Q1108" t="s">
        <v>31</v>
      </c>
      <c r="R1108">
        <v>240</v>
      </c>
      <c r="S1108">
        <v>48</v>
      </c>
      <c r="T1108" t="s">
        <v>31</v>
      </c>
      <c r="U1108" t="s">
        <v>63</v>
      </c>
      <c r="V1108">
        <v>2026</v>
      </c>
      <c r="W1108">
        <v>7</v>
      </c>
      <c r="X1108" t="s">
        <v>1422</v>
      </c>
      <c r="Y1108" s="6">
        <v>46204</v>
      </c>
      <c r="Z1108" t="s">
        <v>1413</v>
      </c>
      <c r="AA1108" t="s">
        <v>31</v>
      </c>
      <c r="AB1108" t="s">
        <v>63</v>
      </c>
      <c r="AC1108" t="s">
        <v>23</v>
      </c>
      <c r="AD1108">
        <v>1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1</v>
      </c>
    </row>
    <row r="1109" spans="1:36">
      <c r="A1109" t="s">
        <v>1288</v>
      </c>
      <c r="B1109">
        <v>15.13</v>
      </c>
      <c r="C1109" s="7">
        <v>46073.160416666666</v>
      </c>
      <c r="D1109" s="7">
        <v>46073.791028576386</v>
      </c>
      <c r="E1109" t="s">
        <v>23</v>
      </c>
      <c r="F1109" t="s">
        <v>33</v>
      </c>
      <c r="G1109" t="s">
        <v>51</v>
      </c>
      <c r="H1109" t="s">
        <v>34</v>
      </c>
      <c r="I1109" t="s">
        <v>42</v>
      </c>
      <c r="J1109" t="s">
        <v>36</v>
      </c>
      <c r="K1109" t="s">
        <v>29</v>
      </c>
      <c r="L1109" t="s">
        <v>101</v>
      </c>
      <c r="M1109">
        <v>125</v>
      </c>
      <c r="N1109">
        <v>4</v>
      </c>
      <c r="O1109">
        <v>0</v>
      </c>
      <c r="P1109">
        <v>3</v>
      </c>
      <c r="Q1109" t="s">
        <v>31</v>
      </c>
      <c r="R1109">
        <v>240</v>
      </c>
      <c r="S1109">
        <v>48</v>
      </c>
      <c r="T1109" t="s">
        <v>63</v>
      </c>
      <c r="U1109" t="s">
        <v>63</v>
      </c>
      <c r="V1109">
        <v>2026</v>
      </c>
      <c r="W1109">
        <v>2</v>
      </c>
      <c r="X1109" t="s">
        <v>1419</v>
      </c>
      <c r="Y1109" s="6">
        <v>46054</v>
      </c>
      <c r="Z1109" t="s">
        <v>1413</v>
      </c>
      <c r="AA1109" t="s">
        <v>31</v>
      </c>
      <c r="AB1109" t="s">
        <v>63</v>
      </c>
      <c r="AC1109" t="s">
        <v>23</v>
      </c>
      <c r="AD1109">
        <v>1</v>
      </c>
      <c r="AE1109">
        <v>0</v>
      </c>
      <c r="AF1109">
        <v>1</v>
      </c>
      <c r="AG1109">
        <v>0</v>
      </c>
      <c r="AH1109">
        <v>0</v>
      </c>
      <c r="AI1109">
        <v>1</v>
      </c>
      <c r="AJ1109">
        <v>1</v>
      </c>
    </row>
    <row r="1110" spans="1:36">
      <c r="A1110" t="s">
        <v>1289</v>
      </c>
      <c r="B1110">
        <v>28.16</v>
      </c>
      <c r="C1110" s="7">
        <v>46265.284722222219</v>
      </c>
      <c r="D1110" s="7">
        <v>46266.45817096065</v>
      </c>
      <c r="E1110" t="s">
        <v>23</v>
      </c>
      <c r="F1110" t="s">
        <v>40</v>
      </c>
      <c r="G1110" t="s">
        <v>25</v>
      </c>
      <c r="H1110" t="s">
        <v>26</v>
      </c>
      <c r="I1110" t="s">
        <v>42</v>
      </c>
      <c r="J1110" t="s">
        <v>28</v>
      </c>
      <c r="K1110" t="s">
        <v>76</v>
      </c>
      <c r="L1110" t="s">
        <v>55</v>
      </c>
      <c r="M1110">
        <v>52</v>
      </c>
      <c r="N1110">
        <v>4</v>
      </c>
      <c r="O1110">
        <v>0</v>
      </c>
      <c r="P1110">
        <v>7</v>
      </c>
      <c r="Q1110" t="s">
        <v>31</v>
      </c>
      <c r="R1110">
        <v>30</v>
      </c>
      <c r="S1110">
        <v>8</v>
      </c>
      <c r="T1110" t="s">
        <v>31</v>
      </c>
      <c r="U1110" t="s">
        <v>31</v>
      </c>
      <c r="V1110">
        <v>2026</v>
      </c>
      <c r="W1110">
        <v>8</v>
      </c>
      <c r="X1110" t="s">
        <v>1417</v>
      </c>
      <c r="Y1110" s="6">
        <v>46235</v>
      </c>
      <c r="Z1110" t="s">
        <v>1413</v>
      </c>
      <c r="AA1110" t="s">
        <v>31</v>
      </c>
      <c r="AB1110" t="s">
        <v>63</v>
      </c>
      <c r="AC1110" t="s">
        <v>23</v>
      </c>
      <c r="AD1110">
        <v>1</v>
      </c>
      <c r="AE1110">
        <v>0</v>
      </c>
      <c r="AF1110">
        <v>1</v>
      </c>
      <c r="AG1110">
        <v>0</v>
      </c>
      <c r="AH1110">
        <v>0</v>
      </c>
      <c r="AI1110">
        <v>0</v>
      </c>
      <c r="AJ1110">
        <v>0</v>
      </c>
    </row>
    <row r="1111" spans="1:36">
      <c r="A1111" t="s">
        <v>1290</v>
      </c>
      <c r="B1111">
        <v>4.74</v>
      </c>
      <c r="C1111" s="7">
        <v>46261.147916666669</v>
      </c>
      <c r="D1111" s="7">
        <v>46261.345368506947</v>
      </c>
      <c r="E1111" t="s">
        <v>23</v>
      </c>
      <c r="F1111" t="s">
        <v>40</v>
      </c>
      <c r="G1111" t="s">
        <v>51</v>
      </c>
      <c r="H1111" t="s">
        <v>26</v>
      </c>
      <c r="I1111" t="s">
        <v>27</v>
      </c>
      <c r="J1111" t="s">
        <v>48</v>
      </c>
      <c r="K1111" t="s">
        <v>52</v>
      </c>
      <c r="L1111" t="s">
        <v>68</v>
      </c>
      <c r="M1111">
        <v>47</v>
      </c>
      <c r="N1111">
        <v>4</v>
      </c>
      <c r="O1111">
        <v>0</v>
      </c>
      <c r="P1111">
        <v>11</v>
      </c>
      <c r="Q1111" t="s">
        <v>63</v>
      </c>
      <c r="R1111">
        <v>30</v>
      </c>
      <c r="S1111">
        <v>8</v>
      </c>
      <c r="T1111" t="s">
        <v>31</v>
      </c>
      <c r="U1111" t="s">
        <v>63</v>
      </c>
      <c r="V1111">
        <v>2026</v>
      </c>
      <c r="W1111">
        <v>8</v>
      </c>
      <c r="X1111" t="s">
        <v>1417</v>
      </c>
      <c r="Y1111" s="6">
        <v>46235</v>
      </c>
      <c r="Z1111" t="s">
        <v>1413</v>
      </c>
      <c r="AA1111" t="s">
        <v>31</v>
      </c>
      <c r="AB1111" t="s">
        <v>63</v>
      </c>
      <c r="AC1111" t="s">
        <v>23</v>
      </c>
      <c r="AD1111">
        <v>1</v>
      </c>
      <c r="AE1111">
        <v>0</v>
      </c>
      <c r="AF1111">
        <v>1</v>
      </c>
      <c r="AG1111">
        <v>0</v>
      </c>
      <c r="AH1111">
        <v>1</v>
      </c>
      <c r="AI1111">
        <v>0</v>
      </c>
      <c r="AJ1111">
        <v>1</v>
      </c>
    </row>
    <row r="1112" spans="1:36">
      <c r="A1112" t="s">
        <v>1291</v>
      </c>
      <c r="B1112">
        <v>8.59</v>
      </c>
      <c r="C1112" s="7">
        <v>46053.55</v>
      </c>
      <c r="D1112" s="7">
        <v>46053.907933333336</v>
      </c>
      <c r="E1112" t="s">
        <v>23</v>
      </c>
      <c r="F1112" t="s">
        <v>40</v>
      </c>
      <c r="G1112" t="s">
        <v>25</v>
      </c>
      <c r="H1112" t="s">
        <v>54</v>
      </c>
      <c r="I1112" t="s">
        <v>42</v>
      </c>
      <c r="J1112" t="s">
        <v>48</v>
      </c>
      <c r="K1112" t="s">
        <v>37</v>
      </c>
      <c r="L1112" t="s">
        <v>71</v>
      </c>
      <c r="M1112">
        <v>70</v>
      </c>
      <c r="N1112">
        <v>4</v>
      </c>
      <c r="O1112">
        <v>0</v>
      </c>
      <c r="P1112">
        <v>4</v>
      </c>
      <c r="Q1112" t="s">
        <v>31</v>
      </c>
      <c r="R1112">
        <v>30</v>
      </c>
      <c r="S1112">
        <v>8</v>
      </c>
      <c r="T1112" t="s">
        <v>31</v>
      </c>
      <c r="U1112" t="s">
        <v>31</v>
      </c>
      <c r="V1112">
        <v>2026</v>
      </c>
      <c r="W1112">
        <v>1</v>
      </c>
      <c r="X1112" t="s">
        <v>1414</v>
      </c>
      <c r="Y1112" s="6">
        <v>46023</v>
      </c>
      <c r="Z1112" t="s">
        <v>1413</v>
      </c>
      <c r="AA1112" t="s">
        <v>31</v>
      </c>
      <c r="AB1112" t="s">
        <v>63</v>
      </c>
      <c r="AC1112" t="s">
        <v>23</v>
      </c>
      <c r="AD1112">
        <v>1</v>
      </c>
      <c r="AE1112">
        <v>0</v>
      </c>
      <c r="AF1112">
        <v>1</v>
      </c>
      <c r="AG1112">
        <v>0</v>
      </c>
      <c r="AH1112">
        <v>0</v>
      </c>
      <c r="AI1112">
        <v>0</v>
      </c>
      <c r="AJ1112">
        <v>0</v>
      </c>
    </row>
    <row r="1113" spans="1:36">
      <c r="A1113" t="s">
        <v>1292</v>
      </c>
      <c r="B1113">
        <v>37.369999999999997</v>
      </c>
      <c r="C1113" s="7">
        <v>46215.31527777778</v>
      </c>
      <c r="D1113" s="7">
        <v>46216.872408807867</v>
      </c>
      <c r="E1113" t="s">
        <v>23</v>
      </c>
      <c r="F1113" t="s">
        <v>50</v>
      </c>
      <c r="G1113" t="s">
        <v>41</v>
      </c>
      <c r="H1113" t="s">
        <v>34</v>
      </c>
      <c r="I1113" t="s">
        <v>35</v>
      </c>
      <c r="J1113" t="s">
        <v>43</v>
      </c>
      <c r="K1113" t="s">
        <v>67</v>
      </c>
      <c r="L1113" t="s">
        <v>85</v>
      </c>
      <c r="M1113">
        <v>80</v>
      </c>
      <c r="N1113">
        <v>4</v>
      </c>
      <c r="O1113">
        <v>0</v>
      </c>
      <c r="P1113">
        <v>4</v>
      </c>
      <c r="Q1113" t="s">
        <v>31</v>
      </c>
      <c r="R1113">
        <v>120</v>
      </c>
      <c r="S1113">
        <v>24</v>
      </c>
      <c r="T1113" t="s">
        <v>63</v>
      </c>
      <c r="U1113" t="s">
        <v>31</v>
      </c>
      <c r="V1113">
        <v>2026</v>
      </c>
      <c r="W1113">
        <v>7</v>
      </c>
      <c r="X1113" t="s">
        <v>1422</v>
      </c>
      <c r="Y1113" s="6">
        <v>46204</v>
      </c>
      <c r="Z1113" t="s">
        <v>1413</v>
      </c>
      <c r="AA1113" t="s">
        <v>31</v>
      </c>
      <c r="AB1113" t="s">
        <v>63</v>
      </c>
      <c r="AC1113" t="s">
        <v>23</v>
      </c>
      <c r="AD1113">
        <v>1</v>
      </c>
      <c r="AE1113">
        <v>0</v>
      </c>
      <c r="AF1113">
        <v>1</v>
      </c>
      <c r="AG1113">
        <v>0</v>
      </c>
      <c r="AH1113">
        <v>0</v>
      </c>
      <c r="AI1113">
        <v>1</v>
      </c>
      <c r="AJ1113">
        <v>0</v>
      </c>
    </row>
    <row r="1114" spans="1:36">
      <c r="A1114" t="s">
        <v>1293</v>
      </c>
      <c r="B1114">
        <v>28.49</v>
      </c>
      <c r="C1114" s="7">
        <v>46132.449305555558</v>
      </c>
      <c r="D1114" s="7">
        <v>46133.636582789353</v>
      </c>
      <c r="E1114" t="s">
        <v>23</v>
      </c>
      <c r="F1114" t="s">
        <v>33</v>
      </c>
      <c r="G1114" t="s">
        <v>65</v>
      </c>
      <c r="H1114" t="s">
        <v>34</v>
      </c>
      <c r="I1114" t="s">
        <v>42</v>
      </c>
      <c r="J1114" t="s">
        <v>48</v>
      </c>
      <c r="K1114" t="s">
        <v>52</v>
      </c>
      <c r="L1114" t="s">
        <v>93</v>
      </c>
      <c r="M1114">
        <v>303</v>
      </c>
      <c r="N1114">
        <v>3</v>
      </c>
      <c r="O1114">
        <v>0</v>
      </c>
      <c r="P1114">
        <v>6</v>
      </c>
      <c r="Q1114" t="s">
        <v>31</v>
      </c>
      <c r="R1114">
        <v>240</v>
      </c>
      <c r="S1114">
        <v>48</v>
      </c>
      <c r="T1114" t="s">
        <v>31</v>
      </c>
      <c r="U1114" t="s">
        <v>63</v>
      </c>
      <c r="V1114">
        <v>2026</v>
      </c>
      <c r="W1114">
        <v>4</v>
      </c>
      <c r="X1114" t="s">
        <v>1412</v>
      </c>
      <c r="Y1114" s="6">
        <v>46113</v>
      </c>
      <c r="Z1114" t="s">
        <v>1418</v>
      </c>
      <c r="AA1114" t="s">
        <v>31</v>
      </c>
      <c r="AB1114" t="s">
        <v>63</v>
      </c>
      <c r="AC1114" t="s">
        <v>23</v>
      </c>
      <c r="AD1114">
        <v>1</v>
      </c>
      <c r="AE1114">
        <v>0</v>
      </c>
      <c r="AF1114">
        <v>1</v>
      </c>
      <c r="AG1114">
        <v>0</v>
      </c>
      <c r="AH1114">
        <v>0</v>
      </c>
      <c r="AI1114">
        <v>0</v>
      </c>
      <c r="AJ1114">
        <v>1</v>
      </c>
    </row>
    <row r="1115" spans="1:36">
      <c r="A1115" t="s">
        <v>1294</v>
      </c>
      <c r="B1115">
        <v>10.210000000000001</v>
      </c>
      <c r="C1115" s="7">
        <v>46264.976388888892</v>
      </c>
      <c r="D1115" s="7">
        <v>46265.401875682874</v>
      </c>
      <c r="E1115" t="s">
        <v>23</v>
      </c>
      <c r="F1115" t="s">
        <v>50</v>
      </c>
      <c r="G1115" t="s">
        <v>51</v>
      </c>
      <c r="H1115" t="s">
        <v>34</v>
      </c>
      <c r="I1115" t="s">
        <v>35</v>
      </c>
      <c r="J1115" t="s">
        <v>43</v>
      </c>
      <c r="K1115" t="s">
        <v>52</v>
      </c>
      <c r="L1115" t="s">
        <v>101</v>
      </c>
      <c r="M1115">
        <v>65</v>
      </c>
      <c r="N1115">
        <v>5</v>
      </c>
      <c r="O1115">
        <v>0</v>
      </c>
      <c r="P1115">
        <v>6</v>
      </c>
      <c r="Q1115" t="s">
        <v>31</v>
      </c>
      <c r="R1115">
        <v>120</v>
      </c>
      <c r="S1115">
        <v>24</v>
      </c>
      <c r="T1115" t="s">
        <v>63</v>
      </c>
      <c r="U1115" t="s">
        <v>63</v>
      </c>
      <c r="V1115">
        <v>2026</v>
      </c>
      <c r="W1115">
        <v>8</v>
      </c>
      <c r="X1115" t="s">
        <v>1417</v>
      </c>
      <c r="Y1115" s="6">
        <v>46235</v>
      </c>
      <c r="Z1115" t="s">
        <v>1413</v>
      </c>
      <c r="AA1115" t="s">
        <v>31</v>
      </c>
      <c r="AB1115" t="s">
        <v>63</v>
      </c>
      <c r="AC1115" t="s">
        <v>23</v>
      </c>
      <c r="AD1115">
        <v>1</v>
      </c>
      <c r="AE1115">
        <v>0</v>
      </c>
      <c r="AF1115">
        <v>1</v>
      </c>
      <c r="AG1115">
        <v>0</v>
      </c>
      <c r="AH1115">
        <v>0</v>
      </c>
      <c r="AI1115">
        <v>1</v>
      </c>
      <c r="AJ1115">
        <v>1</v>
      </c>
    </row>
    <row r="1116" spans="1:36">
      <c r="A1116" t="s">
        <v>1295</v>
      </c>
      <c r="B1116">
        <v>20.18</v>
      </c>
      <c r="C1116" s="7">
        <v>46046.561805555553</v>
      </c>
      <c r="D1116" s="7">
        <v>46047.402569756945</v>
      </c>
      <c r="E1116" t="s">
        <v>23</v>
      </c>
      <c r="F1116" t="s">
        <v>33</v>
      </c>
      <c r="G1116" t="s">
        <v>51</v>
      </c>
      <c r="H1116" t="s">
        <v>54</v>
      </c>
      <c r="I1116" t="s">
        <v>35</v>
      </c>
      <c r="J1116" t="s">
        <v>48</v>
      </c>
      <c r="K1116" t="s">
        <v>52</v>
      </c>
      <c r="L1116" t="s">
        <v>30</v>
      </c>
      <c r="M1116">
        <v>460</v>
      </c>
      <c r="N1116">
        <v>4</v>
      </c>
      <c r="O1116">
        <v>0</v>
      </c>
      <c r="P1116">
        <v>7</v>
      </c>
      <c r="Q1116" t="s">
        <v>31</v>
      </c>
      <c r="R1116">
        <v>240</v>
      </c>
      <c r="S1116">
        <v>48</v>
      </c>
      <c r="T1116" t="s">
        <v>31</v>
      </c>
      <c r="U1116" t="s">
        <v>63</v>
      </c>
      <c r="V1116">
        <v>2026</v>
      </c>
      <c r="W1116">
        <v>1</v>
      </c>
      <c r="X1116" t="s">
        <v>1414</v>
      </c>
      <c r="Y1116" s="6">
        <v>46023</v>
      </c>
      <c r="Z1116" t="s">
        <v>1413</v>
      </c>
      <c r="AA1116" t="s">
        <v>31</v>
      </c>
      <c r="AB1116" t="s">
        <v>63</v>
      </c>
      <c r="AC1116" t="s">
        <v>23</v>
      </c>
      <c r="AD1116">
        <v>1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1</v>
      </c>
    </row>
    <row r="1117" spans="1:36">
      <c r="A1117" t="s">
        <v>1296</v>
      </c>
      <c r="B1117">
        <v>9.0299999999999994</v>
      </c>
      <c r="C1117" s="7">
        <v>46219.607638888891</v>
      </c>
      <c r="D1117" s="7">
        <v>46219.98387434028</v>
      </c>
      <c r="E1117" t="s">
        <v>23</v>
      </c>
      <c r="F1117" t="s">
        <v>50</v>
      </c>
      <c r="G1117" t="s">
        <v>25</v>
      </c>
      <c r="H1117" t="s">
        <v>34</v>
      </c>
      <c r="I1117" t="s">
        <v>42</v>
      </c>
      <c r="J1117" t="s">
        <v>48</v>
      </c>
      <c r="K1117" t="s">
        <v>67</v>
      </c>
      <c r="L1117" t="s">
        <v>55</v>
      </c>
      <c r="M1117">
        <v>136</v>
      </c>
      <c r="N1117">
        <v>4</v>
      </c>
      <c r="O1117">
        <v>0</v>
      </c>
      <c r="P1117">
        <v>7</v>
      </c>
      <c r="Q1117" t="s">
        <v>31</v>
      </c>
      <c r="R1117">
        <v>120</v>
      </c>
      <c r="S1117">
        <v>24</v>
      </c>
      <c r="T1117" t="s">
        <v>31</v>
      </c>
      <c r="U1117" t="s">
        <v>63</v>
      </c>
      <c r="V1117">
        <v>2026</v>
      </c>
      <c r="W1117">
        <v>7</v>
      </c>
      <c r="X1117" t="s">
        <v>1422</v>
      </c>
      <c r="Y1117" s="6">
        <v>46204</v>
      </c>
      <c r="Z1117" t="s">
        <v>1413</v>
      </c>
      <c r="AA1117" t="s">
        <v>31</v>
      </c>
      <c r="AB1117" t="s">
        <v>63</v>
      </c>
      <c r="AC1117" t="s">
        <v>23</v>
      </c>
      <c r="AD1117">
        <v>1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1</v>
      </c>
    </row>
    <row r="1118" spans="1:36">
      <c r="A1118" t="s">
        <v>1297</v>
      </c>
      <c r="B1118">
        <v>65.81</v>
      </c>
      <c r="C1118" s="7">
        <v>46117.782638888886</v>
      </c>
      <c r="D1118" s="7">
        <v>46120.524744178241</v>
      </c>
      <c r="E1118" t="s">
        <v>23</v>
      </c>
      <c r="F1118" t="s">
        <v>33</v>
      </c>
      <c r="G1118" t="s">
        <v>41</v>
      </c>
      <c r="H1118" t="s">
        <v>26</v>
      </c>
      <c r="I1118" t="s">
        <v>35</v>
      </c>
      <c r="J1118" t="s">
        <v>36</v>
      </c>
      <c r="K1118" t="s">
        <v>37</v>
      </c>
      <c r="L1118" t="s">
        <v>62</v>
      </c>
      <c r="M1118">
        <v>283</v>
      </c>
      <c r="N1118">
        <v>3</v>
      </c>
      <c r="O1118">
        <v>0</v>
      </c>
      <c r="P1118">
        <v>2</v>
      </c>
      <c r="Q1118" t="s">
        <v>31</v>
      </c>
      <c r="R1118">
        <v>240</v>
      </c>
      <c r="S1118">
        <v>48</v>
      </c>
      <c r="T1118" t="s">
        <v>31</v>
      </c>
      <c r="U1118" t="s">
        <v>31</v>
      </c>
      <c r="V1118">
        <v>2026</v>
      </c>
      <c r="W1118">
        <v>4</v>
      </c>
      <c r="X1118" t="s">
        <v>1412</v>
      </c>
      <c r="Y1118" s="6">
        <v>46113</v>
      </c>
      <c r="Z1118" t="s">
        <v>1418</v>
      </c>
      <c r="AA1118" t="s">
        <v>31</v>
      </c>
      <c r="AB1118" t="s">
        <v>63</v>
      </c>
      <c r="AC1118" t="s">
        <v>23</v>
      </c>
      <c r="AD1118">
        <v>1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>
        <v>0</v>
      </c>
    </row>
    <row r="1119" spans="1:36">
      <c r="A1119" t="s">
        <v>1298</v>
      </c>
      <c r="B1119">
        <v>5.8</v>
      </c>
      <c r="C1119" s="7">
        <v>46045.956250000003</v>
      </c>
      <c r="D1119" s="7">
        <v>46046.198121747686</v>
      </c>
      <c r="E1119" t="s">
        <v>23</v>
      </c>
      <c r="F1119" t="s">
        <v>50</v>
      </c>
      <c r="G1119" t="s">
        <v>51</v>
      </c>
      <c r="H1119" t="s">
        <v>26</v>
      </c>
      <c r="I1119" t="s">
        <v>27</v>
      </c>
      <c r="J1119" t="s">
        <v>28</v>
      </c>
      <c r="K1119" t="s">
        <v>29</v>
      </c>
      <c r="L1119" t="s">
        <v>38</v>
      </c>
      <c r="M1119">
        <v>137</v>
      </c>
      <c r="N1119">
        <v>4</v>
      </c>
      <c r="O1119">
        <v>0</v>
      </c>
      <c r="P1119">
        <v>2</v>
      </c>
      <c r="Q1119" t="s">
        <v>31</v>
      </c>
      <c r="R1119">
        <v>120</v>
      </c>
      <c r="S1119">
        <v>24</v>
      </c>
      <c r="T1119" t="s">
        <v>31</v>
      </c>
      <c r="U1119" t="s">
        <v>63</v>
      </c>
      <c r="V1119">
        <v>2026</v>
      </c>
      <c r="W1119">
        <v>1</v>
      </c>
      <c r="X1119" t="s">
        <v>1414</v>
      </c>
      <c r="Y1119" s="6">
        <v>46023</v>
      </c>
      <c r="Z1119" t="s">
        <v>1413</v>
      </c>
      <c r="AA1119" t="s">
        <v>31</v>
      </c>
      <c r="AB1119" t="s">
        <v>63</v>
      </c>
      <c r="AC1119" t="s">
        <v>23</v>
      </c>
      <c r="AD1119">
        <v>1</v>
      </c>
      <c r="AE1119">
        <v>0</v>
      </c>
      <c r="AF1119">
        <v>1</v>
      </c>
      <c r="AG1119">
        <v>0</v>
      </c>
      <c r="AH1119">
        <v>0</v>
      </c>
      <c r="AI1119">
        <v>0</v>
      </c>
      <c r="AJ1119">
        <v>1</v>
      </c>
    </row>
    <row r="1120" spans="1:36">
      <c r="A1120" t="s">
        <v>1299</v>
      </c>
      <c r="B1120">
        <v>12.18</v>
      </c>
      <c r="C1120" s="7">
        <v>46081.193749999999</v>
      </c>
      <c r="D1120" s="7">
        <v>46081.701389479167</v>
      </c>
      <c r="E1120" t="s">
        <v>23</v>
      </c>
      <c r="F1120" t="s">
        <v>33</v>
      </c>
      <c r="G1120" t="s">
        <v>65</v>
      </c>
      <c r="H1120" t="s">
        <v>26</v>
      </c>
      <c r="I1120" t="s">
        <v>42</v>
      </c>
      <c r="J1120" t="s">
        <v>43</v>
      </c>
      <c r="K1120" t="s">
        <v>52</v>
      </c>
      <c r="L1120" t="s">
        <v>55</v>
      </c>
      <c r="M1120">
        <v>33</v>
      </c>
      <c r="N1120">
        <v>5</v>
      </c>
      <c r="O1120">
        <v>0</v>
      </c>
      <c r="P1120">
        <v>2</v>
      </c>
      <c r="Q1120" t="s">
        <v>31</v>
      </c>
      <c r="R1120">
        <v>240</v>
      </c>
      <c r="S1120">
        <v>48</v>
      </c>
      <c r="T1120" t="s">
        <v>63</v>
      </c>
      <c r="U1120" t="s">
        <v>63</v>
      </c>
      <c r="V1120">
        <v>2026</v>
      </c>
      <c r="W1120">
        <v>2</v>
      </c>
      <c r="X1120" t="s">
        <v>1419</v>
      </c>
      <c r="Y1120" s="6">
        <v>46054</v>
      </c>
      <c r="Z1120" t="s">
        <v>1413</v>
      </c>
      <c r="AA1120" t="s">
        <v>31</v>
      </c>
      <c r="AB1120" t="s">
        <v>63</v>
      </c>
      <c r="AC1120" t="s">
        <v>23</v>
      </c>
      <c r="AD1120">
        <v>1</v>
      </c>
      <c r="AE1120">
        <v>0</v>
      </c>
      <c r="AF1120">
        <v>1</v>
      </c>
      <c r="AG1120">
        <v>0</v>
      </c>
      <c r="AH1120">
        <v>0</v>
      </c>
      <c r="AI1120">
        <v>1</v>
      </c>
      <c r="AJ1120">
        <v>1</v>
      </c>
    </row>
    <row r="1121" spans="1:36">
      <c r="A1121" t="s">
        <v>1300</v>
      </c>
      <c r="B1121">
        <v>17.43</v>
      </c>
      <c r="C1121" s="7">
        <v>46039.222916666666</v>
      </c>
      <c r="D1121" s="7">
        <v>46039.948982951391</v>
      </c>
      <c r="E1121" t="s">
        <v>23</v>
      </c>
      <c r="F1121" t="s">
        <v>50</v>
      </c>
      <c r="G1121" t="s">
        <v>25</v>
      </c>
      <c r="H1121" t="s">
        <v>26</v>
      </c>
      <c r="I1121" t="s">
        <v>35</v>
      </c>
      <c r="J1121" t="s">
        <v>36</v>
      </c>
      <c r="K1121" t="s">
        <v>37</v>
      </c>
      <c r="L1121" t="s">
        <v>30</v>
      </c>
      <c r="M1121">
        <v>94</v>
      </c>
      <c r="N1121">
        <v>4</v>
      </c>
      <c r="O1121">
        <v>0</v>
      </c>
      <c r="P1121">
        <v>4</v>
      </c>
      <c r="Q1121" t="s">
        <v>31</v>
      </c>
      <c r="R1121">
        <v>120</v>
      </c>
      <c r="S1121">
        <v>24</v>
      </c>
      <c r="T1121" t="s">
        <v>63</v>
      </c>
      <c r="U1121" t="s">
        <v>63</v>
      </c>
      <c r="V1121">
        <v>2026</v>
      </c>
      <c r="W1121">
        <v>1</v>
      </c>
      <c r="X1121" t="s">
        <v>1414</v>
      </c>
      <c r="Y1121" s="6">
        <v>46023</v>
      </c>
      <c r="Z1121" t="s">
        <v>1413</v>
      </c>
      <c r="AA1121" t="s">
        <v>31</v>
      </c>
      <c r="AB1121" t="s">
        <v>63</v>
      </c>
      <c r="AC1121" t="s">
        <v>23</v>
      </c>
      <c r="AD1121">
        <v>1</v>
      </c>
      <c r="AE1121">
        <v>0</v>
      </c>
      <c r="AF1121">
        <v>1</v>
      </c>
      <c r="AG1121">
        <v>0</v>
      </c>
      <c r="AH1121">
        <v>0</v>
      </c>
      <c r="AI1121">
        <v>1</v>
      </c>
      <c r="AJ1121">
        <v>1</v>
      </c>
    </row>
    <row r="1122" spans="1:36">
      <c r="A1122" t="s">
        <v>1301</v>
      </c>
      <c r="B1122">
        <v>5.8</v>
      </c>
      <c r="C1122" s="7">
        <v>46172.974305555559</v>
      </c>
      <c r="D1122" s="7">
        <v>46173.216145648148</v>
      </c>
      <c r="E1122" t="s">
        <v>23</v>
      </c>
      <c r="F1122" t="s">
        <v>24</v>
      </c>
      <c r="G1122" t="s">
        <v>51</v>
      </c>
      <c r="H1122" t="s">
        <v>54</v>
      </c>
      <c r="I1122" t="s">
        <v>27</v>
      </c>
      <c r="J1122" t="s">
        <v>43</v>
      </c>
      <c r="K1122" t="s">
        <v>29</v>
      </c>
      <c r="L1122" t="s">
        <v>85</v>
      </c>
      <c r="M1122">
        <v>27</v>
      </c>
      <c r="N1122">
        <v>5</v>
      </c>
      <c r="O1122">
        <v>0</v>
      </c>
      <c r="P1122">
        <v>2</v>
      </c>
      <c r="Q1122" t="s">
        <v>31</v>
      </c>
      <c r="R1122">
        <v>15</v>
      </c>
      <c r="S1122">
        <v>4</v>
      </c>
      <c r="T1122" t="s">
        <v>31</v>
      </c>
      <c r="U1122" t="s">
        <v>31</v>
      </c>
      <c r="V1122">
        <v>2026</v>
      </c>
      <c r="W1122">
        <v>5</v>
      </c>
      <c r="X1122" t="s">
        <v>1416</v>
      </c>
      <c r="Y1122" s="6">
        <v>46143</v>
      </c>
      <c r="Z1122" t="s">
        <v>1413</v>
      </c>
      <c r="AA1122" t="s">
        <v>31</v>
      </c>
      <c r="AB1122" t="s">
        <v>63</v>
      </c>
      <c r="AC1122" t="s">
        <v>23</v>
      </c>
      <c r="AD1122">
        <v>1</v>
      </c>
      <c r="AE1122">
        <v>0</v>
      </c>
      <c r="AF1122">
        <v>1</v>
      </c>
      <c r="AG1122">
        <v>0</v>
      </c>
      <c r="AH1122">
        <v>0</v>
      </c>
      <c r="AI1122">
        <v>0</v>
      </c>
      <c r="AJ1122">
        <v>0</v>
      </c>
    </row>
    <row r="1123" spans="1:36">
      <c r="A1123" t="s">
        <v>1302</v>
      </c>
      <c r="B1123">
        <v>17.18</v>
      </c>
      <c r="C1123" s="7">
        <v>46220.220833333333</v>
      </c>
      <c r="D1123" s="7">
        <v>46220.936542118056</v>
      </c>
      <c r="E1123" t="s">
        <v>23</v>
      </c>
      <c r="F1123" t="s">
        <v>50</v>
      </c>
      <c r="G1123" t="s">
        <v>65</v>
      </c>
      <c r="H1123" t="s">
        <v>66</v>
      </c>
      <c r="I1123" t="s">
        <v>42</v>
      </c>
      <c r="J1123" t="s">
        <v>28</v>
      </c>
      <c r="K1123" t="s">
        <v>29</v>
      </c>
      <c r="L1123" t="s">
        <v>55</v>
      </c>
      <c r="M1123">
        <v>135</v>
      </c>
      <c r="N1123">
        <v>4</v>
      </c>
      <c r="O1123">
        <v>0</v>
      </c>
      <c r="P1123">
        <v>6</v>
      </c>
      <c r="Q1123" t="s">
        <v>31</v>
      </c>
      <c r="R1123">
        <v>120</v>
      </c>
      <c r="S1123">
        <v>24</v>
      </c>
      <c r="T1123" t="s">
        <v>31</v>
      </c>
      <c r="U1123" t="s">
        <v>63</v>
      </c>
      <c r="V1123">
        <v>2026</v>
      </c>
      <c r="W1123">
        <v>7</v>
      </c>
      <c r="X1123" t="s">
        <v>1422</v>
      </c>
      <c r="Y1123" s="6">
        <v>46204</v>
      </c>
      <c r="Z1123" t="s">
        <v>1413</v>
      </c>
      <c r="AA1123" t="s">
        <v>31</v>
      </c>
      <c r="AB1123" t="s">
        <v>63</v>
      </c>
      <c r="AC1123" t="s">
        <v>23</v>
      </c>
      <c r="AD1123">
        <v>1</v>
      </c>
      <c r="AE1123">
        <v>0</v>
      </c>
      <c r="AF1123">
        <v>1</v>
      </c>
      <c r="AG1123">
        <v>0</v>
      </c>
      <c r="AH1123">
        <v>0</v>
      </c>
      <c r="AI1123">
        <v>0</v>
      </c>
      <c r="AJ1123">
        <v>1</v>
      </c>
    </row>
    <row r="1124" spans="1:36">
      <c r="A1124" t="s">
        <v>1303</v>
      </c>
      <c r="B1124">
        <v>48.95</v>
      </c>
      <c r="C1124" s="7">
        <v>46084.504861111112</v>
      </c>
      <c r="D1124" s="7">
        <v>46086.544556157409</v>
      </c>
      <c r="E1124" t="s">
        <v>23</v>
      </c>
      <c r="F1124" t="s">
        <v>33</v>
      </c>
      <c r="G1124" t="s">
        <v>25</v>
      </c>
      <c r="H1124" t="s">
        <v>66</v>
      </c>
      <c r="I1124" t="s">
        <v>35</v>
      </c>
      <c r="J1124" t="s">
        <v>28</v>
      </c>
      <c r="K1124" t="s">
        <v>37</v>
      </c>
      <c r="L1124" t="s">
        <v>101</v>
      </c>
      <c r="M1124">
        <v>337</v>
      </c>
      <c r="N1124">
        <v>3</v>
      </c>
      <c r="O1124">
        <v>0</v>
      </c>
      <c r="P1124">
        <v>4</v>
      </c>
      <c r="Q1124" t="s">
        <v>31</v>
      </c>
      <c r="R1124">
        <v>240</v>
      </c>
      <c r="S1124">
        <v>48</v>
      </c>
      <c r="T1124" t="s">
        <v>31</v>
      </c>
      <c r="U1124" t="s">
        <v>31</v>
      </c>
      <c r="V1124">
        <v>2026</v>
      </c>
      <c r="W1124">
        <v>3</v>
      </c>
      <c r="X1124" t="s">
        <v>1423</v>
      </c>
      <c r="Y1124" s="6">
        <v>46082</v>
      </c>
      <c r="Z1124" t="s">
        <v>1418</v>
      </c>
      <c r="AA1124" t="s">
        <v>31</v>
      </c>
      <c r="AB1124" t="s">
        <v>63</v>
      </c>
      <c r="AC1124" t="s">
        <v>23</v>
      </c>
      <c r="AD1124">
        <v>1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</row>
    <row r="1125" spans="1:36">
      <c r="A1125" t="s">
        <v>1304</v>
      </c>
      <c r="B1125">
        <v>42.43</v>
      </c>
      <c r="C1125" s="7">
        <v>46105.084722222222</v>
      </c>
      <c r="D1125" s="7">
        <v>46106.852454872685</v>
      </c>
      <c r="E1125" t="s">
        <v>23</v>
      </c>
      <c r="F1125" t="s">
        <v>50</v>
      </c>
      <c r="G1125" t="s">
        <v>51</v>
      </c>
      <c r="H1125" t="s">
        <v>26</v>
      </c>
      <c r="I1125" t="s">
        <v>42</v>
      </c>
      <c r="J1125" t="s">
        <v>36</v>
      </c>
      <c r="K1125" t="s">
        <v>76</v>
      </c>
      <c r="L1125" t="s">
        <v>68</v>
      </c>
      <c r="M1125">
        <v>115</v>
      </c>
      <c r="N1125">
        <v>4</v>
      </c>
      <c r="O1125">
        <v>0</v>
      </c>
      <c r="P1125">
        <v>2</v>
      </c>
      <c r="Q1125" t="s">
        <v>31</v>
      </c>
      <c r="R1125">
        <v>120</v>
      </c>
      <c r="S1125">
        <v>24</v>
      </c>
      <c r="T1125" t="s">
        <v>63</v>
      </c>
      <c r="U1125" t="s">
        <v>31</v>
      </c>
      <c r="V1125">
        <v>2026</v>
      </c>
      <c r="W1125">
        <v>3</v>
      </c>
      <c r="X1125" t="s">
        <v>1423</v>
      </c>
      <c r="Y1125" s="6">
        <v>46082</v>
      </c>
      <c r="Z1125" t="s">
        <v>1413</v>
      </c>
      <c r="AA1125" t="s">
        <v>31</v>
      </c>
      <c r="AB1125" t="s">
        <v>63</v>
      </c>
      <c r="AC1125" t="s">
        <v>23</v>
      </c>
      <c r="AD1125">
        <v>1</v>
      </c>
      <c r="AE1125">
        <v>0</v>
      </c>
      <c r="AF1125">
        <v>1</v>
      </c>
      <c r="AG1125">
        <v>0</v>
      </c>
      <c r="AH1125">
        <v>0</v>
      </c>
      <c r="AI1125">
        <v>1</v>
      </c>
      <c r="AJ1125">
        <v>0</v>
      </c>
    </row>
    <row r="1126" spans="1:36">
      <c r="A1126" t="s">
        <v>1305</v>
      </c>
      <c r="B1126">
        <v>78.34</v>
      </c>
      <c r="C1126" s="7">
        <v>46031.37222222222</v>
      </c>
      <c r="D1126" s="7">
        <v>46034.636587951391</v>
      </c>
      <c r="E1126" t="s">
        <v>23</v>
      </c>
      <c r="F1126" t="s">
        <v>33</v>
      </c>
      <c r="G1126" t="s">
        <v>51</v>
      </c>
      <c r="H1126" t="s">
        <v>26</v>
      </c>
      <c r="I1126" t="s">
        <v>35</v>
      </c>
      <c r="J1126" t="s">
        <v>36</v>
      </c>
      <c r="K1126" t="s">
        <v>37</v>
      </c>
      <c r="L1126" t="s">
        <v>93</v>
      </c>
      <c r="M1126">
        <v>271</v>
      </c>
      <c r="N1126">
        <v>3</v>
      </c>
      <c r="O1126">
        <v>1</v>
      </c>
      <c r="P1126">
        <v>5</v>
      </c>
      <c r="Q1126" t="s">
        <v>31</v>
      </c>
      <c r="R1126">
        <v>240</v>
      </c>
      <c r="S1126">
        <v>48</v>
      </c>
      <c r="T1126" t="s">
        <v>31</v>
      </c>
      <c r="U1126" t="s">
        <v>31</v>
      </c>
      <c r="V1126">
        <v>2026</v>
      </c>
      <c r="W1126">
        <v>1</v>
      </c>
      <c r="X1126" t="s">
        <v>1414</v>
      </c>
      <c r="Y1126" s="6">
        <v>46023</v>
      </c>
      <c r="Z1126" t="s">
        <v>1418</v>
      </c>
      <c r="AA1126" t="s">
        <v>63</v>
      </c>
      <c r="AB1126" t="s">
        <v>63</v>
      </c>
      <c r="AC1126" t="s">
        <v>23</v>
      </c>
      <c r="AD1126">
        <v>1</v>
      </c>
      <c r="AE1126">
        <v>0</v>
      </c>
      <c r="AF1126">
        <v>1</v>
      </c>
      <c r="AG1126">
        <v>1</v>
      </c>
      <c r="AH1126">
        <v>0</v>
      </c>
      <c r="AI1126">
        <v>0</v>
      </c>
      <c r="AJ1126">
        <v>0</v>
      </c>
    </row>
    <row r="1127" spans="1:36">
      <c r="A1127" t="s">
        <v>1306</v>
      </c>
      <c r="B1127">
        <v>21.08</v>
      </c>
      <c r="C1127" s="7">
        <v>46051.922222222223</v>
      </c>
      <c r="D1127" s="7">
        <v>46052.800417418985</v>
      </c>
      <c r="E1127" t="s">
        <v>23</v>
      </c>
      <c r="F1127" t="s">
        <v>50</v>
      </c>
      <c r="G1127" t="s">
        <v>65</v>
      </c>
      <c r="H1127" t="s">
        <v>26</v>
      </c>
      <c r="I1127" t="s">
        <v>27</v>
      </c>
      <c r="J1127" t="s">
        <v>28</v>
      </c>
      <c r="K1127" t="s">
        <v>76</v>
      </c>
      <c r="L1127" t="s">
        <v>1401</v>
      </c>
      <c r="M1127">
        <v>210</v>
      </c>
      <c r="N1127">
        <v>4</v>
      </c>
      <c r="O1127">
        <v>0</v>
      </c>
      <c r="P1127">
        <v>4</v>
      </c>
      <c r="Q1127" t="s">
        <v>31</v>
      </c>
      <c r="R1127">
        <v>120</v>
      </c>
      <c r="S1127">
        <v>24</v>
      </c>
      <c r="T1127" t="s">
        <v>31</v>
      </c>
      <c r="U1127" t="s">
        <v>63</v>
      </c>
      <c r="V1127">
        <v>2026</v>
      </c>
      <c r="W1127">
        <v>1</v>
      </c>
      <c r="X1127" t="s">
        <v>1414</v>
      </c>
      <c r="Y1127" s="6">
        <v>46023</v>
      </c>
      <c r="Z1127" t="s">
        <v>1413</v>
      </c>
      <c r="AA1127" t="s">
        <v>31</v>
      </c>
      <c r="AB1127" t="s">
        <v>63</v>
      </c>
      <c r="AC1127" t="s">
        <v>23</v>
      </c>
      <c r="AD1127">
        <v>1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1</v>
      </c>
    </row>
    <row r="1128" spans="1:36">
      <c r="A1128" t="s">
        <v>1307</v>
      </c>
      <c r="B1128">
        <v>7.63</v>
      </c>
      <c r="C1128" s="7">
        <v>46060.84652777778</v>
      </c>
      <c r="D1128" s="7">
        <v>46061.164437650463</v>
      </c>
      <c r="E1128" t="s">
        <v>23</v>
      </c>
      <c r="F1128" t="s">
        <v>40</v>
      </c>
      <c r="G1128" t="s">
        <v>65</v>
      </c>
      <c r="H1128" t="s">
        <v>26</v>
      </c>
      <c r="I1128" t="s">
        <v>35</v>
      </c>
      <c r="J1128" t="s">
        <v>48</v>
      </c>
      <c r="K1128" t="s">
        <v>29</v>
      </c>
      <c r="L1128" t="s">
        <v>62</v>
      </c>
      <c r="M1128">
        <v>30</v>
      </c>
      <c r="N1128">
        <v>4</v>
      </c>
      <c r="O1128">
        <v>0</v>
      </c>
      <c r="P1128">
        <v>5</v>
      </c>
      <c r="Q1128" t="s">
        <v>31</v>
      </c>
      <c r="R1128">
        <v>30</v>
      </c>
      <c r="S1128">
        <v>8</v>
      </c>
      <c r="T1128" t="s">
        <v>63</v>
      </c>
      <c r="U1128" t="s">
        <v>63</v>
      </c>
      <c r="V1128">
        <v>2026</v>
      </c>
      <c r="W1128">
        <v>2</v>
      </c>
      <c r="X1128" t="s">
        <v>1419</v>
      </c>
      <c r="Y1128" s="6">
        <v>46054</v>
      </c>
      <c r="Z1128" t="s">
        <v>1413</v>
      </c>
      <c r="AA1128" t="s">
        <v>31</v>
      </c>
      <c r="AB1128" t="s">
        <v>63</v>
      </c>
      <c r="AC1128" t="s">
        <v>23</v>
      </c>
      <c r="AD1128">
        <v>1</v>
      </c>
      <c r="AE1128">
        <v>0</v>
      </c>
      <c r="AF1128">
        <v>1</v>
      </c>
      <c r="AG1128">
        <v>0</v>
      </c>
      <c r="AH1128">
        <v>0</v>
      </c>
      <c r="AI1128">
        <v>1</v>
      </c>
      <c r="AJ1128">
        <v>1</v>
      </c>
    </row>
    <row r="1129" spans="1:36">
      <c r="A1129" t="s">
        <v>1308</v>
      </c>
      <c r="B1129">
        <v>51.85</v>
      </c>
      <c r="C1129" s="7">
        <v>46254.646527777775</v>
      </c>
      <c r="D1129" s="7">
        <v>46256.806852349539</v>
      </c>
      <c r="E1129" t="s">
        <v>23</v>
      </c>
      <c r="F1129" t="s">
        <v>33</v>
      </c>
      <c r="G1129" t="s">
        <v>65</v>
      </c>
      <c r="H1129" t="s">
        <v>34</v>
      </c>
      <c r="I1129" t="s">
        <v>35</v>
      </c>
      <c r="J1129" t="s">
        <v>48</v>
      </c>
      <c r="K1129" t="s">
        <v>37</v>
      </c>
      <c r="L1129" t="s">
        <v>68</v>
      </c>
      <c r="M1129">
        <v>363</v>
      </c>
      <c r="N1129">
        <v>2</v>
      </c>
      <c r="O1129">
        <v>2</v>
      </c>
      <c r="P1129">
        <v>12</v>
      </c>
      <c r="Q1129" t="s">
        <v>31</v>
      </c>
      <c r="R1129">
        <v>240</v>
      </c>
      <c r="S1129">
        <v>48</v>
      </c>
      <c r="T1129" t="s">
        <v>31</v>
      </c>
      <c r="U1129" t="s">
        <v>31</v>
      </c>
      <c r="V1129">
        <v>2026</v>
      </c>
      <c r="W1129">
        <v>8</v>
      </c>
      <c r="X1129" t="s">
        <v>1417</v>
      </c>
      <c r="Y1129" s="6">
        <v>46235</v>
      </c>
      <c r="Z1129" t="s">
        <v>1415</v>
      </c>
      <c r="AA1129" t="s">
        <v>63</v>
      </c>
      <c r="AB1129" t="s">
        <v>63</v>
      </c>
      <c r="AC1129" t="s">
        <v>23</v>
      </c>
      <c r="AD1129">
        <v>1</v>
      </c>
      <c r="AE1129">
        <v>0</v>
      </c>
      <c r="AF1129">
        <v>1</v>
      </c>
      <c r="AG1129">
        <v>1</v>
      </c>
      <c r="AH1129">
        <v>0</v>
      </c>
      <c r="AI1129">
        <v>0</v>
      </c>
      <c r="AJ1129">
        <v>0</v>
      </c>
    </row>
    <row r="1130" spans="1:36">
      <c r="A1130" t="s">
        <v>1309</v>
      </c>
      <c r="B1130">
        <v>19.420000000000002</v>
      </c>
      <c r="C1130" s="7">
        <v>46130.609722222223</v>
      </c>
      <c r="D1130" s="7">
        <v>46131.419041215275</v>
      </c>
      <c r="E1130" t="s">
        <v>23</v>
      </c>
      <c r="F1130" t="s">
        <v>50</v>
      </c>
      <c r="G1130" t="s">
        <v>51</v>
      </c>
      <c r="H1130" t="s">
        <v>26</v>
      </c>
      <c r="I1130" t="s">
        <v>35</v>
      </c>
      <c r="J1130" t="s">
        <v>28</v>
      </c>
      <c r="K1130" t="s">
        <v>58</v>
      </c>
      <c r="L1130" t="s">
        <v>55</v>
      </c>
      <c r="M1130">
        <v>39</v>
      </c>
      <c r="O1130">
        <v>0</v>
      </c>
      <c r="P1130">
        <v>6</v>
      </c>
      <c r="Q1130" t="s">
        <v>31</v>
      </c>
      <c r="R1130">
        <v>120</v>
      </c>
      <c r="S1130">
        <v>24</v>
      </c>
      <c r="T1130" t="s">
        <v>63</v>
      </c>
      <c r="U1130" t="s">
        <v>63</v>
      </c>
      <c r="V1130">
        <v>2026</v>
      </c>
      <c r="W1130">
        <v>4</v>
      </c>
      <c r="X1130" t="s">
        <v>1412</v>
      </c>
      <c r="Y1130" s="6">
        <v>46113</v>
      </c>
      <c r="Z1130" t="s">
        <v>1420</v>
      </c>
      <c r="AA1130" t="s">
        <v>31</v>
      </c>
      <c r="AB1130" t="s">
        <v>31</v>
      </c>
      <c r="AC1130" t="s">
        <v>23</v>
      </c>
      <c r="AD1130">
        <v>1</v>
      </c>
      <c r="AE1130">
        <v>0</v>
      </c>
      <c r="AF1130">
        <v>1</v>
      </c>
      <c r="AG1130">
        <v>0</v>
      </c>
      <c r="AH1130">
        <v>0</v>
      </c>
      <c r="AI1130">
        <v>1</v>
      </c>
      <c r="AJ1130">
        <v>1</v>
      </c>
    </row>
    <row r="1131" spans="1:36">
      <c r="A1131" t="s">
        <v>1310</v>
      </c>
      <c r="B1131">
        <v>4.01</v>
      </c>
      <c r="C1131" s="7">
        <v>46116.500694444447</v>
      </c>
      <c r="D1131" s="7">
        <v>46116.667622048612</v>
      </c>
      <c r="E1131" t="s">
        <v>23</v>
      </c>
      <c r="F1131" t="s">
        <v>24</v>
      </c>
      <c r="G1131" t="s">
        <v>65</v>
      </c>
      <c r="H1131" t="s">
        <v>26</v>
      </c>
      <c r="I1131" t="s">
        <v>35</v>
      </c>
      <c r="J1131" t="s">
        <v>43</v>
      </c>
      <c r="K1131" t="s">
        <v>52</v>
      </c>
      <c r="L1131" t="s">
        <v>62</v>
      </c>
      <c r="M1131">
        <v>9</v>
      </c>
      <c r="N1131">
        <v>5</v>
      </c>
      <c r="O1131">
        <v>0</v>
      </c>
      <c r="P1131">
        <v>5</v>
      </c>
      <c r="Q1131" t="s">
        <v>31</v>
      </c>
      <c r="R1131">
        <v>15</v>
      </c>
      <c r="S1131">
        <v>4</v>
      </c>
      <c r="T1131" t="s">
        <v>63</v>
      </c>
      <c r="U1131" t="s">
        <v>31</v>
      </c>
      <c r="V1131">
        <v>2026</v>
      </c>
      <c r="W1131">
        <v>4</v>
      </c>
      <c r="X1131" t="s">
        <v>1412</v>
      </c>
      <c r="Y1131" s="6">
        <v>46113</v>
      </c>
      <c r="Z1131" t="s">
        <v>1413</v>
      </c>
      <c r="AA1131" t="s">
        <v>31</v>
      </c>
      <c r="AB1131" t="s">
        <v>63</v>
      </c>
      <c r="AC1131" t="s">
        <v>23</v>
      </c>
      <c r="AD1131">
        <v>1</v>
      </c>
      <c r="AE1131">
        <v>0</v>
      </c>
      <c r="AF1131">
        <v>1</v>
      </c>
      <c r="AG1131">
        <v>0</v>
      </c>
      <c r="AH1131">
        <v>0</v>
      </c>
      <c r="AI1131">
        <v>1</v>
      </c>
      <c r="AJ1131">
        <v>0</v>
      </c>
    </row>
    <row r="1132" spans="1:36">
      <c r="A1132" t="s">
        <v>1311</v>
      </c>
      <c r="B1132">
        <v>34.92</v>
      </c>
      <c r="C1132" s="7">
        <v>46147.625694444447</v>
      </c>
      <c r="D1132" s="7">
        <v>46149.080732083334</v>
      </c>
      <c r="E1132" t="s">
        <v>23</v>
      </c>
      <c r="F1132" t="s">
        <v>50</v>
      </c>
      <c r="G1132" t="s">
        <v>25</v>
      </c>
      <c r="H1132" t="s">
        <v>26</v>
      </c>
      <c r="I1132" t="s">
        <v>35</v>
      </c>
      <c r="J1132" t="s">
        <v>28</v>
      </c>
      <c r="K1132" t="s">
        <v>37</v>
      </c>
      <c r="L1132" t="s">
        <v>44</v>
      </c>
      <c r="M1132">
        <v>64</v>
      </c>
      <c r="N1132">
        <v>4</v>
      </c>
      <c r="O1132">
        <v>0</v>
      </c>
      <c r="P1132">
        <v>2</v>
      </c>
      <c r="Q1132" t="s">
        <v>31</v>
      </c>
      <c r="R1132">
        <v>120</v>
      </c>
      <c r="S1132">
        <v>24</v>
      </c>
      <c r="T1132" t="s">
        <v>63</v>
      </c>
      <c r="U1132" t="s">
        <v>31</v>
      </c>
      <c r="V1132">
        <v>2026</v>
      </c>
      <c r="W1132">
        <v>5</v>
      </c>
      <c r="X1132" t="s">
        <v>1416</v>
      </c>
      <c r="Y1132" s="6">
        <v>46143</v>
      </c>
      <c r="Z1132" t="s">
        <v>1413</v>
      </c>
      <c r="AA1132" t="s">
        <v>31</v>
      </c>
      <c r="AB1132" t="s">
        <v>63</v>
      </c>
      <c r="AC1132" t="s">
        <v>23</v>
      </c>
      <c r="AD1132">
        <v>1</v>
      </c>
      <c r="AE1132">
        <v>0</v>
      </c>
      <c r="AF1132">
        <v>1</v>
      </c>
      <c r="AG1132">
        <v>0</v>
      </c>
      <c r="AH1132">
        <v>0</v>
      </c>
      <c r="AI1132">
        <v>1</v>
      </c>
      <c r="AJ1132">
        <v>0</v>
      </c>
    </row>
    <row r="1133" spans="1:36">
      <c r="A1133" t="s">
        <v>1312</v>
      </c>
      <c r="B1133">
        <v>26.25</v>
      </c>
      <c r="C1133" s="7">
        <v>46040.841666666667</v>
      </c>
      <c r="D1133" s="7">
        <v>46041.935428842589</v>
      </c>
      <c r="E1133" t="s">
        <v>23</v>
      </c>
      <c r="F1133" t="s">
        <v>50</v>
      </c>
      <c r="G1133" t="s">
        <v>25</v>
      </c>
      <c r="H1133" t="s">
        <v>34</v>
      </c>
      <c r="I1133" t="s">
        <v>35</v>
      </c>
      <c r="J1133" t="s">
        <v>48</v>
      </c>
      <c r="K1133" t="s">
        <v>58</v>
      </c>
      <c r="L1133" t="s">
        <v>38</v>
      </c>
      <c r="M1133">
        <v>129</v>
      </c>
      <c r="N1133">
        <v>4</v>
      </c>
      <c r="O1133">
        <v>0</v>
      </c>
      <c r="P1133">
        <v>7</v>
      </c>
      <c r="Q1133" t="s">
        <v>31</v>
      </c>
      <c r="R1133">
        <v>120</v>
      </c>
      <c r="S1133">
        <v>24</v>
      </c>
      <c r="T1133" t="s">
        <v>31</v>
      </c>
      <c r="U1133" t="s">
        <v>31</v>
      </c>
      <c r="V1133">
        <v>2026</v>
      </c>
      <c r="W1133">
        <v>1</v>
      </c>
      <c r="X1133" t="s">
        <v>1414</v>
      </c>
      <c r="Y1133" s="6">
        <v>46023</v>
      </c>
      <c r="Z1133" t="s">
        <v>1413</v>
      </c>
      <c r="AA1133" t="s">
        <v>31</v>
      </c>
      <c r="AB1133" t="s">
        <v>63</v>
      </c>
      <c r="AC1133" t="s">
        <v>23</v>
      </c>
      <c r="AD1133">
        <v>1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</row>
    <row r="1134" spans="1:36">
      <c r="A1134" t="s">
        <v>1313</v>
      </c>
      <c r="B1134">
        <v>34.549999999999997</v>
      </c>
      <c r="C1134" s="7">
        <v>46110.951388888891</v>
      </c>
      <c r="D1134" s="7">
        <v>46112.39115059028</v>
      </c>
      <c r="E1134" t="s">
        <v>23</v>
      </c>
      <c r="F1134" t="s">
        <v>33</v>
      </c>
      <c r="G1134" t="s">
        <v>65</v>
      </c>
      <c r="H1134" t="s">
        <v>34</v>
      </c>
      <c r="I1134" t="s">
        <v>42</v>
      </c>
      <c r="J1134" t="s">
        <v>28</v>
      </c>
      <c r="K1134" t="s">
        <v>52</v>
      </c>
      <c r="L1134" t="s">
        <v>71</v>
      </c>
      <c r="M1134">
        <v>148</v>
      </c>
      <c r="N1134">
        <v>4</v>
      </c>
      <c r="O1134">
        <v>0</v>
      </c>
      <c r="P1134">
        <v>2</v>
      </c>
      <c r="Q1134" t="s">
        <v>31</v>
      </c>
      <c r="R1134">
        <v>240</v>
      </c>
      <c r="S1134">
        <v>48</v>
      </c>
      <c r="T1134" t="s">
        <v>63</v>
      </c>
      <c r="U1134" t="s">
        <v>63</v>
      </c>
      <c r="V1134">
        <v>2026</v>
      </c>
      <c r="W1134">
        <v>3</v>
      </c>
      <c r="X1134" t="s">
        <v>1423</v>
      </c>
      <c r="Y1134" s="6">
        <v>46082</v>
      </c>
      <c r="Z1134" t="s">
        <v>1413</v>
      </c>
      <c r="AA1134" t="s">
        <v>31</v>
      </c>
      <c r="AB1134" t="s">
        <v>63</v>
      </c>
      <c r="AC1134" t="s">
        <v>23</v>
      </c>
      <c r="AD1134">
        <v>1</v>
      </c>
      <c r="AE1134">
        <v>0</v>
      </c>
      <c r="AF1134">
        <v>1</v>
      </c>
      <c r="AG1134">
        <v>0</v>
      </c>
      <c r="AH1134">
        <v>0</v>
      </c>
      <c r="AI1134">
        <v>1</v>
      </c>
      <c r="AJ1134">
        <v>1</v>
      </c>
    </row>
    <row r="1135" spans="1:36">
      <c r="A1135" t="s">
        <v>1314</v>
      </c>
      <c r="B1135">
        <v>14.94</v>
      </c>
      <c r="C1135" s="7">
        <v>46134.491666666669</v>
      </c>
      <c r="D1135" s="7">
        <v>46135.114337002313</v>
      </c>
      <c r="E1135" t="s">
        <v>23</v>
      </c>
      <c r="F1135" t="s">
        <v>33</v>
      </c>
      <c r="G1135" t="s">
        <v>65</v>
      </c>
      <c r="H1135" t="s">
        <v>26</v>
      </c>
      <c r="I1135" t="s">
        <v>42</v>
      </c>
      <c r="J1135" t="s">
        <v>43</v>
      </c>
      <c r="K1135" t="s">
        <v>29</v>
      </c>
      <c r="L1135" t="s">
        <v>38</v>
      </c>
      <c r="M1135">
        <v>619</v>
      </c>
      <c r="N1135">
        <v>3</v>
      </c>
      <c r="O1135">
        <v>0</v>
      </c>
      <c r="P1135">
        <v>7</v>
      </c>
      <c r="Q1135" t="s">
        <v>31</v>
      </c>
      <c r="R1135">
        <v>240</v>
      </c>
      <c r="S1135">
        <v>48</v>
      </c>
      <c r="T1135" t="s">
        <v>31</v>
      </c>
      <c r="U1135" t="s">
        <v>63</v>
      </c>
      <c r="V1135">
        <v>2026</v>
      </c>
      <c r="W1135">
        <v>4</v>
      </c>
      <c r="X1135" t="s">
        <v>1412</v>
      </c>
      <c r="Y1135" s="6">
        <v>46113</v>
      </c>
      <c r="Z1135" t="s">
        <v>1418</v>
      </c>
      <c r="AA1135" t="s">
        <v>31</v>
      </c>
      <c r="AB1135" t="s">
        <v>63</v>
      </c>
      <c r="AC1135" t="s">
        <v>23</v>
      </c>
      <c r="AD1135">
        <v>1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1</v>
      </c>
    </row>
    <row r="1136" spans="1:36">
      <c r="A1136" t="s">
        <v>1315</v>
      </c>
      <c r="B1136">
        <v>22.04</v>
      </c>
      <c r="C1136" s="7">
        <v>46039.761111111111</v>
      </c>
      <c r="D1136" s="7">
        <v>46040.679484872686</v>
      </c>
      <c r="E1136" t="s">
        <v>23</v>
      </c>
      <c r="F1136" t="s">
        <v>33</v>
      </c>
      <c r="G1136" t="s">
        <v>65</v>
      </c>
      <c r="H1136" t="s">
        <v>26</v>
      </c>
      <c r="I1136" t="s">
        <v>27</v>
      </c>
      <c r="J1136" t="s">
        <v>28</v>
      </c>
      <c r="K1136" t="s">
        <v>52</v>
      </c>
      <c r="L1136" t="s">
        <v>93</v>
      </c>
      <c r="M1136">
        <v>287</v>
      </c>
      <c r="N1136">
        <v>3</v>
      </c>
      <c r="O1136">
        <v>0</v>
      </c>
      <c r="P1136">
        <v>7</v>
      </c>
      <c r="Q1136" t="s">
        <v>31</v>
      </c>
      <c r="R1136">
        <v>240</v>
      </c>
      <c r="S1136">
        <v>48</v>
      </c>
      <c r="T1136" t="s">
        <v>31</v>
      </c>
      <c r="U1136" t="s">
        <v>63</v>
      </c>
      <c r="V1136">
        <v>2026</v>
      </c>
      <c r="W1136">
        <v>1</v>
      </c>
      <c r="X1136" t="s">
        <v>1414</v>
      </c>
      <c r="Y1136" s="6">
        <v>46023</v>
      </c>
      <c r="Z1136" t="s">
        <v>1418</v>
      </c>
      <c r="AA1136" t="s">
        <v>31</v>
      </c>
      <c r="AB1136" t="s">
        <v>63</v>
      </c>
      <c r="AC1136" t="s">
        <v>23</v>
      </c>
      <c r="AD1136">
        <v>1</v>
      </c>
      <c r="AE1136">
        <v>0</v>
      </c>
      <c r="AF1136">
        <v>1</v>
      </c>
      <c r="AG1136">
        <v>0</v>
      </c>
      <c r="AH1136">
        <v>0</v>
      </c>
      <c r="AI1136">
        <v>0</v>
      </c>
      <c r="AJ1136">
        <v>1</v>
      </c>
    </row>
    <row r="1137" spans="1:36">
      <c r="A1137" t="s">
        <v>1316</v>
      </c>
      <c r="B1137">
        <v>27.97</v>
      </c>
      <c r="C1137" s="7">
        <v>46073.015277777777</v>
      </c>
      <c r="D1137" s="7">
        <v>46074.180488032405</v>
      </c>
      <c r="E1137" t="s">
        <v>23</v>
      </c>
      <c r="F1137" t="s">
        <v>50</v>
      </c>
      <c r="G1137" t="s">
        <v>41</v>
      </c>
      <c r="H1137" t="s">
        <v>26</v>
      </c>
      <c r="I1137" t="s">
        <v>35</v>
      </c>
      <c r="J1137" t="s">
        <v>28</v>
      </c>
      <c r="K1137" t="s">
        <v>37</v>
      </c>
      <c r="L1137" t="s">
        <v>71</v>
      </c>
      <c r="M1137">
        <v>32</v>
      </c>
      <c r="N1137">
        <v>4</v>
      </c>
      <c r="O1137">
        <v>1</v>
      </c>
      <c r="P1137">
        <v>6</v>
      </c>
      <c r="Q1137" t="s">
        <v>31</v>
      </c>
      <c r="R1137">
        <v>120</v>
      </c>
      <c r="S1137">
        <v>24</v>
      </c>
      <c r="T1137" t="s">
        <v>63</v>
      </c>
      <c r="U1137" t="s">
        <v>31</v>
      </c>
      <c r="V1137">
        <v>2026</v>
      </c>
      <c r="W1137">
        <v>2</v>
      </c>
      <c r="X1137" t="s">
        <v>1419</v>
      </c>
      <c r="Y1137" s="6">
        <v>46054</v>
      </c>
      <c r="Z1137" t="s">
        <v>1413</v>
      </c>
      <c r="AA1137" t="s">
        <v>63</v>
      </c>
      <c r="AB1137" t="s">
        <v>63</v>
      </c>
      <c r="AC1137" t="s">
        <v>23</v>
      </c>
      <c r="AD1137">
        <v>1</v>
      </c>
      <c r="AE1137">
        <v>0</v>
      </c>
      <c r="AF1137">
        <v>1</v>
      </c>
      <c r="AG1137">
        <v>1</v>
      </c>
      <c r="AH1137">
        <v>0</v>
      </c>
      <c r="AI1137">
        <v>1</v>
      </c>
      <c r="AJ1137">
        <v>0</v>
      </c>
    </row>
    <row r="1138" spans="1:36">
      <c r="A1138" t="s">
        <v>1317</v>
      </c>
      <c r="B1138">
        <v>15.03</v>
      </c>
      <c r="C1138" s="7">
        <v>46239.86041666667</v>
      </c>
      <c r="D1138" s="7">
        <v>46240.486711793979</v>
      </c>
      <c r="E1138" t="s">
        <v>23</v>
      </c>
      <c r="F1138" t="s">
        <v>50</v>
      </c>
      <c r="G1138" t="s">
        <v>41</v>
      </c>
      <c r="H1138" t="s">
        <v>26</v>
      </c>
      <c r="I1138" t="s">
        <v>35</v>
      </c>
      <c r="J1138" t="s">
        <v>28</v>
      </c>
      <c r="K1138" t="s">
        <v>29</v>
      </c>
      <c r="L1138" t="s">
        <v>62</v>
      </c>
      <c r="M1138">
        <v>67</v>
      </c>
      <c r="N1138">
        <v>4</v>
      </c>
      <c r="O1138">
        <v>0</v>
      </c>
      <c r="P1138">
        <v>2</v>
      </c>
      <c r="Q1138" t="s">
        <v>31</v>
      </c>
      <c r="R1138">
        <v>120</v>
      </c>
      <c r="S1138">
        <v>24</v>
      </c>
      <c r="T1138" t="s">
        <v>63</v>
      </c>
      <c r="U1138" t="s">
        <v>63</v>
      </c>
      <c r="V1138">
        <v>2026</v>
      </c>
      <c r="W1138">
        <v>8</v>
      </c>
      <c r="X1138" t="s">
        <v>1417</v>
      </c>
      <c r="Y1138" s="6">
        <v>46235</v>
      </c>
      <c r="Z1138" t="s">
        <v>1413</v>
      </c>
      <c r="AA1138" t="s">
        <v>31</v>
      </c>
      <c r="AB1138" t="s">
        <v>63</v>
      </c>
      <c r="AC1138" t="s">
        <v>23</v>
      </c>
      <c r="AD1138">
        <v>1</v>
      </c>
      <c r="AE1138">
        <v>0</v>
      </c>
      <c r="AF1138">
        <v>1</v>
      </c>
      <c r="AG1138">
        <v>0</v>
      </c>
      <c r="AH1138">
        <v>0</v>
      </c>
      <c r="AI1138">
        <v>1</v>
      </c>
      <c r="AJ1138">
        <v>1</v>
      </c>
    </row>
    <row r="1139" spans="1:36">
      <c r="A1139" t="s">
        <v>1318</v>
      </c>
      <c r="B1139">
        <v>12.02</v>
      </c>
      <c r="C1139" s="7">
        <v>46139.29791666667</v>
      </c>
      <c r="D1139" s="7">
        <v>46139.798731944444</v>
      </c>
      <c r="E1139" t="s">
        <v>23</v>
      </c>
      <c r="F1139" t="s">
        <v>40</v>
      </c>
      <c r="G1139" t="s">
        <v>25</v>
      </c>
      <c r="H1139" t="s">
        <v>66</v>
      </c>
      <c r="I1139" t="s">
        <v>35</v>
      </c>
      <c r="J1139" t="s">
        <v>48</v>
      </c>
      <c r="K1139" t="s">
        <v>58</v>
      </c>
      <c r="L1139" t="s">
        <v>1401</v>
      </c>
      <c r="M1139">
        <v>29</v>
      </c>
      <c r="N1139">
        <v>5</v>
      </c>
      <c r="O1139">
        <v>0</v>
      </c>
      <c r="P1139">
        <v>4</v>
      </c>
      <c r="Q1139" t="s">
        <v>31</v>
      </c>
      <c r="R1139">
        <v>30</v>
      </c>
      <c r="S1139">
        <v>8</v>
      </c>
      <c r="T1139" t="s">
        <v>63</v>
      </c>
      <c r="U1139" t="s">
        <v>31</v>
      </c>
      <c r="V1139">
        <v>2026</v>
      </c>
      <c r="W1139">
        <v>4</v>
      </c>
      <c r="X1139" t="s">
        <v>1412</v>
      </c>
      <c r="Y1139" s="6">
        <v>46113</v>
      </c>
      <c r="Z1139" t="s">
        <v>1413</v>
      </c>
      <c r="AA1139" t="s">
        <v>31</v>
      </c>
      <c r="AB1139" t="s">
        <v>63</v>
      </c>
      <c r="AC1139" t="s">
        <v>23</v>
      </c>
      <c r="AD1139">
        <v>1</v>
      </c>
      <c r="AE1139">
        <v>0</v>
      </c>
      <c r="AF1139">
        <v>1</v>
      </c>
      <c r="AG1139">
        <v>0</v>
      </c>
      <c r="AH1139">
        <v>0</v>
      </c>
      <c r="AI1139">
        <v>1</v>
      </c>
      <c r="AJ1139">
        <v>0</v>
      </c>
    </row>
    <row r="1140" spans="1:36">
      <c r="A1140" t="s">
        <v>1319</v>
      </c>
      <c r="B1140">
        <v>75.06</v>
      </c>
      <c r="C1140" s="7">
        <v>46100.774305555555</v>
      </c>
      <c r="D1140" s="7">
        <v>46103.90189040509</v>
      </c>
      <c r="E1140" t="s">
        <v>23</v>
      </c>
      <c r="F1140" t="s">
        <v>33</v>
      </c>
      <c r="G1140" t="s">
        <v>51</v>
      </c>
      <c r="H1140" t="s">
        <v>26</v>
      </c>
      <c r="I1140" t="s">
        <v>35</v>
      </c>
      <c r="J1140" t="s">
        <v>28</v>
      </c>
      <c r="K1140" t="s">
        <v>76</v>
      </c>
      <c r="L1140" t="s">
        <v>93</v>
      </c>
      <c r="M1140">
        <v>213</v>
      </c>
      <c r="N1140">
        <v>3</v>
      </c>
      <c r="O1140">
        <v>0</v>
      </c>
      <c r="P1140">
        <v>3</v>
      </c>
      <c r="Q1140" t="s">
        <v>31</v>
      </c>
      <c r="R1140">
        <v>240</v>
      </c>
      <c r="S1140">
        <v>48</v>
      </c>
      <c r="T1140" t="s">
        <v>63</v>
      </c>
      <c r="U1140" t="s">
        <v>31</v>
      </c>
      <c r="V1140">
        <v>2026</v>
      </c>
      <c r="W1140">
        <v>3</v>
      </c>
      <c r="X1140" t="s">
        <v>1423</v>
      </c>
      <c r="Y1140" s="6">
        <v>46082</v>
      </c>
      <c r="Z1140" t="s">
        <v>1418</v>
      </c>
      <c r="AA1140" t="s">
        <v>31</v>
      </c>
      <c r="AB1140" t="s">
        <v>63</v>
      </c>
      <c r="AC1140" t="s">
        <v>23</v>
      </c>
      <c r="AD1140">
        <v>1</v>
      </c>
      <c r="AE1140">
        <v>0</v>
      </c>
      <c r="AF1140">
        <v>1</v>
      </c>
      <c r="AG1140">
        <v>0</v>
      </c>
      <c r="AH1140">
        <v>0</v>
      </c>
      <c r="AI1140">
        <v>1</v>
      </c>
      <c r="AJ1140">
        <v>0</v>
      </c>
    </row>
    <row r="1141" spans="1:36">
      <c r="A1141" t="s">
        <v>1320</v>
      </c>
      <c r="B1141">
        <v>18.309999999999999</v>
      </c>
      <c r="C1141" s="7">
        <v>46188.570833333331</v>
      </c>
      <c r="D1141" s="7">
        <v>46189.333807777781</v>
      </c>
      <c r="E1141" t="s">
        <v>23</v>
      </c>
      <c r="F1141" t="s">
        <v>50</v>
      </c>
      <c r="G1141" t="s">
        <v>51</v>
      </c>
      <c r="H1141" t="s">
        <v>26</v>
      </c>
      <c r="I1141" t="s">
        <v>35</v>
      </c>
      <c r="J1141" t="s">
        <v>28</v>
      </c>
      <c r="K1141" t="s">
        <v>37</v>
      </c>
      <c r="L1141" t="s">
        <v>85</v>
      </c>
      <c r="M1141">
        <v>95</v>
      </c>
      <c r="N1141">
        <v>4</v>
      </c>
      <c r="O1141">
        <v>0</v>
      </c>
      <c r="P1141">
        <v>4</v>
      </c>
      <c r="Q1141" t="s">
        <v>31</v>
      </c>
      <c r="R1141">
        <v>120</v>
      </c>
      <c r="S1141">
        <v>24</v>
      </c>
      <c r="T1141" t="s">
        <v>63</v>
      </c>
      <c r="U1141" t="s">
        <v>63</v>
      </c>
      <c r="V1141">
        <v>2026</v>
      </c>
      <c r="W1141">
        <v>6</v>
      </c>
      <c r="X1141" t="s">
        <v>1421</v>
      </c>
      <c r="Y1141" s="6">
        <v>46174</v>
      </c>
      <c r="Z1141" t="s">
        <v>1413</v>
      </c>
      <c r="AA1141" t="s">
        <v>31</v>
      </c>
      <c r="AB1141" t="s">
        <v>63</v>
      </c>
      <c r="AC1141" t="s">
        <v>23</v>
      </c>
      <c r="AD1141">
        <v>1</v>
      </c>
      <c r="AE1141">
        <v>0</v>
      </c>
      <c r="AF1141">
        <v>1</v>
      </c>
      <c r="AG1141">
        <v>0</v>
      </c>
      <c r="AH1141">
        <v>0</v>
      </c>
      <c r="AI1141">
        <v>1</v>
      </c>
      <c r="AJ1141">
        <v>1</v>
      </c>
    </row>
    <row r="1142" spans="1:36">
      <c r="A1142" t="s">
        <v>1321</v>
      </c>
      <c r="B1142">
        <v>57.64</v>
      </c>
      <c r="C1142" s="7">
        <v>46052.649305555555</v>
      </c>
      <c r="D1142" s="7">
        <v>46055.050837210649</v>
      </c>
      <c r="E1142" t="s">
        <v>23</v>
      </c>
      <c r="F1142" t="s">
        <v>50</v>
      </c>
      <c r="G1142" t="s">
        <v>51</v>
      </c>
      <c r="H1142" t="s">
        <v>54</v>
      </c>
      <c r="I1142" t="s">
        <v>27</v>
      </c>
      <c r="J1142" t="s">
        <v>43</v>
      </c>
      <c r="K1142" t="s">
        <v>76</v>
      </c>
      <c r="L1142" t="s">
        <v>38</v>
      </c>
      <c r="M1142">
        <v>66</v>
      </c>
      <c r="N1142">
        <v>4</v>
      </c>
      <c r="O1142">
        <v>0</v>
      </c>
      <c r="P1142">
        <v>4</v>
      </c>
      <c r="Q1142" t="s">
        <v>31</v>
      </c>
      <c r="R1142">
        <v>120</v>
      </c>
      <c r="S1142">
        <v>24</v>
      </c>
      <c r="T1142" t="s">
        <v>63</v>
      </c>
      <c r="U1142" t="s">
        <v>31</v>
      </c>
      <c r="V1142">
        <v>2026</v>
      </c>
      <c r="W1142">
        <v>1</v>
      </c>
      <c r="X1142" t="s">
        <v>1414</v>
      </c>
      <c r="Y1142" s="6">
        <v>46023</v>
      </c>
      <c r="Z1142" t="s">
        <v>1413</v>
      </c>
      <c r="AA1142" t="s">
        <v>31</v>
      </c>
      <c r="AB1142" t="s">
        <v>63</v>
      </c>
      <c r="AC1142" t="s">
        <v>23</v>
      </c>
      <c r="AD1142">
        <v>1</v>
      </c>
      <c r="AE1142">
        <v>0</v>
      </c>
      <c r="AF1142">
        <v>1</v>
      </c>
      <c r="AG1142">
        <v>0</v>
      </c>
      <c r="AH1142">
        <v>0</v>
      </c>
      <c r="AI1142">
        <v>1</v>
      </c>
      <c r="AJ1142">
        <v>0</v>
      </c>
    </row>
    <row r="1143" spans="1:36">
      <c r="A1143" t="s">
        <v>1322</v>
      </c>
      <c r="B1143">
        <v>22.09</v>
      </c>
      <c r="C1143" s="7">
        <v>46056.894444444442</v>
      </c>
      <c r="D1143" s="7">
        <v>46057.814777199077</v>
      </c>
      <c r="E1143" t="s">
        <v>23</v>
      </c>
      <c r="F1143" t="s">
        <v>50</v>
      </c>
      <c r="G1143" t="s">
        <v>51</v>
      </c>
      <c r="H1143" t="s">
        <v>34</v>
      </c>
      <c r="I1143" t="s">
        <v>42</v>
      </c>
      <c r="J1143" t="s">
        <v>48</v>
      </c>
      <c r="K1143" t="s">
        <v>37</v>
      </c>
      <c r="L1143" t="s">
        <v>30</v>
      </c>
      <c r="M1143">
        <v>233</v>
      </c>
      <c r="N1143">
        <v>2</v>
      </c>
      <c r="O1143">
        <v>3</v>
      </c>
      <c r="P1143">
        <v>16</v>
      </c>
      <c r="Q1143" t="s">
        <v>31</v>
      </c>
      <c r="R1143">
        <v>120</v>
      </c>
      <c r="S1143">
        <v>24</v>
      </c>
      <c r="T1143" t="s">
        <v>31</v>
      </c>
      <c r="U1143" t="s">
        <v>63</v>
      </c>
      <c r="V1143">
        <v>2026</v>
      </c>
      <c r="W1143">
        <v>2</v>
      </c>
      <c r="X1143" t="s">
        <v>1419</v>
      </c>
      <c r="Y1143" s="6">
        <v>46054</v>
      </c>
      <c r="Z1143" t="s">
        <v>1415</v>
      </c>
      <c r="AA1143" t="s">
        <v>63</v>
      </c>
      <c r="AB1143" t="s">
        <v>63</v>
      </c>
      <c r="AC1143" t="s">
        <v>23</v>
      </c>
      <c r="AD1143">
        <v>1</v>
      </c>
      <c r="AE1143">
        <v>0</v>
      </c>
      <c r="AF1143">
        <v>1</v>
      </c>
      <c r="AG1143">
        <v>1</v>
      </c>
      <c r="AH1143">
        <v>0</v>
      </c>
      <c r="AI1143">
        <v>0</v>
      </c>
      <c r="AJ1143">
        <v>1</v>
      </c>
    </row>
    <row r="1144" spans="1:36">
      <c r="A1144" t="s">
        <v>1323</v>
      </c>
      <c r="B1144">
        <v>52.62</v>
      </c>
      <c r="C1144" s="7">
        <v>46101.060416666667</v>
      </c>
      <c r="D1144" s="7">
        <v>46103.252940451392</v>
      </c>
      <c r="E1144" t="s">
        <v>23</v>
      </c>
      <c r="F1144" t="s">
        <v>33</v>
      </c>
      <c r="G1144" t="s">
        <v>25</v>
      </c>
      <c r="H1144" t="s">
        <v>34</v>
      </c>
      <c r="I1144" t="s">
        <v>42</v>
      </c>
      <c r="J1144" t="s">
        <v>28</v>
      </c>
      <c r="K1144" t="s">
        <v>58</v>
      </c>
      <c r="L1144" t="s">
        <v>30</v>
      </c>
      <c r="M1144">
        <v>289</v>
      </c>
      <c r="N1144">
        <v>3</v>
      </c>
      <c r="O1144">
        <v>0</v>
      </c>
      <c r="P1144">
        <v>2</v>
      </c>
      <c r="Q1144" t="s">
        <v>31</v>
      </c>
      <c r="R1144">
        <v>240</v>
      </c>
      <c r="S1144">
        <v>48</v>
      </c>
      <c r="T1144" t="s">
        <v>31</v>
      </c>
      <c r="U1144" t="s">
        <v>31</v>
      </c>
      <c r="V1144">
        <v>2026</v>
      </c>
      <c r="W1144">
        <v>3</v>
      </c>
      <c r="X1144" t="s">
        <v>1423</v>
      </c>
      <c r="Y1144" s="6">
        <v>46082</v>
      </c>
      <c r="Z1144" t="s">
        <v>1418</v>
      </c>
      <c r="AA1144" t="s">
        <v>31</v>
      </c>
      <c r="AB1144" t="s">
        <v>63</v>
      </c>
      <c r="AC1144" t="s">
        <v>23</v>
      </c>
      <c r="AD1144">
        <v>1</v>
      </c>
      <c r="AE1144">
        <v>0</v>
      </c>
      <c r="AF1144">
        <v>1</v>
      </c>
      <c r="AG1144">
        <v>0</v>
      </c>
      <c r="AH1144">
        <v>0</v>
      </c>
      <c r="AI1144">
        <v>0</v>
      </c>
      <c r="AJ1144">
        <v>0</v>
      </c>
    </row>
    <row r="1145" spans="1:36">
      <c r="A1145" t="s">
        <v>1324</v>
      </c>
      <c r="B1145">
        <v>44.05</v>
      </c>
      <c r="C1145" s="7">
        <v>46181.679166666669</v>
      </c>
      <c r="D1145" s="7">
        <v>46183.514534340276</v>
      </c>
      <c r="E1145" t="s">
        <v>23</v>
      </c>
      <c r="F1145" t="s">
        <v>50</v>
      </c>
      <c r="G1145" t="s">
        <v>51</v>
      </c>
      <c r="H1145" t="s">
        <v>26</v>
      </c>
      <c r="I1145" t="s">
        <v>35</v>
      </c>
      <c r="J1145" t="s">
        <v>28</v>
      </c>
      <c r="K1145" t="s">
        <v>58</v>
      </c>
      <c r="L1145" t="s">
        <v>38</v>
      </c>
      <c r="M1145">
        <v>72</v>
      </c>
      <c r="N1145">
        <v>3</v>
      </c>
      <c r="O1145">
        <v>1</v>
      </c>
      <c r="P1145">
        <v>8</v>
      </c>
      <c r="Q1145" t="s">
        <v>31</v>
      </c>
      <c r="R1145">
        <v>120</v>
      </c>
      <c r="S1145">
        <v>24</v>
      </c>
      <c r="T1145" t="s">
        <v>63</v>
      </c>
      <c r="U1145" t="s">
        <v>31</v>
      </c>
      <c r="V1145">
        <v>2026</v>
      </c>
      <c r="W1145">
        <v>6</v>
      </c>
      <c r="X1145" t="s">
        <v>1421</v>
      </c>
      <c r="Y1145" s="6">
        <v>46174</v>
      </c>
      <c r="Z1145" t="s">
        <v>1418</v>
      </c>
      <c r="AA1145" t="s">
        <v>63</v>
      </c>
      <c r="AB1145" t="s">
        <v>63</v>
      </c>
      <c r="AC1145" t="s">
        <v>23</v>
      </c>
      <c r="AD1145">
        <v>1</v>
      </c>
      <c r="AE1145">
        <v>0</v>
      </c>
      <c r="AF1145">
        <v>1</v>
      </c>
      <c r="AG1145">
        <v>1</v>
      </c>
      <c r="AH1145">
        <v>0</v>
      </c>
      <c r="AI1145">
        <v>1</v>
      </c>
      <c r="AJ1145">
        <v>0</v>
      </c>
    </row>
    <row r="1146" spans="1:36">
      <c r="A1146" t="s">
        <v>1325</v>
      </c>
      <c r="B1146">
        <v>39.31</v>
      </c>
      <c r="C1146" s="7">
        <v>46035.821527777778</v>
      </c>
      <c r="D1146" s="7">
        <v>46037.45939290509</v>
      </c>
      <c r="E1146" t="s">
        <v>23</v>
      </c>
      <c r="F1146" t="s">
        <v>1402</v>
      </c>
      <c r="G1146" t="s">
        <v>25</v>
      </c>
      <c r="H1146" t="s">
        <v>26</v>
      </c>
      <c r="I1146" t="s">
        <v>35</v>
      </c>
      <c r="J1146" t="s">
        <v>36</v>
      </c>
      <c r="K1146" t="s">
        <v>58</v>
      </c>
      <c r="L1146" t="s">
        <v>62</v>
      </c>
      <c r="M1146">
        <v>164</v>
      </c>
      <c r="N1146">
        <v>4</v>
      </c>
      <c r="O1146">
        <v>0</v>
      </c>
      <c r="P1146">
        <v>2</v>
      </c>
      <c r="Q1146" t="s">
        <v>31</v>
      </c>
      <c r="V1146">
        <v>2026</v>
      </c>
      <c r="W1146">
        <v>1</v>
      </c>
      <c r="X1146" t="s">
        <v>1414</v>
      </c>
      <c r="Y1146" s="6">
        <v>46023</v>
      </c>
      <c r="Z1146" t="s">
        <v>1413</v>
      </c>
      <c r="AA1146" t="s">
        <v>31</v>
      </c>
      <c r="AB1146" t="s">
        <v>63</v>
      </c>
      <c r="AC1146" t="s">
        <v>23</v>
      </c>
      <c r="AD1146">
        <v>1</v>
      </c>
      <c r="AE1146">
        <v>0</v>
      </c>
      <c r="AF1146">
        <v>1</v>
      </c>
      <c r="AG1146">
        <v>0</v>
      </c>
      <c r="AH1146">
        <v>0</v>
      </c>
    </row>
    <row r="1147" spans="1:36">
      <c r="A1147" t="s">
        <v>1326</v>
      </c>
      <c r="B1147">
        <v>3.27</v>
      </c>
      <c r="C1147" s="7">
        <v>46037.302083333336</v>
      </c>
      <c r="D1147" s="7">
        <v>46037.438530254629</v>
      </c>
      <c r="E1147" t="s">
        <v>23</v>
      </c>
      <c r="F1147" t="s">
        <v>24</v>
      </c>
      <c r="G1147" t="s">
        <v>51</v>
      </c>
      <c r="H1147" t="s">
        <v>26</v>
      </c>
      <c r="I1147" t="s">
        <v>35</v>
      </c>
      <c r="J1147" t="s">
        <v>36</v>
      </c>
      <c r="K1147" t="s">
        <v>29</v>
      </c>
      <c r="L1147" t="s">
        <v>68</v>
      </c>
      <c r="M1147">
        <v>12</v>
      </c>
      <c r="N1147">
        <v>5</v>
      </c>
      <c r="O1147">
        <v>0</v>
      </c>
      <c r="P1147">
        <v>7</v>
      </c>
      <c r="Q1147" t="s">
        <v>31</v>
      </c>
      <c r="R1147">
        <v>15</v>
      </c>
      <c r="S1147">
        <v>4</v>
      </c>
      <c r="T1147" t="s">
        <v>63</v>
      </c>
      <c r="U1147" t="s">
        <v>63</v>
      </c>
      <c r="V1147">
        <v>2026</v>
      </c>
      <c r="W1147">
        <v>1</v>
      </c>
      <c r="X1147" t="s">
        <v>1414</v>
      </c>
      <c r="Y1147" s="6">
        <v>46023</v>
      </c>
      <c r="Z1147" t="s">
        <v>1413</v>
      </c>
      <c r="AA1147" t="s">
        <v>31</v>
      </c>
      <c r="AB1147" t="s">
        <v>63</v>
      </c>
      <c r="AC1147" t="s">
        <v>23</v>
      </c>
      <c r="AD1147">
        <v>1</v>
      </c>
      <c r="AE1147">
        <v>0</v>
      </c>
      <c r="AF1147">
        <v>1</v>
      </c>
      <c r="AG1147">
        <v>0</v>
      </c>
      <c r="AH1147">
        <v>0</v>
      </c>
      <c r="AI1147">
        <v>1</v>
      </c>
      <c r="AJ1147">
        <v>1</v>
      </c>
    </row>
    <row r="1148" spans="1:36">
      <c r="A1148" t="s">
        <v>1327</v>
      </c>
      <c r="B1148">
        <v>13.12</v>
      </c>
      <c r="C1148" s="7">
        <v>46074.815972222219</v>
      </c>
      <c r="D1148" s="7">
        <v>46075.362597164349</v>
      </c>
      <c r="E1148" t="s">
        <v>23</v>
      </c>
      <c r="F1148" t="s">
        <v>40</v>
      </c>
      <c r="G1148" t="s">
        <v>25</v>
      </c>
      <c r="H1148" t="s">
        <v>54</v>
      </c>
      <c r="I1148" t="s">
        <v>35</v>
      </c>
      <c r="J1148" t="s">
        <v>43</v>
      </c>
      <c r="K1148" t="s">
        <v>76</v>
      </c>
      <c r="L1148" t="s">
        <v>71</v>
      </c>
      <c r="M1148">
        <v>103</v>
      </c>
      <c r="N1148">
        <v>4</v>
      </c>
      <c r="O1148">
        <v>0</v>
      </c>
      <c r="P1148">
        <v>6</v>
      </c>
      <c r="Q1148" t="s">
        <v>31</v>
      </c>
      <c r="R1148">
        <v>30</v>
      </c>
      <c r="S1148">
        <v>8</v>
      </c>
      <c r="T1148" t="s">
        <v>31</v>
      </c>
      <c r="U1148" t="s">
        <v>31</v>
      </c>
      <c r="V1148">
        <v>2026</v>
      </c>
      <c r="W1148">
        <v>2</v>
      </c>
      <c r="X1148" t="s">
        <v>1419</v>
      </c>
      <c r="Y1148" s="6">
        <v>46054</v>
      </c>
      <c r="Z1148" t="s">
        <v>1413</v>
      </c>
      <c r="AA1148" t="s">
        <v>31</v>
      </c>
      <c r="AB1148" t="s">
        <v>63</v>
      </c>
      <c r="AC1148" t="s">
        <v>23</v>
      </c>
      <c r="AD1148">
        <v>1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</row>
    <row r="1149" spans="1:36">
      <c r="A1149" t="s">
        <v>1328</v>
      </c>
      <c r="B1149">
        <v>13.76</v>
      </c>
      <c r="C1149" s="7">
        <v>46193.634722222225</v>
      </c>
      <c r="D1149" s="7">
        <v>46194.208074479167</v>
      </c>
      <c r="E1149" t="s">
        <v>23</v>
      </c>
      <c r="F1149" t="s">
        <v>33</v>
      </c>
      <c r="G1149" t="s">
        <v>25</v>
      </c>
      <c r="H1149" t="s">
        <v>26</v>
      </c>
      <c r="I1149" t="s">
        <v>27</v>
      </c>
      <c r="J1149" t="s">
        <v>28</v>
      </c>
      <c r="K1149" t="s">
        <v>29</v>
      </c>
      <c r="L1149" t="s">
        <v>85</v>
      </c>
      <c r="M1149">
        <v>109</v>
      </c>
      <c r="N1149">
        <v>4</v>
      </c>
      <c r="O1149">
        <v>0</v>
      </c>
      <c r="P1149">
        <v>5</v>
      </c>
      <c r="Q1149" t="s">
        <v>31</v>
      </c>
      <c r="R1149">
        <v>240</v>
      </c>
      <c r="S1149">
        <v>48</v>
      </c>
      <c r="T1149" t="s">
        <v>63</v>
      </c>
      <c r="U1149" t="s">
        <v>63</v>
      </c>
      <c r="V1149">
        <v>2026</v>
      </c>
      <c r="W1149">
        <v>6</v>
      </c>
      <c r="X1149" t="s">
        <v>1421</v>
      </c>
      <c r="Y1149" s="6">
        <v>46174</v>
      </c>
      <c r="Z1149" t="s">
        <v>1413</v>
      </c>
      <c r="AA1149" t="s">
        <v>31</v>
      </c>
      <c r="AB1149" t="s">
        <v>63</v>
      </c>
      <c r="AC1149" t="s">
        <v>23</v>
      </c>
      <c r="AD1149">
        <v>1</v>
      </c>
      <c r="AE1149">
        <v>0</v>
      </c>
      <c r="AF1149">
        <v>1</v>
      </c>
      <c r="AG1149">
        <v>0</v>
      </c>
      <c r="AH1149">
        <v>0</v>
      </c>
      <c r="AI1149">
        <v>1</v>
      </c>
      <c r="AJ1149">
        <v>1</v>
      </c>
    </row>
    <row r="1150" spans="1:36">
      <c r="A1150" t="s">
        <v>1329</v>
      </c>
      <c r="B1150">
        <v>21.95</v>
      </c>
      <c r="C1150" s="7">
        <v>46107.682638888888</v>
      </c>
      <c r="D1150" s="7">
        <v>46108.597149120367</v>
      </c>
      <c r="E1150" t="s">
        <v>23</v>
      </c>
      <c r="F1150" t="s">
        <v>50</v>
      </c>
      <c r="G1150" t="s">
        <v>51</v>
      </c>
      <c r="H1150" t="s">
        <v>26</v>
      </c>
      <c r="I1150" t="s">
        <v>35</v>
      </c>
      <c r="J1150" t="s">
        <v>43</v>
      </c>
      <c r="K1150" t="s">
        <v>37</v>
      </c>
      <c r="L1150" t="s">
        <v>93</v>
      </c>
      <c r="M1150">
        <v>66</v>
      </c>
      <c r="N1150">
        <v>4</v>
      </c>
      <c r="O1150">
        <v>0</v>
      </c>
      <c r="P1150">
        <v>4</v>
      </c>
      <c r="Q1150" t="s">
        <v>31</v>
      </c>
      <c r="R1150">
        <v>120</v>
      </c>
      <c r="S1150">
        <v>24</v>
      </c>
      <c r="T1150" t="s">
        <v>63</v>
      </c>
      <c r="U1150" t="s">
        <v>63</v>
      </c>
      <c r="V1150">
        <v>2026</v>
      </c>
      <c r="W1150">
        <v>3</v>
      </c>
      <c r="X1150" t="s">
        <v>1423</v>
      </c>
      <c r="Y1150" s="6">
        <v>46082</v>
      </c>
      <c r="Z1150" t="s">
        <v>1413</v>
      </c>
      <c r="AA1150" t="s">
        <v>31</v>
      </c>
      <c r="AB1150" t="s">
        <v>63</v>
      </c>
      <c r="AC1150" t="s">
        <v>23</v>
      </c>
      <c r="AD1150">
        <v>1</v>
      </c>
      <c r="AE1150">
        <v>0</v>
      </c>
      <c r="AF1150">
        <v>1</v>
      </c>
      <c r="AG1150">
        <v>0</v>
      </c>
      <c r="AH1150">
        <v>0</v>
      </c>
      <c r="AI1150">
        <v>1</v>
      </c>
      <c r="AJ1150">
        <v>1</v>
      </c>
    </row>
    <row r="1151" spans="1:36">
      <c r="A1151" t="s">
        <v>1330</v>
      </c>
      <c r="B1151">
        <v>16.95</v>
      </c>
      <c r="C1151" s="7">
        <v>46185.911111111112</v>
      </c>
      <c r="D1151" s="7">
        <v>46186.617282905092</v>
      </c>
      <c r="E1151" t="s">
        <v>23</v>
      </c>
      <c r="F1151" t="s">
        <v>50</v>
      </c>
      <c r="G1151" t="s">
        <v>51</v>
      </c>
      <c r="H1151" t="s">
        <v>26</v>
      </c>
      <c r="I1151" t="s">
        <v>35</v>
      </c>
      <c r="J1151" t="s">
        <v>43</v>
      </c>
      <c r="K1151" t="s">
        <v>29</v>
      </c>
      <c r="L1151" t="s">
        <v>30</v>
      </c>
      <c r="M1151">
        <v>67</v>
      </c>
      <c r="N1151">
        <v>4</v>
      </c>
      <c r="O1151">
        <v>0</v>
      </c>
      <c r="P1151">
        <v>6</v>
      </c>
      <c r="Q1151" t="s">
        <v>31</v>
      </c>
      <c r="R1151">
        <v>120</v>
      </c>
      <c r="S1151">
        <v>24</v>
      </c>
      <c r="T1151" t="s">
        <v>63</v>
      </c>
      <c r="U1151" t="s">
        <v>63</v>
      </c>
      <c r="V1151">
        <v>2026</v>
      </c>
      <c r="W1151">
        <v>6</v>
      </c>
      <c r="X1151" t="s">
        <v>1421</v>
      </c>
      <c r="Y1151" s="6">
        <v>46174</v>
      </c>
      <c r="Z1151" t="s">
        <v>1413</v>
      </c>
      <c r="AA1151" t="s">
        <v>31</v>
      </c>
      <c r="AB1151" t="s">
        <v>63</v>
      </c>
      <c r="AC1151" t="s">
        <v>23</v>
      </c>
      <c r="AD1151">
        <v>1</v>
      </c>
      <c r="AE1151">
        <v>0</v>
      </c>
      <c r="AF1151">
        <v>1</v>
      </c>
      <c r="AG1151">
        <v>0</v>
      </c>
      <c r="AH1151">
        <v>0</v>
      </c>
      <c r="AI1151">
        <v>1</v>
      </c>
      <c r="AJ1151">
        <v>1</v>
      </c>
    </row>
    <row r="1152" spans="1:36">
      <c r="A1152" t="s">
        <v>1331</v>
      </c>
      <c r="B1152">
        <v>4.2300000000000004</v>
      </c>
      <c r="C1152" s="7">
        <v>46139.793749999997</v>
      </c>
      <c r="D1152" s="7">
        <v>46139.969988622688</v>
      </c>
      <c r="E1152" t="s">
        <v>23</v>
      </c>
      <c r="F1152" t="s">
        <v>50</v>
      </c>
      <c r="G1152" t="s">
        <v>41</v>
      </c>
      <c r="H1152" t="s">
        <v>54</v>
      </c>
      <c r="I1152" t="s">
        <v>35</v>
      </c>
      <c r="J1152" t="s">
        <v>28</v>
      </c>
      <c r="K1152" t="s">
        <v>29</v>
      </c>
      <c r="L1152" t="s">
        <v>68</v>
      </c>
      <c r="M1152">
        <v>67</v>
      </c>
      <c r="N1152">
        <v>4</v>
      </c>
      <c r="O1152">
        <v>0</v>
      </c>
      <c r="P1152">
        <v>5</v>
      </c>
      <c r="Q1152" t="s">
        <v>31</v>
      </c>
      <c r="R1152">
        <v>120</v>
      </c>
      <c r="S1152">
        <v>24</v>
      </c>
      <c r="T1152" t="s">
        <v>63</v>
      </c>
      <c r="U1152" t="s">
        <v>63</v>
      </c>
      <c r="V1152">
        <v>2026</v>
      </c>
      <c r="W1152">
        <v>4</v>
      </c>
      <c r="X1152" t="s">
        <v>1412</v>
      </c>
      <c r="Y1152" s="6">
        <v>46113</v>
      </c>
      <c r="Z1152" t="s">
        <v>1413</v>
      </c>
      <c r="AA1152" t="s">
        <v>31</v>
      </c>
      <c r="AB1152" t="s">
        <v>63</v>
      </c>
      <c r="AC1152" t="s">
        <v>23</v>
      </c>
      <c r="AD1152">
        <v>1</v>
      </c>
      <c r="AE1152">
        <v>0</v>
      </c>
      <c r="AF1152">
        <v>1</v>
      </c>
      <c r="AG1152">
        <v>0</v>
      </c>
      <c r="AH1152">
        <v>0</v>
      </c>
      <c r="AI1152">
        <v>1</v>
      </c>
      <c r="AJ1152">
        <v>1</v>
      </c>
    </row>
    <row r="1153" spans="1:36">
      <c r="A1153" t="s">
        <v>1332</v>
      </c>
      <c r="B1153">
        <v>12.28</v>
      </c>
      <c r="C1153" s="7">
        <v>46068.356944444444</v>
      </c>
      <c r="D1153" s="7">
        <v>46068.868539953706</v>
      </c>
      <c r="E1153" t="s">
        <v>23</v>
      </c>
      <c r="F1153" t="s">
        <v>40</v>
      </c>
      <c r="G1153" t="s">
        <v>25</v>
      </c>
      <c r="H1153" t="s">
        <v>54</v>
      </c>
      <c r="I1153" t="s">
        <v>42</v>
      </c>
      <c r="J1153" t="s">
        <v>43</v>
      </c>
      <c r="K1153" t="s">
        <v>37</v>
      </c>
      <c r="L1153" t="s">
        <v>85</v>
      </c>
      <c r="M1153">
        <v>23</v>
      </c>
      <c r="N1153">
        <v>5</v>
      </c>
      <c r="O1153">
        <v>0</v>
      </c>
      <c r="P1153">
        <v>4</v>
      </c>
      <c r="Q1153" t="s">
        <v>31</v>
      </c>
      <c r="R1153">
        <v>30</v>
      </c>
      <c r="S1153">
        <v>8</v>
      </c>
      <c r="T1153" t="s">
        <v>63</v>
      </c>
      <c r="U1153" t="s">
        <v>31</v>
      </c>
      <c r="V1153">
        <v>2026</v>
      </c>
      <c r="W1153">
        <v>2</v>
      </c>
      <c r="X1153" t="s">
        <v>1419</v>
      </c>
      <c r="Y1153" s="6">
        <v>46054</v>
      </c>
      <c r="Z1153" t="s">
        <v>1413</v>
      </c>
      <c r="AA1153" t="s">
        <v>31</v>
      </c>
      <c r="AB1153" t="s">
        <v>63</v>
      </c>
      <c r="AC1153" t="s">
        <v>23</v>
      </c>
      <c r="AD1153">
        <v>1</v>
      </c>
      <c r="AE1153">
        <v>0</v>
      </c>
      <c r="AF1153">
        <v>1</v>
      </c>
      <c r="AG1153">
        <v>0</v>
      </c>
      <c r="AH1153">
        <v>0</v>
      </c>
      <c r="AI1153">
        <v>1</v>
      </c>
      <c r="AJ1153">
        <v>0</v>
      </c>
    </row>
    <row r="1154" spans="1:36">
      <c r="A1154" t="s">
        <v>1333</v>
      </c>
      <c r="B1154">
        <v>17.579999999999998</v>
      </c>
      <c r="C1154" s="7">
        <v>46238.068749999999</v>
      </c>
      <c r="D1154" s="7">
        <v>46238.801079629629</v>
      </c>
      <c r="E1154" t="s">
        <v>23</v>
      </c>
      <c r="F1154" t="s">
        <v>33</v>
      </c>
      <c r="G1154" t="s">
        <v>51</v>
      </c>
      <c r="H1154" t="s">
        <v>26</v>
      </c>
      <c r="I1154" t="s">
        <v>42</v>
      </c>
      <c r="J1154" t="s">
        <v>48</v>
      </c>
      <c r="K1154" t="s">
        <v>29</v>
      </c>
      <c r="L1154" t="s">
        <v>93</v>
      </c>
      <c r="M1154">
        <v>135</v>
      </c>
      <c r="N1154">
        <v>4</v>
      </c>
      <c r="O1154">
        <v>0</v>
      </c>
      <c r="P1154">
        <v>2</v>
      </c>
      <c r="Q1154" t="s">
        <v>31</v>
      </c>
      <c r="R1154">
        <v>240</v>
      </c>
      <c r="S1154">
        <v>48</v>
      </c>
      <c r="T1154" t="s">
        <v>63</v>
      </c>
      <c r="U1154" t="s">
        <v>63</v>
      </c>
      <c r="V1154">
        <v>2026</v>
      </c>
      <c r="W1154">
        <v>8</v>
      </c>
      <c r="X1154" t="s">
        <v>1417</v>
      </c>
      <c r="Y1154" s="6">
        <v>46235</v>
      </c>
      <c r="Z1154" t="s">
        <v>1413</v>
      </c>
      <c r="AA1154" t="s">
        <v>31</v>
      </c>
      <c r="AB1154" t="s">
        <v>63</v>
      </c>
      <c r="AC1154" t="s">
        <v>23</v>
      </c>
      <c r="AD1154">
        <v>1</v>
      </c>
      <c r="AE1154">
        <v>0</v>
      </c>
      <c r="AF1154">
        <v>1</v>
      </c>
      <c r="AG1154">
        <v>0</v>
      </c>
      <c r="AH1154">
        <v>0</v>
      </c>
      <c r="AI1154">
        <v>1</v>
      </c>
      <c r="AJ1154">
        <v>1</v>
      </c>
    </row>
    <row r="1155" spans="1:36">
      <c r="A1155" t="s">
        <v>1334</v>
      </c>
      <c r="B1155">
        <v>39.75</v>
      </c>
      <c r="C1155" s="7">
        <v>46102.300694444442</v>
      </c>
      <c r="D1155" s="7">
        <v>46103.956835497687</v>
      </c>
      <c r="E1155" t="s">
        <v>23</v>
      </c>
      <c r="F1155" t="s">
        <v>50</v>
      </c>
      <c r="G1155" t="s">
        <v>25</v>
      </c>
      <c r="H1155" t="s">
        <v>75</v>
      </c>
      <c r="I1155" t="s">
        <v>35</v>
      </c>
      <c r="J1155" t="s">
        <v>28</v>
      </c>
      <c r="K1155" t="s">
        <v>76</v>
      </c>
      <c r="L1155" t="s">
        <v>62</v>
      </c>
      <c r="M1155">
        <v>127</v>
      </c>
      <c r="N1155">
        <v>4</v>
      </c>
      <c r="O1155">
        <v>1</v>
      </c>
      <c r="P1155">
        <v>10</v>
      </c>
      <c r="Q1155" t="s">
        <v>31</v>
      </c>
      <c r="R1155">
        <v>120</v>
      </c>
      <c r="S1155">
        <v>24</v>
      </c>
      <c r="T1155" t="s">
        <v>31</v>
      </c>
      <c r="U1155" t="s">
        <v>31</v>
      </c>
      <c r="V1155">
        <v>2026</v>
      </c>
      <c r="W1155">
        <v>3</v>
      </c>
      <c r="X1155" t="s">
        <v>1423</v>
      </c>
      <c r="Y1155" s="6">
        <v>46082</v>
      </c>
      <c r="Z1155" t="s">
        <v>1413</v>
      </c>
      <c r="AA1155" t="s">
        <v>63</v>
      </c>
      <c r="AB1155" t="s">
        <v>63</v>
      </c>
      <c r="AC1155" t="s">
        <v>23</v>
      </c>
      <c r="AD1155">
        <v>1</v>
      </c>
      <c r="AE1155">
        <v>0</v>
      </c>
      <c r="AF1155">
        <v>1</v>
      </c>
      <c r="AG1155">
        <v>1</v>
      </c>
      <c r="AH1155">
        <v>0</v>
      </c>
      <c r="AI1155">
        <v>0</v>
      </c>
      <c r="AJ1155">
        <v>0</v>
      </c>
    </row>
    <row r="1156" spans="1:36">
      <c r="A1156" t="s">
        <v>1335</v>
      </c>
      <c r="B1156">
        <v>50.65</v>
      </c>
      <c r="C1156" s="7">
        <v>46139.209722222222</v>
      </c>
      <c r="D1156" s="7">
        <v>46141.320001574073</v>
      </c>
      <c r="E1156" t="s">
        <v>23</v>
      </c>
      <c r="F1156" t="s">
        <v>50</v>
      </c>
      <c r="G1156" t="s">
        <v>51</v>
      </c>
      <c r="H1156" t="s">
        <v>54</v>
      </c>
      <c r="I1156" t="s">
        <v>27</v>
      </c>
      <c r="J1156" t="s">
        <v>48</v>
      </c>
      <c r="K1156" t="s">
        <v>37</v>
      </c>
      <c r="L1156" t="s">
        <v>71</v>
      </c>
      <c r="M1156">
        <v>34</v>
      </c>
      <c r="N1156">
        <v>4</v>
      </c>
      <c r="O1156">
        <v>0</v>
      </c>
      <c r="P1156">
        <v>5</v>
      </c>
      <c r="Q1156" t="s">
        <v>31</v>
      </c>
      <c r="R1156">
        <v>120</v>
      </c>
      <c r="S1156">
        <v>24</v>
      </c>
      <c r="T1156" t="s">
        <v>63</v>
      </c>
      <c r="U1156" t="s">
        <v>31</v>
      </c>
      <c r="V1156">
        <v>2026</v>
      </c>
      <c r="W1156">
        <v>4</v>
      </c>
      <c r="X1156" t="s">
        <v>1412</v>
      </c>
      <c r="Y1156" s="6">
        <v>46113</v>
      </c>
      <c r="Z1156" t="s">
        <v>1413</v>
      </c>
      <c r="AA1156" t="s">
        <v>31</v>
      </c>
      <c r="AB1156" t="s">
        <v>63</v>
      </c>
      <c r="AC1156" t="s">
        <v>23</v>
      </c>
      <c r="AD1156">
        <v>1</v>
      </c>
      <c r="AE1156">
        <v>0</v>
      </c>
      <c r="AF1156">
        <v>1</v>
      </c>
      <c r="AG1156">
        <v>0</v>
      </c>
      <c r="AH1156">
        <v>0</v>
      </c>
      <c r="AI1156">
        <v>1</v>
      </c>
      <c r="AJ1156">
        <v>0</v>
      </c>
    </row>
    <row r="1157" spans="1:36">
      <c r="A1157" t="s">
        <v>1336</v>
      </c>
      <c r="B1157">
        <v>3.9</v>
      </c>
      <c r="C1157" s="7">
        <v>46221.694444444445</v>
      </c>
      <c r="D1157" s="7">
        <v>46221.857066620367</v>
      </c>
      <c r="E1157" t="s">
        <v>23</v>
      </c>
      <c r="F1157" t="s">
        <v>40</v>
      </c>
      <c r="G1157" t="s">
        <v>51</v>
      </c>
      <c r="H1157" t="s">
        <v>54</v>
      </c>
      <c r="I1157" t="s">
        <v>42</v>
      </c>
      <c r="J1157" t="s">
        <v>36</v>
      </c>
      <c r="K1157" t="s">
        <v>37</v>
      </c>
      <c r="L1157" t="s">
        <v>101</v>
      </c>
      <c r="M1157">
        <v>48</v>
      </c>
      <c r="N1157">
        <v>4</v>
      </c>
      <c r="O1157">
        <v>1</v>
      </c>
      <c r="P1157">
        <v>7</v>
      </c>
      <c r="Q1157" t="s">
        <v>31</v>
      </c>
      <c r="R1157">
        <v>30</v>
      </c>
      <c r="S1157">
        <v>8</v>
      </c>
      <c r="T1157" t="s">
        <v>31</v>
      </c>
      <c r="U1157" t="s">
        <v>63</v>
      </c>
      <c r="V1157">
        <v>2026</v>
      </c>
      <c r="W1157">
        <v>7</v>
      </c>
      <c r="X1157" t="s">
        <v>1422</v>
      </c>
      <c r="Y1157" s="6">
        <v>46204</v>
      </c>
      <c r="Z1157" t="s">
        <v>1413</v>
      </c>
      <c r="AA1157" t="s">
        <v>63</v>
      </c>
      <c r="AB1157" t="s">
        <v>63</v>
      </c>
      <c r="AC1157" t="s">
        <v>23</v>
      </c>
      <c r="AD1157">
        <v>1</v>
      </c>
      <c r="AE1157">
        <v>0</v>
      </c>
      <c r="AF1157">
        <v>1</v>
      </c>
      <c r="AG1157">
        <v>1</v>
      </c>
      <c r="AH1157">
        <v>0</v>
      </c>
      <c r="AI1157">
        <v>0</v>
      </c>
      <c r="AJ1157">
        <v>1</v>
      </c>
    </row>
    <row r="1158" spans="1:36">
      <c r="A1158" t="s">
        <v>1337</v>
      </c>
      <c r="B1158">
        <v>12.08</v>
      </c>
      <c r="C1158" s="7">
        <v>46065.975694444445</v>
      </c>
      <c r="D1158" s="7">
        <v>46066.478994733799</v>
      </c>
      <c r="E1158" t="s">
        <v>23</v>
      </c>
      <c r="F1158" t="s">
        <v>50</v>
      </c>
      <c r="G1158" t="s">
        <v>41</v>
      </c>
      <c r="H1158" t="s">
        <v>26</v>
      </c>
      <c r="I1158" t="s">
        <v>35</v>
      </c>
      <c r="J1158" t="s">
        <v>43</v>
      </c>
      <c r="K1158" t="s">
        <v>52</v>
      </c>
      <c r="L1158" t="s">
        <v>44</v>
      </c>
      <c r="M1158">
        <v>119</v>
      </c>
      <c r="N1158">
        <v>4</v>
      </c>
      <c r="O1158">
        <v>0</v>
      </c>
      <c r="P1158">
        <v>3</v>
      </c>
      <c r="Q1158" t="s">
        <v>31</v>
      </c>
      <c r="R1158">
        <v>120</v>
      </c>
      <c r="S1158">
        <v>24</v>
      </c>
      <c r="T1158" t="s">
        <v>63</v>
      </c>
      <c r="U1158" t="s">
        <v>63</v>
      </c>
      <c r="V1158">
        <v>2026</v>
      </c>
      <c r="W1158">
        <v>2</v>
      </c>
      <c r="X1158" t="s">
        <v>1419</v>
      </c>
      <c r="Y1158" s="6">
        <v>46054</v>
      </c>
      <c r="Z1158" t="s">
        <v>1413</v>
      </c>
      <c r="AA1158" t="s">
        <v>31</v>
      </c>
      <c r="AB1158" t="s">
        <v>63</v>
      </c>
      <c r="AC1158" t="s">
        <v>23</v>
      </c>
      <c r="AD1158">
        <v>1</v>
      </c>
      <c r="AE1158">
        <v>0</v>
      </c>
      <c r="AF1158">
        <v>1</v>
      </c>
      <c r="AG1158">
        <v>0</v>
      </c>
      <c r="AH1158">
        <v>0</v>
      </c>
      <c r="AI1158">
        <v>1</v>
      </c>
      <c r="AJ1158">
        <v>1</v>
      </c>
    </row>
    <row r="1159" spans="1:36">
      <c r="A1159" t="s">
        <v>1338</v>
      </c>
      <c r="B1159">
        <v>9.43</v>
      </c>
      <c r="C1159" s="7">
        <v>46116.21597222222</v>
      </c>
      <c r="D1159" s="7">
        <v>46116.60887822917</v>
      </c>
      <c r="E1159" t="s">
        <v>23</v>
      </c>
      <c r="F1159" t="s">
        <v>40</v>
      </c>
      <c r="G1159" t="s">
        <v>25</v>
      </c>
      <c r="H1159" t="s">
        <v>34</v>
      </c>
      <c r="I1159" t="s">
        <v>35</v>
      </c>
      <c r="J1159" t="s">
        <v>28</v>
      </c>
      <c r="K1159" t="s">
        <v>52</v>
      </c>
      <c r="L1159" t="s">
        <v>44</v>
      </c>
      <c r="M1159">
        <v>68</v>
      </c>
      <c r="N1159">
        <v>4</v>
      </c>
      <c r="O1159">
        <v>0</v>
      </c>
      <c r="P1159">
        <v>5</v>
      </c>
      <c r="Q1159" t="s">
        <v>31</v>
      </c>
      <c r="R1159">
        <v>30</v>
      </c>
      <c r="S1159">
        <v>8</v>
      </c>
      <c r="T1159" t="s">
        <v>31</v>
      </c>
      <c r="U1159" t="s">
        <v>31</v>
      </c>
      <c r="V1159">
        <v>2026</v>
      </c>
      <c r="W1159">
        <v>4</v>
      </c>
      <c r="X1159" t="s">
        <v>1412</v>
      </c>
      <c r="Y1159" s="6">
        <v>46113</v>
      </c>
      <c r="Z1159" t="s">
        <v>1413</v>
      </c>
      <c r="AA1159" t="s">
        <v>31</v>
      </c>
      <c r="AB1159" t="s">
        <v>63</v>
      </c>
      <c r="AC1159" t="s">
        <v>23</v>
      </c>
      <c r="AD1159">
        <v>1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</row>
    <row r="1160" spans="1:36">
      <c r="A1160" t="s">
        <v>1339</v>
      </c>
      <c r="B1160">
        <v>24.08</v>
      </c>
      <c r="C1160" s="7">
        <v>46156.231249999997</v>
      </c>
      <c r="D1160" s="7">
        <v>46157.234488159724</v>
      </c>
      <c r="E1160" t="s">
        <v>23</v>
      </c>
      <c r="F1160" t="s">
        <v>50</v>
      </c>
      <c r="G1160" t="s">
        <v>41</v>
      </c>
      <c r="H1160" t="s">
        <v>66</v>
      </c>
      <c r="I1160" t="s">
        <v>42</v>
      </c>
      <c r="J1160" t="s">
        <v>48</v>
      </c>
      <c r="K1160" t="s">
        <v>37</v>
      </c>
      <c r="L1160" t="s">
        <v>93</v>
      </c>
      <c r="M1160">
        <v>78</v>
      </c>
      <c r="N1160">
        <v>4</v>
      </c>
      <c r="O1160">
        <v>1</v>
      </c>
      <c r="P1160">
        <v>10</v>
      </c>
      <c r="Q1160" t="s">
        <v>31</v>
      </c>
      <c r="R1160">
        <v>120</v>
      </c>
      <c r="S1160">
        <v>24</v>
      </c>
      <c r="T1160" t="s">
        <v>63</v>
      </c>
      <c r="U1160" t="s">
        <v>31</v>
      </c>
      <c r="V1160">
        <v>2026</v>
      </c>
      <c r="W1160">
        <v>5</v>
      </c>
      <c r="X1160" t="s">
        <v>1416</v>
      </c>
      <c r="Y1160" s="6">
        <v>46143</v>
      </c>
      <c r="Z1160" t="s">
        <v>1413</v>
      </c>
      <c r="AA1160" t="s">
        <v>63</v>
      </c>
      <c r="AB1160" t="s">
        <v>63</v>
      </c>
      <c r="AC1160" t="s">
        <v>23</v>
      </c>
      <c r="AD1160">
        <v>1</v>
      </c>
      <c r="AE1160">
        <v>0</v>
      </c>
      <c r="AF1160">
        <v>1</v>
      </c>
      <c r="AG1160">
        <v>1</v>
      </c>
      <c r="AH1160">
        <v>0</v>
      </c>
      <c r="AI1160">
        <v>1</v>
      </c>
      <c r="AJ1160">
        <v>0</v>
      </c>
    </row>
    <row r="1161" spans="1:36">
      <c r="A1161" t="s">
        <v>1340</v>
      </c>
      <c r="B1161">
        <v>23.08</v>
      </c>
      <c r="C1161" s="7">
        <v>46259.695138888892</v>
      </c>
      <c r="D1161" s="7">
        <v>46260.656811458335</v>
      </c>
      <c r="E1161" t="s">
        <v>23</v>
      </c>
      <c r="F1161" t="s">
        <v>50</v>
      </c>
      <c r="G1161" t="s">
        <v>51</v>
      </c>
      <c r="H1161" t="s">
        <v>34</v>
      </c>
      <c r="I1161" t="s">
        <v>35</v>
      </c>
      <c r="J1161" t="s">
        <v>43</v>
      </c>
      <c r="K1161" t="s">
        <v>37</v>
      </c>
      <c r="L1161" t="s">
        <v>30</v>
      </c>
      <c r="M1161">
        <v>155</v>
      </c>
      <c r="N1161">
        <v>4</v>
      </c>
      <c r="O1161">
        <v>0</v>
      </c>
      <c r="P1161">
        <v>5</v>
      </c>
      <c r="Q1161" t="s">
        <v>31</v>
      </c>
      <c r="R1161">
        <v>120</v>
      </c>
      <c r="S1161">
        <v>24</v>
      </c>
      <c r="T1161" t="s">
        <v>31</v>
      </c>
      <c r="U1161" t="s">
        <v>63</v>
      </c>
      <c r="V1161">
        <v>2026</v>
      </c>
      <c r="W1161">
        <v>8</v>
      </c>
      <c r="X1161" t="s">
        <v>1417</v>
      </c>
      <c r="Y1161" s="6">
        <v>46235</v>
      </c>
      <c r="Z1161" t="s">
        <v>1413</v>
      </c>
      <c r="AA1161" t="s">
        <v>31</v>
      </c>
      <c r="AB1161" t="s">
        <v>63</v>
      </c>
      <c r="AC1161" t="s">
        <v>23</v>
      </c>
      <c r="AD1161">
        <v>1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1</v>
      </c>
    </row>
    <row r="1162" spans="1:36">
      <c r="A1162" t="s">
        <v>1341</v>
      </c>
      <c r="B1162">
        <v>20.88</v>
      </c>
      <c r="C1162" s="7">
        <v>46181.149305555555</v>
      </c>
      <c r="D1162" s="7">
        <v>46182.019295104168</v>
      </c>
      <c r="E1162" t="s">
        <v>23</v>
      </c>
      <c r="F1162" t="s">
        <v>40</v>
      </c>
      <c r="G1162" t="s">
        <v>51</v>
      </c>
      <c r="H1162" t="s">
        <v>54</v>
      </c>
      <c r="I1162" t="s">
        <v>35</v>
      </c>
      <c r="J1162" t="s">
        <v>48</v>
      </c>
      <c r="K1162" t="s">
        <v>52</v>
      </c>
      <c r="L1162" t="s">
        <v>62</v>
      </c>
      <c r="M1162">
        <v>108</v>
      </c>
      <c r="N1162">
        <v>4</v>
      </c>
      <c r="O1162">
        <v>0</v>
      </c>
      <c r="P1162">
        <v>8</v>
      </c>
      <c r="Q1162" t="s">
        <v>63</v>
      </c>
      <c r="R1162">
        <v>30</v>
      </c>
      <c r="S1162">
        <v>8</v>
      </c>
      <c r="T1162" t="s">
        <v>31</v>
      </c>
      <c r="U1162" t="s">
        <v>31</v>
      </c>
      <c r="V1162">
        <v>2026</v>
      </c>
      <c r="W1162">
        <v>6</v>
      </c>
      <c r="X1162" t="s">
        <v>1421</v>
      </c>
      <c r="Y1162" s="6">
        <v>46174</v>
      </c>
      <c r="Z1162" t="s">
        <v>1413</v>
      </c>
      <c r="AA1162" t="s">
        <v>31</v>
      </c>
      <c r="AB1162" t="s">
        <v>63</v>
      </c>
      <c r="AC1162" t="s">
        <v>23</v>
      </c>
      <c r="AD1162">
        <v>1</v>
      </c>
      <c r="AE1162">
        <v>0</v>
      </c>
      <c r="AF1162">
        <v>1</v>
      </c>
      <c r="AG1162">
        <v>0</v>
      </c>
      <c r="AH1162">
        <v>1</v>
      </c>
      <c r="AI1162">
        <v>0</v>
      </c>
      <c r="AJ1162">
        <v>0</v>
      </c>
    </row>
    <row r="1163" spans="1:36">
      <c r="A1163" t="s">
        <v>1342</v>
      </c>
      <c r="B1163">
        <v>68.94</v>
      </c>
      <c r="C1163" s="7">
        <v>46127.079861111109</v>
      </c>
      <c r="D1163" s="7">
        <v>46129.952427407407</v>
      </c>
      <c r="E1163" t="s">
        <v>23</v>
      </c>
      <c r="F1163" t="s">
        <v>50</v>
      </c>
      <c r="G1163" t="s">
        <v>25</v>
      </c>
      <c r="H1163" t="s">
        <v>26</v>
      </c>
      <c r="I1163" t="s">
        <v>42</v>
      </c>
      <c r="J1163" t="s">
        <v>28</v>
      </c>
      <c r="K1163" t="s">
        <v>37</v>
      </c>
      <c r="L1163" t="s">
        <v>68</v>
      </c>
      <c r="M1163">
        <v>111</v>
      </c>
      <c r="N1163">
        <v>3</v>
      </c>
      <c r="O1163">
        <v>1</v>
      </c>
      <c r="P1163">
        <v>6</v>
      </c>
      <c r="Q1163" t="s">
        <v>31</v>
      </c>
      <c r="R1163">
        <v>120</v>
      </c>
      <c r="S1163">
        <v>24</v>
      </c>
      <c r="T1163" t="s">
        <v>63</v>
      </c>
      <c r="U1163" t="s">
        <v>31</v>
      </c>
      <c r="V1163">
        <v>2026</v>
      </c>
      <c r="W1163">
        <v>4</v>
      </c>
      <c r="X1163" t="s">
        <v>1412</v>
      </c>
      <c r="Y1163" s="6">
        <v>46113</v>
      </c>
      <c r="Z1163" t="s">
        <v>1418</v>
      </c>
      <c r="AA1163" t="s">
        <v>63</v>
      </c>
      <c r="AB1163" t="s">
        <v>63</v>
      </c>
      <c r="AC1163" t="s">
        <v>23</v>
      </c>
      <c r="AD1163">
        <v>1</v>
      </c>
      <c r="AE1163">
        <v>0</v>
      </c>
      <c r="AF1163">
        <v>1</v>
      </c>
      <c r="AG1163">
        <v>1</v>
      </c>
      <c r="AH1163">
        <v>0</v>
      </c>
      <c r="AI1163">
        <v>1</v>
      </c>
      <c r="AJ1163">
        <v>0</v>
      </c>
    </row>
    <row r="1164" spans="1:36">
      <c r="A1164" t="s">
        <v>1343</v>
      </c>
      <c r="B1164">
        <v>17.329999999999998</v>
      </c>
      <c r="C1164" s="7">
        <v>46046.834722222222</v>
      </c>
      <c r="D1164" s="7">
        <v>46047.556906423612</v>
      </c>
      <c r="E1164" t="s">
        <v>23</v>
      </c>
      <c r="F1164" t="s">
        <v>40</v>
      </c>
      <c r="G1164" t="s">
        <v>65</v>
      </c>
      <c r="H1164" t="s">
        <v>34</v>
      </c>
      <c r="I1164" t="s">
        <v>27</v>
      </c>
      <c r="J1164" t="s">
        <v>36</v>
      </c>
      <c r="K1164" t="s">
        <v>58</v>
      </c>
      <c r="L1164" t="s">
        <v>55</v>
      </c>
      <c r="M1164">
        <v>20</v>
      </c>
      <c r="N1164">
        <v>4</v>
      </c>
      <c r="O1164">
        <v>0</v>
      </c>
      <c r="P1164">
        <v>4</v>
      </c>
      <c r="Q1164" t="s">
        <v>63</v>
      </c>
      <c r="R1164">
        <v>30</v>
      </c>
      <c r="S1164">
        <v>8</v>
      </c>
      <c r="T1164" t="s">
        <v>63</v>
      </c>
      <c r="U1164" t="s">
        <v>31</v>
      </c>
      <c r="V1164">
        <v>2026</v>
      </c>
      <c r="W1164">
        <v>1</v>
      </c>
      <c r="X1164" t="s">
        <v>1414</v>
      </c>
      <c r="Y1164" s="6">
        <v>46023</v>
      </c>
      <c r="Z1164" t="s">
        <v>1413</v>
      </c>
      <c r="AA1164" t="s">
        <v>31</v>
      </c>
      <c r="AB1164" t="s">
        <v>63</v>
      </c>
      <c r="AC1164" t="s">
        <v>23</v>
      </c>
      <c r="AD1164">
        <v>1</v>
      </c>
      <c r="AE1164">
        <v>0</v>
      </c>
      <c r="AF1164">
        <v>1</v>
      </c>
      <c r="AG1164">
        <v>0</v>
      </c>
      <c r="AH1164">
        <v>1</v>
      </c>
      <c r="AI1164">
        <v>1</v>
      </c>
      <c r="AJ1164">
        <v>0</v>
      </c>
    </row>
    <row r="1165" spans="1:36">
      <c r="A1165" t="s">
        <v>1344</v>
      </c>
      <c r="B1165">
        <v>45.52</v>
      </c>
      <c r="C1165" s="7">
        <v>46131.019444444442</v>
      </c>
      <c r="D1165" s="7">
        <v>46132.916303217593</v>
      </c>
      <c r="E1165" t="s">
        <v>23</v>
      </c>
      <c r="F1165" t="s">
        <v>50</v>
      </c>
      <c r="G1165" t="s">
        <v>25</v>
      </c>
      <c r="H1165" t="s">
        <v>34</v>
      </c>
      <c r="I1165" t="s">
        <v>27</v>
      </c>
      <c r="J1165" t="s">
        <v>48</v>
      </c>
      <c r="K1165" t="s">
        <v>37</v>
      </c>
      <c r="L1165" t="s">
        <v>38</v>
      </c>
      <c r="M1165">
        <v>103</v>
      </c>
      <c r="N1165">
        <v>4</v>
      </c>
      <c r="O1165">
        <v>0</v>
      </c>
      <c r="P1165">
        <v>5</v>
      </c>
      <c r="Q1165" t="s">
        <v>31</v>
      </c>
      <c r="R1165">
        <v>120</v>
      </c>
      <c r="S1165">
        <v>24</v>
      </c>
      <c r="T1165" t="s">
        <v>63</v>
      </c>
      <c r="U1165" t="s">
        <v>31</v>
      </c>
      <c r="V1165">
        <v>2026</v>
      </c>
      <c r="W1165">
        <v>4</v>
      </c>
      <c r="X1165" t="s">
        <v>1412</v>
      </c>
      <c r="Y1165" s="6">
        <v>46113</v>
      </c>
      <c r="Z1165" t="s">
        <v>1413</v>
      </c>
      <c r="AA1165" t="s">
        <v>31</v>
      </c>
      <c r="AB1165" t="s">
        <v>63</v>
      </c>
      <c r="AC1165" t="s">
        <v>23</v>
      </c>
      <c r="AD1165">
        <v>1</v>
      </c>
      <c r="AE1165">
        <v>0</v>
      </c>
      <c r="AF1165">
        <v>1</v>
      </c>
      <c r="AG1165">
        <v>0</v>
      </c>
      <c r="AH1165">
        <v>0</v>
      </c>
      <c r="AI1165">
        <v>1</v>
      </c>
      <c r="AJ1165">
        <v>0</v>
      </c>
    </row>
    <row r="1166" spans="1:36">
      <c r="A1166" t="s">
        <v>1345</v>
      </c>
      <c r="B1166">
        <v>92.07</v>
      </c>
      <c r="C1166" s="7">
        <v>46139.811111111114</v>
      </c>
      <c r="D1166" s="7">
        <v>46143.647158356478</v>
      </c>
      <c r="E1166" t="s">
        <v>23</v>
      </c>
      <c r="F1166" t="s">
        <v>50</v>
      </c>
      <c r="G1166" t="s">
        <v>25</v>
      </c>
      <c r="H1166" t="s">
        <v>54</v>
      </c>
      <c r="I1166" t="s">
        <v>42</v>
      </c>
      <c r="J1166" t="s">
        <v>36</v>
      </c>
      <c r="K1166" t="s">
        <v>37</v>
      </c>
      <c r="L1166" t="s">
        <v>44</v>
      </c>
      <c r="M1166">
        <v>59</v>
      </c>
      <c r="N1166">
        <v>4</v>
      </c>
      <c r="O1166">
        <v>0</v>
      </c>
      <c r="P1166">
        <v>9</v>
      </c>
      <c r="Q1166" t="s">
        <v>63</v>
      </c>
      <c r="R1166">
        <v>120</v>
      </c>
      <c r="S1166">
        <v>24</v>
      </c>
      <c r="T1166" t="s">
        <v>63</v>
      </c>
      <c r="U1166" t="s">
        <v>31</v>
      </c>
      <c r="V1166">
        <v>2026</v>
      </c>
      <c r="W1166">
        <v>4</v>
      </c>
      <c r="X1166" t="s">
        <v>1412</v>
      </c>
      <c r="Y1166" s="6">
        <v>46113</v>
      </c>
      <c r="Z1166" t="s">
        <v>1413</v>
      </c>
      <c r="AA1166" t="s">
        <v>31</v>
      </c>
      <c r="AB1166" t="s">
        <v>63</v>
      </c>
      <c r="AC1166" t="s">
        <v>23</v>
      </c>
      <c r="AD1166">
        <v>1</v>
      </c>
      <c r="AE1166">
        <v>0</v>
      </c>
      <c r="AF1166">
        <v>1</v>
      </c>
      <c r="AG1166">
        <v>0</v>
      </c>
      <c r="AH1166">
        <v>1</v>
      </c>
      <c r="AI1166">
        <v>1</v>
      </c>
      <c r="AJ1166">
        <v>0</v>
      </c>
    </row>
    <row r="1167" spans="1:36">
      <c r="A1167" t="s">
        <v>1346</v>
      </c>
      <c r="B1167">
        <v>7.52</v>
      </c>
      <c r="C1167" s="7">
        <v>46263.948611111111</v>
      </c>
      <c r="D1167" s="7">
        <v>46264.261924606479</v>
      </c>
      <c r="E1167" t="s">
        <v>23</v>
      </c>
      <c r="F1167" t="s">
        <v>24</v>
      </c>
      <c r="G1167" t="s">
        <v>25</v>
      </c>
      <c r="H1167" t="s">
        <v>34</v>
      </c>
      <c r="I1167" t="s">
        <v>42</v>
      </c>
      <c r="J1167" t="s">
        <v>28</v>
      </c>
      <c r="K1167" t="s">
        <v>76</v>
      </c>
      <c r="L1167" t="s">
        <v>101</v>
      </c>
      <c r="M1167">
        <v>22</v>
      </c>
      <c r="N1167">
        <v>5</v>
      </c>
      <c r="O1167">
        <v>0</v>
      </c>
      <c r="P1167">
        <v>7</v>
      </c>
      <c r="Q1167" t="s">
        <v>31</v>
      </c>
      <c r="R1167">
        <v>15</v>
      </c>
      <c r="S1167">
        <v>4</v>
      </c>
      <c r="T1167" t="s">
        <v>31</v>
      </c>
      <c r="U1167" t="s">
        <v>31</v>
      </c>
      <c r="V1167">
        <v>2026</v>
      </c>
      <c r="W1167">
        <v>8</v>
      </c>
      <c r="X1167" t="s">
        <v>1417</v>
      </c>
      <c r="Y1167" s="6">
        <v>46235</v>
      </c>
      <c r="Z1167" t="s">
        <v>1413</v>
      </c>
      <c r="AA1167" t="s">
        <v>31</v>
      </c>
      <c r="AB1167" t="s">
        <v>63</v>
      </c>
      <c r="AC1167" t="s">
        <v>23</v>
      </c>
      <c r="AD1167">
        <v>1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</row>
    <row r="1168" spans="1:36">
      <c r="A1168" t="s">
        <v>1347</v>
      </c>
      <c r="B1168">
        <v>102.65</v>
      </c>
      <c r="C1168" s="7">
        <v>46187.748611111114</v>
      </c>
      <c r="D1168" s="7">
        <v>46192.025706932873</v>
      </c>
      <c r="E1168" t="s">
        <v>23</v>
      </c>
      <c r="F1168" t="s">
        <v>33</v>
      </c>
      <c r="G1168" t="s">
        <v>65</v>
      </c>
      <c r="H1168" t="s">
        <v>26</v>
      </c>
      <c r="I1168" t="s">
        <v>42</v>
      </c>
      <c r="J1168" t="s">
        <v>43</v>
      </c>
      <c r="K1168" t="s">
        <v>37</v>
      </c>
      <c r="L1168" t="s">
        <v>62</v>
      </c>
      <c r="M1168">
        <v>97</v>
      </c>
      <c r="N1168">
        <v>4</v>
      </c>
      <c r="O1168">
        <v>0</v>
      </c>
      <c r="P1168">
        <v>2</v>
      </c>
      <c r="Q1168" t="s">
        <v>31</v>
      </c>
      <c r="R1168">
        <v>240</v>
      </c>
      <c r="S1168">
        <v>48</v>
      </c>
      <c r="T1168" t="s">
        <v>63</v>
      </c>
      <c r="U1168" t="s">
        <v>31</v>
      </c>
      <c r="V1168">
        <v>2026</v>
      </c>
      <c r="W1168">
        <v>6</v>
      </c>
      <c r="X1168" t="s">
        <v>1421</v>
      </c>
      <c r="Y1168" s="6">
        <v>46174</v>
      </c>
      <c r="Z1168" t="s">
        <v>1413</v>
      </c>
      <c r="AA1168" t="s">
        <v>31</v>
      </c>
      <c r="AB1168" t="s">
        <v>63</v>
      </c>
      <c r="AC1168" t="s">
        <v>23</v>
      </c>
      <c r="AD1168">
        <v>1</v>
      </c>
      <c r="AE1168">
        <v>0</v>
      </c>
      <c r="AF1168">
        <v>1</v>
      </c>
      <c r="AG1168">
        <v>0</v>
      </c>
      <c r="AH1168">
        <v>0</v>
      </c>
      <c r="AI1168">
        <v>1</v>
      </c>
      <c r="AJ1168">
        <v>0</v>
      </c>
    </row>
    <row r="1169" spans="1:36">
      <c r="A1169" t="s">
        <v>1348</v>
      </c>
      <c r="B1169">
        <v>11.69</v>
      </c>
      <c r="C1169" s="7">
        <v>46085.786805555559</v>
      </c>
      <c r="D1169" s="7">
        <v>46086.27383716435</v>
      </c>
      <c r="E1169" t="s">
        <v>23</v>
      </c>
      <c r="F1169" t="s">
        <v>50</v>
      </c>
      <c r="G1169" t="s">
        <v>51</v>
      </c>
      <c r="H1169" t="s">
        <v>54</v>
      </c>
      <c r="I1169" t="s">
        <v>35</v>
      </c>
      <c r="J1169" t="s">
        <v>48</v>
      </c>
      <c r="K1169" t="s">
        <v>29</v>
      </c>
      <c r="L1169" t="s">
        <v>30</v>
      </c>
      <c r="M1169">
        <v>76</v>
      </c>
      <c r="N1169">
        <v>4</v>
      </c>
      <c r="O1169">
        <v>0</v>
      </c>
      <c r="P1169">
        <v>2</v>
      </c>
      <c r="Q1169" t="s">
        <v>31</v>
      </c>
      <c r="R1169">
        <v>120</v>
      </c>
      <c r="S1169">
        <v>24</v>
      </c>
      <c r="T1169" t="s">
        <v>63</v>
      </c>
      <c r="U1169" t="s">
        <v>63</v>
      </c>
      <c r="V1169">
        <v>2026</v>
      </c>
      <c r="W1169">
        <v>3</v>
      </c>
      <c r="X1169" t="s">
        <v>1423</v>
      </c>
      <c r="Y1169" s="6">
        <v>46082</v>
      </c>
      <c r="Z1169" t="s">
        <v>1413</v>
      </c>
      <c r="AA1169" t="s">
        <v>31</v>
      </c>
      <c r="AB1169" t="s">
        <v>63</v>
      </c>
      <c r="AC1169" t="s">
        <v>23</v>
      </c>
      <c r="AD1169">
        <v>1</v>
      </c>
      <c r="AE1169">
        <v>0</v>
      </c>
      <c r="AF1169">
        <v>1</v>
      </c>
      <c r="AG1169">
        <v>0</v>
      </c>
      <c r="AH1169">
        <v>0</v>
      </c>
      <c r="AI1169">
        <v>1</v>
      </c>
      <c r="AJ1169">
        <v>1</v>
      </c>
    </row>
    <row r="1170" spans="1:36">
      <c r="A1170" t="s">
        <v>1349</v>
      </c>
      <c r="B1170">
        <v>47.35</v>
      </c>
      <c r="C1170" s="7">
        <v>46264.63958333333</v>
      </c>
      <c r="D1170" s="7">
        <v>46266.612333645833</v>
      </c>
      <c r="E1170" t="s">
        <v>23</v>
      </c>
      <c r="F1170" t="s">
        <v>50</v>
      </c>
      <c r="G1170" t="s">
        <v>51</v>
      </c>
      <c r="H1170" t="s">
        <v>26</v>
      </c>
      <c r="I1170" t="s">
        <v>35</v>
      </c>
      <c r="J1170" t="s">
        <v>43</v>
      </c>
      <c r="K1170" t="s">
        <v>37</v>
      </c>
      <c r="L1170" t="s">
        <v>55</v>
      </c>
      <c r="M1170">
        <v>95</v>
      </c>
      <c r="N1170">
        <v>3</v>
      </c>
      <c r="O1170">
        <v>1</v>
      </c>
      <c r="P1170">
        <v>8</v>
      </c>
      <c r="Q1170" t="s">
        <v>31</v>
      </c>
      <c r="R1170">
        <v>120</v>
      </c>
      <c r="S1170">
        <v>24</v>
      </c>
      <c r="T1170" t="s">
        <v>63</v>
      </c>
      <c r="U1170" t="s">
        <v>31</v>
      </c>
      <c r="V1170">
        <v>2026</v>
      </c>
      <c r="W1170">
        <v>8</v>
      </c>
      <c r="X1170" t="s">
        <v>1417</v>
      </c>
      <c r="Y1170" s="6">
        <v>46235</v>
      </c>
      <c r="Z1170" t="s">
        <v>1418</v>
      </c>
      <c r="AA1170" t="s">
        <v>63</v>
      </c>
      <c r="AB1170" t="s">
        <v>63</v>
      </c>
      <c r="AC1170" t="s">
        <v>23</v>
      </c>
      <c r="AD1170">
        <v>1</v>
      </c>
      <c r="AE1170">
        <v>0</v>
      </c>
      <c r="AF1170">
        <v>1</v>
      </c>
      <c r="AG1170">
        <v>1</v>
      </c>
      <c r="AH1170">
        <v>0</v>
      </c>
      <c r="AI1170">
        <v>1</v>
      </c>
      <c r="AJ1170">
        <v>0</v>
      </c>
    </row>
    <row r="1171" spans="1:36">
      <c r="A1171" t="s">
        <v>1350</v>
      </c>
      <c r="B1171">
        <v>20.25</v>
      </c>
      <c r="C1171" s="7">
        <v>46242.706944444442</v>
      </c>
      <c r="D1171" s="7">
        <v>46243.550689837961</v>
      </c>
      <c r="E1171" t="s">
        <v>23</v>
      </c>
      <c r="F1171" t="s">
        <v>40</v>
      </c>
      <c r="G1171" t="s">
        <v>51</v>
      </c>
      <c r="H1171" t="s">
        <v>34</v>
      </c>
      <c r="I1171" t="s">
        <v>35</v>
      </c>
      <c r="J1171" t="s">
        <v>36</v>
      </c>
      <c r="K1171" t="s">
        <v>52</v>
      </c>
      <c r="L1171" t="s">
        <v>101</v>
      </c>
      <c r="M1171">
        <v>58</v>
      </c>
      <c r="N1171">
        <v>4</v>
      </c>
      <c r="O1171">
        <v>0</v>
      </c>
      <c r="P1171">
        <v>7</v>
      </c>
      <c r="Q1171" t="s">
        <v>63</v>
      </c>
      <c r="R1171">
        <v>30</v>
      </c>
      <c r="S1171">
        <v>8</v>
      </c>
      <c r="T1171" t="s">
        <v>31</v>
      </c>
      <c r="U1171" t="s">
        <v>31</v>
      </c>
      <c r="V1171">
        <v>2026</v>
      </c>
      <c r="W1171">
        <v>8</v>
      </c>
      <c r="X1171" t="s">
        <v>1417</v>
      </c>
      <c r="Y1171" s="6">
        <v>46235</v>
      </c>
      <c r="Z1171" t="s">
        <v>1413</v>
      </c>
      <c r="AA1171" t="s">
        <v>31</v>
      </c>
      <c r="AB1171" t="s">
        <v>63</v>
      </c>
      <c r="AC1171" t="s">
        <v>23</v>
      </c>
      <c r="AD1171">
        <v>1</v>
      </c>
      <c r="AE1171">
        <v>0</v>
      </c>
      <c r="AF1171">
        <v>1</v>
      </c>
      <c r="AG1171">
        <v>0</v>
      </c>
      <c r="AH1171">
        <v>1</v>
      </c>
      <c r="AI1171">
        <v>0</v>
      </c>
      <c r="AJ1171">
        <v>0</v>
      </c>
    </row>
    <row r="1172" spans="1:36">
      <c r="A1172" t="s">
        <v>1351</v>
      </c>
      <c r="B1172">
        <v>41.37</v>
      </c>
      <c r="C1172" s="7">
        <v>46204.307638888888</v>
      </c>
      <c r="D1172" s="7">
        <v>46206.031468067129</v>
      </c>
      <c r="E1172" t="s">
        <v>23</v>
      </c>
      <c r="F1172" t="s">
        <v>33</v>
      </c>
      <c r="G1172" t="s">
        <v>51</v>
      </c>
      <c r="H1172" t="s">
        <v>26</v>
      </c>
      <c r="I1172" t="s">
        <v>42</v>
      </c>
      <c r="J1172" t="s">
        <v>48</v>
      </c>
      <c r="K1172" t="s">
        <v>52</v>
      </c>
      <c r="L1172" t="s">
        <v>93</v>
      </c>
      <c r="M1172">
        <v>286</v>
      </c>
      <c r="N1172">
        <v>3</v>
      </c>
      <c r="O1172">
        <v>0</v>
      </c>
      <c r="P1172">
        <v>12</v>
      </c>
      <c r="Q1172" t="s">
        <v>63</v>
      </c>
      <c r="R1172">
        <v>240</v>
      </c>
      <c r="S1172">
        <v>48</v>
      </c>
      <c r="T1172" t="s">
        <v>31</v>
      </c>
      <c r="U1172" t="s">
        <v>63</v>
      </c>
      <c r="V1172">
        <v>2026</v>
      </c>
      <c r="W1172">
        <v>7</v>
      </c>
      <c r="X1172" t="s">
        <v>1422</v>
      </c>
      <c r="Y1172" s="6">
        <v>46204</v>
      </c>
      <c r="Z1172" t="s">
        <v>1418</v>
      </c>
      <c r="AA1172" t="s">
        <v>31</v>
      </c>
      <c r="AB1172" t="s">
        <v>63</v>
      </c>
      <c r="AC1172" t="s">
        <v>23</v>
      </c>
      <c r="AD1172">
        <v>1</v>
      </c>
      <c r="AE1172">
        <v>0</v>
      </c>
      <c r="AF1172">
        <v>1</v>
      </c>
      <c r="AG1172">
        <v>0</v>
      </c>
      <c r="AH1172">
        <v>1</v>
      </c>
      <c r="AI1172">
        <v>0</v>
      </c>
      <c r="AJ1172">
        <v>1</v>
      </c>
    </row>
    <row r="1173" spans="1:36">
      <c r="A1173" t="s">
        <v>1352</v>
      </c>
      <c r="B1173">
        <v>8.7100000000000009</v>
      </c>
      <c r="C1173" s="7">
        <v>46106.059027777781</v>
      </c>
      <c r="D1173" s="7">
        <v>46106.422003738429</v>
      </c>
      <c r="E1173" t="s">
        <v>23</v>
      </c>
      <c r="F1173" t="s">
        <v>50</v>
      </c>
      <c r="G1173" t="s">
        <v>51</v>
      </c>
      <c r="H1173" t="s">
        <v>54</v>
      </c>
      <c r="I1173" t="s">
        <v>42</v>
      </c>
      <c r="J1173" t="s">
        <v>28</v>
      </c>
      <c r="K1173" t="s">
        <v>29</v>
      </c>
      <c r="L1173" t="s">
        <v>55</v>
      </c>
      <c r="M1173">
        <v>99</v>
      </c>
      <c r="N1173">
        <v>4</v>
      </c>
      <c r="O1173">
        <v>0</v>
      </c>
      <c r="P1173">
        <v>7</v>
      </c>
      <c r="Q1173" t="s">
        <v>31</v>
      </c>
      <c r="R1173">
        <v>120</v>
      </c>
      <c r="S1173">
        <v>24</v>
      </c>
      <c r="T1173" t="s">
        <v>63</v>
      </c>
      <c r="U1173" t="s">
        <v>63</v>
      </c>
      <c r="V1173">
        <v>2026</v>
      </c>
      <c r="W1173">
        <v>3</v>
      </c>
      <c r="X1173" t="s">
        <v>1423</v>
      </c>
      <c r="Y1173" s="6">
        <v>46082</v>
      </c>
      <c r="Z1173" t="s">
        <v>1413</v>
      </c>
      <c r="AA1173" t="s">
        <v>31</v>
      </c>
      <c r="AB1173" t="s">
        <v>63</v>
      </c>
      <c r="AC1173" t="s">
        <v>23</v>
      </c>
      <c r="AD1173">
        <v>1</v>
      </c>
      <c r="AE1173">
        <v>0</v>
      </c>
      <c r="AF1173">
        <v>1</v>
      </c>
      <c r="AG1173">
        <v>0</v>
      </c>
      <c r="AH1173">
        <v>0</v>
      </c>
      <c r="AI1173">
        <v>1</v>
      </c>
      <c r="AJ1173">
        <v>1</v>
      </c>
    </row>
    <row r="1174" spans="1:36">
      <c r="A1174" t="s">
        <v>1353</v>
      </c>
      <c r="B1174">
        <v>17.809999999999999</v>
      </c>
      <c r="C1174" s="7">
        <v>46060.237500000003</v>
      </c>
      <c r="D1174" s="7">
        <v>46060.979769861115</v>
      </c>
      <c r="E1174" t="s">
        <v>23</v>
      </c>
      <c r="F1174" t="s">
        <v>50</v>
      </c>
      <c r="G1174" t="s">
        <v>25</v>
      </c>
      <c r="H1174" t="s">
        <v>66</v>
      </c>
      <c r="I1174" t="s">
        <v>42</v>
      </c>
      <c r="J1174" t="s">
        <v>43</v>
      </c>
      <c r="K1174" t="s">
        <v>29</v>
      </c>
      <c r="L1174" t="s">
        <v>30</v>
      </c>
      <c r="M1174">
        <v>127</v>
      </c>
      <c r="N1174">
        <v>3</v>
      </c>
      <c r="O1174">
        <v>2</v>
      </c>
      <c r="P1174">
        <v>11</v>
      </c>
      <c r="Q1174" t="s">
        <v>31</v>
      </c>
      <c r="R1174">
        <v>120</v>
      </c>
      <c r="S1174">
        <v>24</v>
      </c>
      <c r="T1174" t="s">
        <v>31</v>
      </c>
      <c r="U1174" t="s">
        <v>63</v>
      </c>
      <c r="V1174">
        <v>2026</v>
      </c>
      <c r="W1174">
        <v>2</v>
      </c>
      <c r="X1174" t="s">
        <v>1419</v>
      </c>
      <c r="Y1174" s="6">
        <v>46054</v>
      </c>
      <c r="Z1174" t="s">
        <v>1418</v>
      </c>
      <c r="AA1174" t="s">
        <v>63</v>
      </c>
      <c r="AB1174" t="s">
        <v>63</v>
      </c>
      <c r="AC1174" t="s">
        <v>23</v>
      </c>
      <c r="AD1174">
        <v>1</v>
      </c>
      <c r="AE1174">
        <v>0</v>
      </c>
      <c r="AF1174">
        <v>1</v>
      </c>
      <c r="AG1174">
        <v>1</v>
      </c>
      <c r="AH1174">
        <v>0</v>
      </c>
      <c r="AI1174">
        <v>0</v>
      </c>
      <c r="AJ1174">
        <v>1</v>
      </c>
    </row>
    <row r="1175" spans="1:36">
      <c r="A1175" t="s">
        <v>1354</v>
      </c>
      <c r="B1175">
        <v>47.69</v>
      </c>
      <c r="C1175" s="7">
        <v>46179.758333333331</v>
      </c>
      <c r="D1175" s="7">
        <v>46181.745293553242</v>
      </c>
      <c r="E1175" t="s">
        <v>23</v>
      </c>
      <c r="F1175" t="s">
        <v>33</v>
      </c>
      <c r="G1175" t="s">
        <v>51</v>
      </c>
      <c r="H1175" t="s">
        <v>34</v>
      </c>
      <c r="I1175" t="s">
        <v>35</v>
      </c>
      <c r="J1175" t="s">
        <v>43</v>
      </c>
      <c r="K1175" t="s">
        <v>37</v>
      </c>
      <c r="L1175" t="s">
        <v>38</v>
      </c>
      <c r="M1175">
        <v>157</v>
      </c>
      <c r="N1175">
        <v>4</v>
      </c>
      <c r="O1175">
        <v>0</v>
      </c>
      <c r="P1175">
        <v>3</v>
      </c>
      <c r="Q1175" t="s">
        <v>31</v>
      </c>
      <c r="R1175">
        <v>240</v>
      </c>
      <c r="S1175">
        <v>48</v>
      </c>
      <c r="T1175" t="s">
        <v>63</v>
      </c>
      <c r="U1175" t="s">
        <v>63</v>
      </c>
      <c r="V1175">
        <v>2026</v>
      </c>
      <c r="W1175">
        <v>6</v>
      </c>
      <c r="X1175" t="s">
        <v>1421</v>
      </c>
      <c r="Y1175" s="6">
        <v>46174</v>
      </c>
      <c r="Z1175" t="s">
        <v>1413</v>
      </c>
      <c r="AA1175" t="s">
        <v>31</v>
      </c>
      <c r="AB1175" t="s">
        <v>63</v>
      </c>
      <c r="AC1175" t="s">
        <v>23</v>
      </c>
      <c r="AD1175">
        <v>1</v>
      </c>
      <c r="AE1175">
        <v>0</v>
      </c>
      <c r="AF1175">
        <v>1</v>
      </c>
      <c r="AG1175">
        <v>0</v>
      </c>
      <c r="AH1175">
        <v>0</v>
      </c>
      <c r="AI1175">
        <v>1</v>
      </c>
      <c r="AJ1175">
        <v>1</v>
      </c>
    </row>
    <row r="1176" spans="1:36">
      <c r="A1176" t="s">
        <v>1355</v>
      </c>
      <c r="C1176" s="7">
        <v>46229.592361111114</v>
      </c>
      <c r="D1176" s="7"/>
      <c r="E1176" t="s">
        <v>74</v>
      </c>
      <c r="F1176" t="s">
        <v>40</v>
      </c>
      <c r="G1176" t="s">
        <v>25</v>
      </c>
      <c r="H1176" t="s">
        <v>26</v>
      </c>
      <c r="I1176" t="s">
        <v>35</v>
      </c>
      <c r="J1176" t="s">
        <v>43</v>
      </c>
      <c r="K1176" t="s">
        <v>52</v>
      </c>
      <c r="L1176" t="s">
        <v>38</v>
      </c>
      <c r="M1176">
        <v>39</v>
      </c>
      <c r="O1176">
        <v>0</v>
      </c>
      <c r="P1176">
        <v>2</v>
      </c>
      <c r="Q1176" t="s">
        <v>31</v>
      </c>
      <c r="R1176">
        <v>30</v>
      </c>
      <c r="S1176">
        <v>8</v>
      </c>
      <c r="T1176" t="s">
        <v>31</v>
      </c>
      <c r="U1176" t="s">
        <v>74</v>
      </c>
      <c r="V1176">
        <v>2026</v>
      </c>
      <c r="W1176">
        <v>7</v>
      </c>
      <c r="X1176" t="s">
        <v>1422</v>
      </c>
      <c r="Y1176" s="6">
        <v>46204</v>
      </c>
      <c r="Z1176" t="s">
        <v>1420</v>
      </c>
      <c r="AA1176" t="s">
        <v>31</v>
      </c>
      <c r="AB1176" t="s">
        <v>31</v>
      </c>
      <c r="AC1176" t="s">
        <v>74</v>
      </c>
      <c r="AD1176">
        <v>1</v>
      </c>
      <c r="AE1176">
        <v>1</v>
      </c>
      <c r="AF1176">
        <v>0</v>
      </c>
      <c r="AG1176">
        <v>0</v>
      </c>
      <c r="AH1176">
        <v>0</v>
      </c>
      <c r="AI1176">
        <v>0</v>
      </c>
    </row>
    <row r="1177" spans="1:36">
      <c r="A1177" t="s">
        <v>1356</v>
      </c>
      <c r="B1177">
        <v>14.83</v>
      </c>
      <c r="C1177" s="7">
        <v>46172.652083333334</v>
      </c>
      <c r="D1177" s="7">
        <v>46173.26987478009</v>
      </c>
      <c r="E1177" t="s">
        <v>23</v>
      </c>
      <c r="F1177" t="s">
        <v>50</v>
      </c>
      <c r="G1177" t="s">
        <v>25</v>
      </c>
      <c r="H1177" t="s">
        <v>26</v>
      </c>
      <c r="I1177" t="s">
        <v>35</v>
      </c>
      <c r="J1177" t="s">
        <v>43</v>
      </c>
      <c r="K1177" t="s">
        <v>29</v>
      </c>
      <c r="L1177" t="s">
        <v>85</v>
      </c>
      <c r="M1177">
        <v>213</v>
      </c>
      <c r="N1177">
        <v>4</v>
      </c>
      <c r="O1177">
        <v>0</v>
      </c>
      <c r="P1177">
        <v>3</v>
      </c>
      <c r="Q1177" t="s">
        <v>31</v>
      </c>
      <c r="R1177">
        <v>120</v>
      </c>
      <c r="S1177">
        <v>24</v>
      </c>
      <c r="T1177" t="s">
        <v>31</v>
      </c>
      <c r="U1177" t="s">
        <v>63</v>
      </c>
      <c r="V1177">
        <v>2026</v>
      </c>
      <c r="W1177">
        <v>5</v>
      </c>
      <c r="X1177" t="s">
        <v>1416</v>
      </c>
      <c r="Y1177" s="6">
        <v>46143</v>
      </c>
      <c r="Z1177" t="s">
        <v>1413</v>
      </c>
      <c r="AA1177" t="s">
        <v>31</v>
      </c>
      <c r="AB1177" t="s">
        <v>63</v>
      </c>
      <c r="AC1177" t="s">
        <v>23</v>
      </c>
      <c r="AD1177">
        <v>1</v>
      </c>
      <c r="AE1177">
        <v>0</v>
      </c>
      <c r="AF1177">
        <v>1</v>
      </c>
      <c r="AG1177">
        <v>0</v>
      </c>
      <c r="AH1177">
        <v>0</v>
      </c>
      <c r="AI1177">
        <v>0</v>
      </c>
      <c r="AJ1177">
        <v>1</v>
      </c>
    </row>
    <row r="1178" spans="1:36">
      <c r="A1178" t="s">
        <v>1357</v>
      </c>
      <c r="B1178">
        <v>10.39</v>
      </c>
      <c r="C1178" s="7">
        <v>46134.215277777781</v>
      </c>
      <c r="D1178" s="7">
        <v>46134.648247743055</v>
      </c>
      <c r="E1178" t="s">
        <v>23</v>
      </c>
      <c r="F1178" t="s">
        <v>40</v>
      </c>
      <c r="G1178" t="s">
        <v>65</v>
      </c>
      <c r="H1178" t="s">
        <v>26</v>
      </c>
      <c r="I1178" t="s">
        <v>27</v>
      </c>
      <c r="J1178" t="s">
        <v>48</v>
      </c>
      <c r="K1178" t="s">
        <v>67</v>
      </c>
      <c r="L1178" t="s">
        <v>38</v>
      </c>
      <c r="M1178">
        <v>145</v>
      </c>
      <c r="N1178">
        <v>3</v>
      </c>
      <c r="O1178">
        <v>2</v>
      </c>
      <c r="P1178">
        <v>11</v>
      </c>
      <c r="Q1178" t="s">
        <v>31</v>
      </c>
      <c r="R1178">
        <v>30</v>
      </c>
      <c r="S1178">
        <v>8</v>
      </c>
      <c r="T1178" t="s">
        <v>31</v>
      </c>
      <c r="U1178" t="s">
        <v>31</v>
      </c>
      <c r="V1178">
        <v>2026</v>
      </c>
      <c r="W1178">
        <v>4</v>
      </c>
      <c r="X1178" t="s">
        <v>1412</v>
      </c>
      <c r="Y1178" s="6">
        <v>46113</v>
      </c>
      <c r="Z1178" t="s">
        <v>1418</v>
      </c>
      <c r="AA1178" t="s">
        <v>63</v>
      </c>
      <c r="AB1178" t="s">
        <v>63</v>
      </c>
      <c r="AC1178" t="s">
        <v>23</v>
      </c>
      <c r="AD1178">
        <v>1</v>
      </c>
      <c r="AE1178">
        <v>0</v>
      </c>
      <c r="AF1178">
        <v>1</v>
      </c>
      <c r="AG1178">
        <v>1</v>
      </c>
      <c r="AH1178">
        <v>0</v>
      </c>
      <c r="AI1178">
        <v>0</v>
      </c>
      <c r="AJ1178">
        <v>0</v>
      </c>
    </row>
    <row r="1179" spans="1:36">
      <c r="A1179" t="s">
        <v>1358</v>
      </c>
      <c r="B1179">
        <v>12.01</v>
      </c>
      <c r="C1179" s="7">
        <v>46148.587500000001</v>
      </c>
      <c r="D1179" s="7">
        <v>46149.087993472225</v>
      </c>
      <c r="E1179" t="s">
        <v>23</v>
      </c>
      <c r="F1179" t="s">
        <v>40</v>
      </c>
      <c r="G1179" t="s">
        <v>51</v>
      </c>
      <c r="H1179" t="s">
        <v>66</v>
      </c>
      <c r="I1179" t="s">
        <v>42</v>
      </c>
      <c r="J1179" t="s">
        <v>43</v>
      </c>
      <c r="K1179" t="s">
        <v>52</v>
      </c>
      <c r="L1179" t="s">
        <v>1401</v>
      </c>
      <c r="M1179">
        <v>61</v>
      </c>
      <c r="N1179">
        <v>4</v>
      </c>
      <c r="O1179">
        <v>1</v>
      </c>
      <c r="P1179">
        <v>10</v>
      </c>
      <c r="Q1179" t="s">
        <v>31</v>
      </c>
      <c r="R1179">
        <v>30</v>
      </c>
      <c r="S1179">
        <v>8</v>
      </c>
      <c r="T1179" t="s">
        <v>31</v>
      </c>
      <c r="U1179" t="s">
        <v>31</v>
      </c>
      <c r="V1179">
        <v>2026</v>
      </c>
      <c r="W1179">
        <v>5</v>
      </c>
      <c r="X1179" t="s">
        <v>1416</v>
      </c>
      <c r="Y1179" s="6">
        <v>46143</v>
      </c>
      <c r="Z1179" t="s">
        <v>1413</v>
      </c>
      <c r="AA1179" t="s">
        <v>63</v>
      </c>
      <c r="AB1179" t="s">
        <v>63</v>
      </c>
      <c r="AC1179" t="s">
        <v>23</v>
      </c>
      <c r="AD1179">
        <v>1</v>
      </c>
      <c r="AE1179">
        <v>0</v>
      </c>
      <c r="AF1179">
        <v>1</v>
      </c>
      <c r="AG1179">
        <v>1</v>
      </c>
      <c r="AH1179">
        <v>0</v>
      </c>
      <c r="AI1179">
        <v>0</v>
      </c>
      <c r="AJ1179">
        <v>0</v>
      </c>
    </row>
    <row r="1180" spans="1:36">
      <c r="A1180" t="s">
        <v>1359</v>
      </c>
      <c r="B1180">
        <v>9.92</v>
      </c>
      <c r="C1180" s="7">
        <v>46151.836111111108</v>
      </c>
      <c r="D1180" s="7">
        <v>46152.249465636574</v>
      </c>
      <c r="E1180" t="s">
        <v>23</v>
      </c>
      <c r="F1180" t="s">
        <v>40</v>
      </c>
      <c r="G1180" t="s">
        <v>41</v>
      </c>
      <c r="H1180" t="s">
        <v>26</v>
      </c>
      <c r="I1180" t="s">
        <v>27</v>
      </c>
      <c r="J1180" t="s">
        <v>36</v>
      </c>
      <c r="K1180" t="s">
        <v>37</v>
      </c>
      <c r="L1180" t="s">
        <v>30</v>
      </c>
      <c r="M1180">
        <v>55</v>
      </c>
      <c r="N1180">
        <v>4</v>
      </c>
      <c r="O1180">
        <v>0</v>
      </c>
      <c r="P1180">
        <v>7</v>
      </c>
      <c r="Q1180" t="s">
        <v>31</v>
      </c>
      <c r="R1180">
        <v>30</v>
      </c>
      <c r="S1180">
        <v>8</v>
      </c>
      <c r="T1180" t="s">
        <v>31</v>
      </c>
      <c r="U1180" t="s">
        <v>31</v>
      </c>
      <c r="V1180">
        <v>2026</v>
      </c>
      <c r="W1180">
        <v>5</v>
      </c>
      <c r="X1180" t="s">
        <v>1416</v>
      </c>
      <c r="Y1180" s="6">
        <v>46143</v>
      </c>
      <c r="Z1180" t="s">
        <v>1413</v>
      </c>
      <c r="AA1180" t="s">
        <v>31</v>
      </c>
      <c r="AB1180" t="s">
        <v>63</v>
      </c>
      <c r="AC1180" t="s">
        <v>23</v>
      </c>
      <c r="AD1180">
        <v>1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0</v>
      </c>
    </row>
    <row r="1181" spans="1:36">
      <c r="A1181" t="s">
        <v>1360</v>
      </c>
      <c r="B1181">
        <v>29.17</v>
      </c>
      <c r="C1181" s="7">
        <v>46037.526388888888</v>
      </c>
      <c r="D1181" s="7">
        <v>46038.741740173609</v>
      </c>
      <c r="E1181" t="s">
        <v>23</v>
      </c>
      <c r="F1181" t="s">
        <v>33</v>
      </c>
      <c r="G1181" t="s">
        <v>51</v>
      </c>
      <c r="H1181" t="s">
        <v>54</v>
      </c>
      <c r="I1181" t="s">
        <v>35</v>
      </c>
      <c r="J1181" t="s">
        <v>43</v>
      </c>
      <c r="K1181" t="s">
        <v>37</v>
      </c>
      <c r="L1181" t="s">
        <v>55</v>
      </c>
      <c r="M1181">
        <v>203</v>
      </c>
      <c r="N1181">
        <v>4</v>
      </c>
      <c r="O1181">
        <v>0</v>
      </c>
      <c r="P1181">
        <v>3</v>
      </c>
      <c r="Q1181" t="s">
        <v>31</v>
      </c>
      <c r="R1181">
        <v>240</v>
      </c>
      <c r="S1181">
        <v>48</v>
      </c>
      <c r="T1181" t="s">
        <v>63</v>
      </c>
      <c r="U1181" t="s">
        <v>63</v>
      </c>
      <c r="V1181">
        <v>2026</v>
      </c>
      <c r="W1181">
        <v>1</v>
      </c>
      <c r="X1181" t="s">
        <v>1414</v>
      </c>
      <c r="Y1181" s="6">
        <v>46023</v>
      </c>
      <c r="Z1181" t="s">
        <v>1413</v>
      </c>
      <c r="AA1181" t="s">
        <v>31</v>
      </c>
      <c r="AB1181" t="s">
        <v>63</v>
      </c>
      <c r="AC1181" t="s">
        <v>23</v>
      </c>
      <c r="AD1181">
        <v>1</v>
      </c>
      <c r="AE1181">
        <v>0</v>
      </c>
      <c r="AF1181">
        <v>1</v>
      </c>
      <c r="AG1181">
        <v>0</v>
      </c>
      <c r="AH1181">
        <v>0</v>
      </c>
      <c r="AI1181">
        <v>1</v>
      </c>
      <c r="AJ1181">
        <v>1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C0C7-FEED-4E02-9A67-A81A0AA61C54}">
  <dimension ref="A1:AC40"/>
  <sheetViews>
    <sheetView showGridLines="0" showRowColHeaders="0" tabSelected="1" zoomScale="82" zoomScaleNormal="82" workbookViewId="0">
      <selection activeCell="E7" sqref="E7"/>
    </sheetView>
  </sheetViews>
  <sheetFormatPr defaultRowHeight="14.25"/>
  <cols>
    <col min="2" max="2" width="9" customWidth="1"/>
    <col min="9" max="9" width="9.625" customWidth="1"/>
    <col min="28" max="28" width="13.625" bestFit="1" customWidth="1"/>
  </cols>
  <sheetData>
    <row r="1" spans="1:29" ht="14.25" customHeight="1">
      <c r="A1" s="22" t="s">
        <v>1441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0" t="s">
        <v>1452</v>
      </c>
      <c r="R1" s="21"/>
      <c r="S1" s="21"/>
      <c r="T1" s="21"/>
      <c r="AB1" s="17">
        <f>GETPIVOTDATA("Ticket Flag",Analysis!$A$1)</f>
        <v>1180</v>
      </c>
      <c r="AC1" s="15"/>
    </row>
    <row r="2" spans="1:29" ht="14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1"/>
      <c r="R2" s="21"/>
      <c r="S2" s="21"/>
      <c r="T2" s="21"/>
      <c r="AB2" s="16">
        <f>GETPIVOTDATA("First Response SLA Flag",Analysis!$B$1)</f>
        <v>0.55317324185248717</v>
      </c>
    </row>
    <row r="3" spans="1:29" ht="15">
      <c r="A3" s="23" t="s">
        <v>1442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1"/>
      <c r="S3" s="21"/>
      <c r="T3" s="21"/>
      <c r="AB3" s="3">
        <f>GETPIVOTDATA("Backlog",Analysis!$C$1)</f>
        <v>26</v>
      </c>
    </row>
    <row r="4" spans="1:29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AB4" s="10">
        <f>GETPIVOTDATA("Resolution SLA Flag",Analysis!$D$1)</f>
        <v>0.50175438596491229</v>
      </c>
    </row>
    <row r="5" spans="1:29">
      <c r="B5" s="14"/>
      <c r="C5" s="14"/>
      <c r="D5" s="14"/>
      <c r="F5" s="14"/>
      <c r="G5" s="14"/>
      <c r="H5" s="14"/>
      <c r="J5" s="14"/>
      <c r="K5" s="14"/>
      <c r="L5" s="14"/>
      <c r="N5" s="14"/>
      <c r="O5" s="14"/>
      <c r="P5" s="14"/>
      <c r="Q5" s="14"/>
      <c r="R5" s="14"/>
      <c r="S5" s="14"/>
      <c r="T5" s="14"/>
      <c r="AB5" s="8">
        <f>GETPIVOTDATA("CSAT (1-5)",Analysis!$E$1)</f>
        <v>3.7944006999125111</v>
      </c>
    </row>
    <row r="6" spans="1:29">
      <c r="B6" s="14"/>
      <c r="C6" s="14"/>
      <c r="D6" s="14"/>
      <c r="F6" s="14"/>
      <c r="G6" s="14"/>
      <c r="J6" s="14"/>
      <c r="K6" s="14"/>
      <c r="L6" s="14"/>
      <c r="N6" s="14"/>
      <c r="O6" s="14"/>
      <c r="P6" s="14"/>
      <c r="Q6" s="14"/>
      <c r="R6" s="14"/>
      <c r="S6" s="14"/>
      <c r="T6" s="14"/>
      <c r="AB6" s="19">
        <f>GETPIVOTDATA("Resolution Hours",Analysis!$F$1)</f>
        <v>29.099523396880389</v>
      </c>
    </row>
    <row r="7" spans="1:29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AB7" s="10">
        <f>GETPIVOTDATA("Reopened Flag",Analysis!$G$1)</f>
        <v>0.17542372881355933</v>
      </c>
    </row>
    <row r="8" spans="1:29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AB8" s="18">
        <f>GETPIVOTDATA("First Response Min",Analysis!$J$1)</f>
        <v>134.7584745762712</v>
      </c>
    </row>
    <row r="9" spans="1:2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29">
      <c r="B10" s="14"/>
      <c r="C10" s="14"/>
      <c r="D10" s="14"/>
      <c r="F10" s="14"/>
      <c r="G10" s="14"/>
      <c r="H10" s="14"/>
      <c r="J10" s="14"/>
      <c r="K10" s="14"/>
      <c r="L10" s="14"/>
      <c r="N10" s="14"/>
      <c r="O10" s="14"/>
      <c r="P10" s="14"/>
      <c r="Q10" s="14"/>
      <c r="R10" s="14"/>
      <c r="S10" s="14"/>
      <c r="T10" s="14"/>
    </row>
    <row r="11" spans="1:29">
      <c r="B11" s="14"/>
      <c r="C11" s="14"/>
      <c r="D11" s="14"/>
      <c r="F11" s="14"/>
      <c r="G11" s="14"/>
      <c r="H11" s="14"/>
      <c r="J11" s="14"/>
      <c r="K11" s="14"/>
      <c r="L11" s="14"/>
      <c r="N11" s="14"/>
      <c r="O11" s="14"/>
      <c r="P11" s="14"/>
      <c r="Q11" s="14"/>
      <c r="R11" s="14"/>
      <c r="S11" s="14"/>
      <c r="T11" s="14"/>
    </row>
    <row r="12" spans="1:29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9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9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9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1:29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20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spans="1:20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spans="1:20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spans="1:20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spans="1:20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pans="1:20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1:20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1:20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pans="1:20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0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spans="1:20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spans="1:20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spans="1:20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spans="1:2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</row>
  </sheetData>
  <mergeCells count="3">
    <mergeCell ref="Q1:T3"/>
    <mergeCell ref="A1:P2"/>
    <mergeCell ref="A3:P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95"/>
  <sheetViews>
    <sheetView workbookViewId="0">
      <selection activeCell="J1188" sqref="J1188"/>
    </sheetView>
  </sheetViews>
  <sheetFormatPr defaultRowHeight="14.25"/>
  <cols>
    <col min="1" max="1" width="13" customWidth="1"/>
    <col min="2" max="3" width="19" customWidth="1"/>
    <col min="4" max="4" width="11" customWidth="1"/>
    <col min="5" max="6" width="12" customWidth="1"/>
    <col min="7" max="7" width="13" customWidth="1"/>
    <col min="8" max="8" width="17" customWidth="1"/>
    <col min="9" max="9" width="13" customWidth="1"/>
    <col min="10" max="12" width="18" customWidth="1"/>
    <col min="13" max="13" width="12" customWidth="1"/>
    <col min="14" max="15" width="13" customWidth="1"/>
    <col min="16" max="16" width="11" customWidth="1"/>
  </cols>
  <sheetData>
    <row r="1" spans="1:16" ht="27.95" customHeight="1">
      <c r="A1" s="1" t="s">
        <v>6</v>
      </c>
      <c r="B1" s="5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</row>
    <row r="2" spans="1:16">
      <c r="A2" t="s">
        <v>22</v>
      </c>
      <c r="B2" s="6">
        <v>46124.691666666666</v>
      </c>
      <c r="C2" s="2">
        <v>46124.782308703703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s="3">
        <v>18</v>
      </c>
      <c r="M2" s="3">
        <v>4</v>
      </c>
      <c r="N2">
        <v>0</v>
      </c>
      <c r="O2">
        <v>2</v>
      </c>
      <c r="P2" t="s">
        <v>31</v>
      </c>
    </row>
    <row r="3" spans="1:16">
      <c r="A3" t="s">
        <v>32</v>
      </c>
      <c r="B3" s="6">
        <v>46025.552777777775</v>
      </c>
      <c r="C3" s="2">
        <v>46026.207081504632</v>
      </c>
      <c r="D3" t="s">
        <v>23</v>
      </c>
      <c r="E3" t="s">
        <v>33</v>
      </c>
      <c r="F3" t="s">
        <v>25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s="3">
        <v>384</v>
      </c>
      <c r="M3" s="3">
        <v>2</v>
      </c>
      <c r="N3">
        <v>2</v>
      </c>
      <c r="O3">
        <v>7</v>
      </c>
      <c r="P3" t="s">
        <v>31</v>
      </c>
    </row>
    <row r="4" spans="1:16">
      <c r="A4" t="s">
        <v>39</v>
      </c>
      <c r="B4" s="6">
        <v>46150.624305555553</v>
      </c>
      <c r="C4" s="2">
        <v>46150.906676354163</v>
      </c>
      <c r="D4" t="s">
        <v>23</v>
      </c>
      <c r="E4" t="s">
        <v>40</v>
      </c>
      <c r="F4" t="s">
        <v>41</v>
      </c>
      <c r="G4" t="s">
        <v>26</v>
      </c>
      <c r="H4" t="s">
        <v>42</v>
      </c>
      <c r="I4" t="s">
        <v>43</v>
      </c>
      <c r="J4" t="s">
        <v>37</v>
      </c>
      <c r="K4" t="s">
        <v>44</v>
      </c>
      <c r="L4" s="3">
        <v>42</v>
      </c>
      <c r="M4" s="3">
        <v>4</v>
      </c>
      <c r="N4">
        <v>0</v>
      </c>
      <c r="O4">
        <v>5</v>
      </c>
      <c r="P4" t="s">
        <v>31</v>
      </c>
    </row>
    <row r="5" spans="1:16">
      <c r="A5" t="s">
        <v>45</v>
      </c>
      <c r="B5" s="6" t="s">
        <v>46</v>
      </c>
      <c r="C5" s="2">
        <v>46138.46718738426</v>
      </c>
      <c r="D5" t="s">
        <v>23</v>
      </c>
      <c r="E5" t="s">
        <v>33</v>
      </c>
      <c r="F5" t="s">
        <v>47</v>
      </c>
      <c r="G5" t="s">
        <v>26</v>
      </c>
      <c r="H5" t="s">
        <v>42</v>
      </c>
      <c r="I5" t="s">
        <v>48</v>
      </c>
      <c r="J5" t="s">
        <v>37</v>
      </c>
      <c r="K5" t="s">
        <v>44</v>
      </c>
      <c r="L5" s="3">
        <v>93</v>
      </c>
      <c r="M5" s="3">
        <v>4</v>
      </c>
      <c r="N5">
        <v>0</v>
      </c>
      <c r="O5">
        <v>4</v>
      </c>
      <c r="P5" t="s">
        <v>31</v>
      </c>
    </row>
    <row r="6" spans="1:16">
      <c r="A6" t="s">
        <v>49</v>
      </c>
      <c r="B6" s="6">
        <v>46241.120833333334</v>
      </c>
      <c r="C6" s="2">
        <v>46241.550353148152</v>
      </c>
      <c r="D6" t="s">
        <v>23</v>
      </c>
      <c r="E6" t="s">
        <v>50</v>
      </c>
      <c r="F6" t="s">
        <v>51</v>
      </c>
      <c r="G6" t="s">
        <v>34</v>
      </c>
      <c r="H6" t="s">
        <v>42</v>
      </c>
      <c r="I6" t="s">
        <v>28</v>
      </c>
      <c r="J6" t="s">
        <v>52</v>
      </c>
      <c r="K6" t="s">
        <v>38</v>
      </c>
      <c r="L6" s="3">
        <v>100</v>
      </c>
      <c r="M6" s="3">
        <v>5</v>
      </c>
      <c r="N6">
        <v>0</v>
      </c>
      <c r="O6">
        <v>4</v>
      </c>
      <c r="P6" t="s">
        <v>31</v>
      </c>
    </row>
    <row r="7" spans="1:16">
      <c r="A7" t="s">
        <v>53</v>
      </c>
      <c r="B7" s="6">
        <v>46121.888888888891</v>
      </c>
      <c r="C7" s="2">
        <v>46126.202553483796</v>
      </c>
      <c r="D7" t="s">
        <v>23</v>
      </c>
      <c r="E7" t="s">
        <v>33</v>
      </c>
      <c r="F7" t="s">
        <v>51</v>
      </c>
      <c r="G7" t="s">
        <v>54</v>
      </c>
      <c r="H7" t="s">
        <v>42</v>
      </c>
      <c r="I7" t="s">
        <v>43</v>
      </c>
      <c r="J7" t="s">
        <v>37</v>
      </c>
      <c r="K7" t="s">
        <v>55</v>
      </c>
      <c r="L7" s="3">
        <v>517</v>
      </c>
      <c r="M7" s="3">
        <v>3</v>
      </c>
      <c r="N7">
        <v>0</v>
      </c>
      <c r="O7">
        <v>6</v>
      </c>
      <c r="P7" t="s">
        <v>31</v>
      </c>
    </row>
    <row r="8" spans="1:16">
      <c r="A8" t="s">
        <v>56</v>
      </c>
      <c r="B8" s="6">
        <v>46067.138194444444</v>
      </c>
      <c r="C8" s="2"/>
      <c r="D8" t="s">
        <v>57</v>
      </c>
      <c r="E8" t="s">
        <v>33</v>
      </c>
      <c r="F8" t="s">
        <v>41</v>
      </c>
      <c r="G8" t="s">
        <v>26</v>
      </c>
      <c r="H8" t="s">
        <v>35</v>
      </c>
      <c r="I8" t="s">
        <v>36</v>
      </c>
      <c r="J8" t="s">
        <v>58</v>
      </c>
      <c r="K8" t="s">
        <v>44</v>
      </c>
      <c r="L8" s="3">
        <v>202</v>
      </c>
      <c r="M8" s="3"/>
      <c r="N8">
        <v>0</v>
      </c>
      <c r="O8">
        <v>5</v>
      </c>
      <c r="P8" t="s">
        <v>31</v>
      </c>
    </row>
    <row r="9" spans="1:16">
      <c r="A9" t="s">
        <v>59</v>
      </c>
      <c r="B9" s="6">
        <v>46236.86041666667</v>
      </c>
      <c r="C9" s="2">
        <v>46238.161875740741</v>
      </c>
      <c r="D9" t="s">
        <v>23</v>
      </c>
      <c r="E9" t="s">
        <v>50</v>
      </c>
      <c r="F9" t="s">
        <v>41</v>
      </c>
      <c r="G9" t="s">
        <v>54</v>
      </c>
      <c r="H9" t="s">
        <v>35</v>
      </c>
      <c r="I9" t="s">
        <v>48</v>
      </c>
      <c r="J9" t="s">
        <v>58</v>
      </c>
      <c r="K9" t="s">
        <v>55</v>
      </c>
      <c r="L9" s="3">
        <v>167</v>
      </c>
      <c r="M9" s="3">
        <v>3</v>
      </c>
      <c r="N9">
        <v>0</v>
      </c>
      <c r="O9">
        <v>2</v>
      </c>
      <c r="P9" t="s">
        <v>31</v>
      </c>
    </row>
    <row r="10" spans="1:16">
      <c r="A10" t="s">
        <v>60</v>
      </c>
      <c r="B10" s="6">
        <v>46044.51458333333</v>
      </c>
      <c r="C10" s="2">
        <v>46045.433302268517</v>
      </c>
      <c r="D10" t="s">
        <v>23</v>
      </c>
      <c r="E10" t="s">
        <v>33</v>
      </c>
      <c r="F10" t="s">
        <v>25</v>
      </c>
      <c r="G10" t="s">
        <v>26</v>
      </c>
      <c r="H10" t="s">
        <v>27</v>
      </c>
      <c r="I10" t="s">
        <v>28</v>
      </c>
      <c r="J10" t="s">
        <v>52</v>
      </c>
      <c r="L10" s="3">
        <v>99</v>
      </c>
      <c r="M10" s="3">
        <v>3</v>
      </c>
      <c r="N10">
        <v>2</v>
      </c>
      <c r="O10">
        <v>12</v>
      </c>
      <c r="P10" t="s">
        <v>31</v>
      </c>
    </row>
    <row r="11" spans="1:16">
      <c r="A11" t="s">
        <v>61</v>
      </c>
      <c r="B11" s="6">
        <v>46187.537499999999</v>
      </c>
      <c r="C11" s="2">
        <v>46189.167144050924</v>
      </c>
      <c r="D11" t="s">
        <v>23</v>
      </c>
      <c r="E11" t="s">
        <v>50</v>
      </c>
      <c r="F11" t="s">
        <v>25</v>
      </c>
      <c r="G11" t="s">
        <v>26</v>
      </c>
      <c r="H11" t="s">
        <v>27</v>
      </c>
      <c r="I11" t="s">
        <v>28</v>
      </c>
      <c r="J11" t="s">
        <v>37</v>
      </c>
      <c r="K11" t="s">
        <v>62</v>
      </c>
      <c r="L11" s="3">
        <v>259</v>
      </c>
      <c r="M11" s="3">
        <v>3</v>
      </c>
      <c r="N11">
        <v>0</v>
      </c>
      <c r="O11">
        <v>8</v>
      </c>
      <c r="P11" t="s">
        <v>63</v>
      </c>
    </row>
    <row r="12" spans="1:16">
      <c r="A12" t="s">
        <v>64</v>
      </c>
      <c r="B12" s="6">
        <v>46242.475694444445</v>
      </c>
      <c r="C12" s="2">
        <v>46246.358097557873</v>
      </c>
      <c r="D12" t="s">
        <v>23</v>
      </c>
      <c r="E12" t="s">
        <v>33</v>
      </c>
      <c r="F12" t="s">
        <v>65</v>
      </c>
      <c r="G12" t="s">
        <v>66</v>
      </c>
      <c r="H12" t="s">
        <v>27</v>
      </c>
      <c r="I12" t="s">
        <v>36</v>
      </c>
      <c r="J12" t="s">
        <v>67</v>
      </c>
      <c r="K12" t="s">
        <v>68</v>
      </c>
      <c r="L12" s="3">
        <v>56</v>
      </c>
      <c r="M12" s="3">
        <v>4</v>
      </c>
      <c r="N12">
        <v>0</v>
      </c>
      <c r="O12">
        <v>6</v>
      </c>
      <c r="P12" t="s">
        <v>31</v>
      </c>
    </row>
    <row r="13" spans="1:16">
      <c r="A13" t="s">
        <v>69</v>
      </c>
      <c r="B13" s="6">
        <v>46171.958333333336</v>
      </c>
      <c r="C13" s="2">
        <v>46172.147292974536</v>
      </c>
      <c r="D13" t="s">
        <v>23</v>
      </c>
      <c r="E13" t="s">
        <v>24</v>
      </c>
      <c r="F13" t="s">
        <v>51</v>
      </c>
      <c r="G13" t="s">
        <v>26</v>
      </c>
      <c r="H13" t="s">
        <v>42</v>
      </c>
      <c r="I13" t="s">
        <v>43</v>
      </c>
      <c r="J13" t="s">
        <v>52</v>
      </c>
      <c r="K13" t="s">
        <v>44</v>
      </c>
      <c r="L13" s="3">
        <v>38</v>
      </c>
      <c r="M13" s="3">
        <v>4</v>
      </c>
      <c r="N13">
        <v>0</v>
      </c>
      <c r="O13">
        <v>3</v>
      </c>
      <c r="P13" t="s">
        <v>31</v>
      </c>
    </row>
    <row r="14" spans="1:16">
      <c r="A14" t="s">
        <v>70</v>
      </c>
      <c r="B14" s="6">
        <v>46051.268055555556</v>
      </c>
      <c r="C14" s="2">
        <v>46051.443403333331</v>
      </c>
      <c r="D14" t="s">
        <v>23</v>
      </c>
      <c r="E14" t="s">
        <v>24</v>
      </c>
      <c r="F14" t="s">
        <v>51</v>
      </c>
      <c r="G14" t="s">
        <v>26</v>
      </c>
      <c r="H14" t="s">
        <v>35</v>
      </c>
      <c r="I14" t="s">
        <v>36</v>
      </c>
      <c r="J14" t="s">
        <v>37</v>
      </c>
      <c r="K14" t="s">
        <v>71</v>
      </c>
      <c r="L14" s="3">
        <v>15</v>
      </c>
      <c r="M14" s="3">
        <v>5</v>
      </c>
      <c r="N14">
        <v>0</v>
      </c>
      <c r="O14">
        <v>6</v>
      </c>
      <c r="P14" t="s">
        <v>31</v>
      </c>
    </row>
    <row r="15" spans="1:16">
      <c r="A15" t="s">
        <v>72</v>
      </c>
      <c r="B15" s="6">
        <v>46226.823611111111</v>
      </c>
      <c r="C15" s="2">
        <v>46228.400158611112</v>
      </c>
      <c r="D15" t="s">
        <v>23</v>
      </c>
      <c r="E15" t="s">
        <v>50</v>
      </c>
      <c r="F15" t="s">
        <v>41</v>
      </c>
      <c r="G15" t="s">
        <v>26</v>
      </c>
      <c r="H15" t="s">
        <v>35</v>
      </c>
      <c r="I15" t="s">
        <v>36</v>
      </c>
      <c r="J15" t="s">
        <v>37</v>
      </c>
      <c r="K15" t="s">
        <v>62</v>
      </c>
      <c r="L15" s="3">
        <v>136</v>
      </c>
      <c r="M15" s="3">
        <v>4</v>
      </c>
      <c r="N15">
        <v>0</v>
      </c>
      <c r="O15">
        <v>7</v>
      </c>
      <c r="P15" t="s">
        <v>31</v>
      </c>
    </row>
    <row r="16" spans="1:16">
      <c r="A16" t="s">
        <v>73</v>
      </c>
      <c r="B16" s="6">
        <v>46073.447222222225</v>
      </c>
      <c r="C16" s="2"/>
      <c r="D16" t="s">
        <v>74</v>
      </c>
      <c r="E16" t="s">
        <v>40</v>
      </c>
      <c r="F16" t="s">
        <v>51</v>
      </c>
      <c r="G16" t="s">
        <v>75</v>
      </c>
      <c r="H16" t="s">
        <v>35</v>
      </c>
      <c r="I16" t="s">
        <v>48</v>
      </c>
      <c r="J16" t="s">
        <v>76</v>
      </c>
      <c r="K16" t="s">
        <v>62</v>
      </c>
      <c r="L16" s="3">
        <v>24</v>
      </c>
      <c r="M16" s="3"/>
      <c r="N16">
        <v>0</v>
      </c>
      <c r="O16">
        <v>2</v>
      </c>
      <c r="P16" t="s">
        <v>31</v>
      </c>
    </row>
    <row r="17" spans="1:16">
      <c r="A17" t="s">
        <v>77</v>
      </c>
      <c r="B17" s="6">
        <v>46064.238194444442</v>
      </c>
      <c r="C17" s="2">
        <v>46066.041381481482</v>
      </c>
      <c r="D17" t="s">
        <v>23</v>
      </c>
      <c r="E17" t="s">
        <v>33</v>
      </c>
      <c r="F17" t="s">
        <v>51</v>
      </c>
      <c r="G17" t="s">
        <v>26</v>
      </c>
      <c r="H17" t="s">
        <v>35</v>
      </c>
      <c r="I17" t="s">
        <v>28</v>
      </c>
      <c r="J17" t="s">
        <v>37</v>
      </c>
      <c r="K17" t="s">
        <v>30</v>
      </c>
      <c r="L17" s="3">
        <v>107</v>
      </c>
      <c r="M17" s="3">
        <v>4</v>
      </c>
      <c r="N17">
        <v>0</v>
      </c>
      <c r="O17">
        <v>2</v>
      </c>
      <c r="P17" t="s">
        <v>31</v>
      </c>
    </row>
    <row r="18" spans="1:16">
      <c r="A18" t="s">
        <v>78</v>
      </c>
      <c r="B18" s="6" t="s">
        <v>79</v>
      </c>
      <c r="C18" s="2">
        <v>46247.386763564813</v>
      </c>
      <c r="D18" t="s">
        <v>23</v>
      </c>
      <c r="E18" t="s">
        <v>80</v>
      </c>
      <c r="F18" t="s">
        <v>41</v>
      </c>
      <c r="G18" t="s">
        <v>54</v>
      </c>
      <c r="H18" t="s">
        <v>35</v>
      </c>
      <c r="I18" t="s">
        <v>28</v>
      </c>
      <c r="J18" t="s">
        <v>52</v>
      </c>
      <c r="K18" t="s">
        <v>71</v>
      </c>
      <c r="L18" s="3">
        <v>45</v>
      </c>
      <c r="M18" s="3">
        <v>4</v>
      </c>
      <c r="N18">
        <v>0</v>
      </c>
      <c r="O18">
        <v>4</v>
      </c>
      <c r="P18" t="s">
        <v>31</v>
      </c>
    </row>
    <row r="19" spans="1:16">
      <c r="A19" t="s">
        <v>81</v>
      </c>
      <c r="B19" s="6">
        <v>46126.859722222223</v>
      </c>
      <c r="C19" s="2" t="s">
        <v>82</v>
      </c>
      <c r="D19" t="s">
        <v>23</v>
      </c>
      <c r="E19" t="s">
        <v>50</v>
      </c>
      <c r="F19" t="s">
        <v>25</v>
      </c>
      <c r="G19" t="s">
        <v>26</v>
      </c>
      <c r="H19" t="s">
        <v>42</v>
      </c>
      <c r="I19" t="s">
        <v>48</v>
      </c>
      <c r="J19" t="s">
        <v>37</v>
      </c>
      <c r="K19" t="s">
        <v>68</v>
      </c>
      <c r="L19" s="3">
        <v>69</v>
      </c>
      <c r="M19" s="3">
        <v>4</v>
      </c>
      <c r="N19">
        <v>0</v>
      </c>
      <c r="O19">
        <v>4</v>
      </c>
      <c r="P19" t="s">
        <v>31</v>
      </c>
    </row>
    <row r="20" spans="1:16">
      <c r="A20" t="s">
        <v>83</v>
      </c>
      <c r="B20" s="6">
        <v>46114.09375</v>
      </c>
      <c r="C20" s="2">
        <v>46114.687063333331</v>
      </c>
      <c r="D20" t="s">
        <v>23</v>
      </c>
      <c r="E20" t="s">
        <v>50</v>
      </c>
      <c r="F20" t="s">
        <v>51</v>
      </c>
      <c r="G20" t="s">
        <v>26</v>
      </c>
      <c r="H20" t="s">
        <v>35</v>
      </c>
      <c r="I20" t="s">
        <v>28</v>
      </c>
      <c r="J20" t="s">
        <v>58</v>
      </c>
      <c r="K20" t="s">
        <v>71</v>
      </c>
      <c r="L20" s="3">
        <v>161</v>
      </c>
      <c r="M20" s="3">
        <v>4</v>
      </c>
      <c r="N20">
        <v>0</v>
      </c>
      <c r="O20">
        <v>6</v>
      </c>
      <c r="P20" t="s">
        <v>31</v>
      </c>
    </row>
    <row r="21" spans="1:16">
      <c r="A21" t="s">
        <v>84</v>
      </c>
      <c r="B21" s="6">
        <v>46216.218055555553</v>
      </c>
      <c r="C21" s="2">
        <v>46217.823485821762</v>
      </c>
      <c r="D21" t="s">
        <v>23</v>
      </c>
      <c r="E21" t="s">
        <v>33</v>
      </c>
      <c r="F21" t="s">
        <v>25</v>
      </c>
      <c r="G21" t="s">
        <v>34</v>
      </c>
      <c r="H21" t="s">
        <v>35</v>
      </c>
      <c r="I21" t="s">
        <v>28</v>
      </c>
      <c r="J21" t="s">
        <v>37</v>
      </c>
      <c r="K21" t="s">
        <v>85</v>
      </c>
      <c r="L21" s="3">
        <v>126</v>
      </c>
      <c r="M21" s="3">
        <v>4</v>
      </c>
      <c r="N21">
        <v>0</v>
      </c>
      <c r="O21">
        <v>6</v>
      </c>
      <c r="P21" t="s">
        <v>31</v>
      </c>
    </row>
    <row r="22" spans="1:16">
      <c r="A22" t="s">
        <v>86</v>
      </c>
      <c r="B22" s="6" t="s">
        <v>87</v>
      </c>
      <c r="C22" s="2">
        <v>46167.319737303238</v>
      </c>
      <c r="D22" t="s">
        <v>23</v>
      </c>
      <c r="E22" t="s">
        <v>24</v>
      </c>
      <c r="F22" t="s">
        <v>25</v>
      </c>
      <c r="G22" t="s">
        <v>26</v>
      </c>
      <c r="H22" t="s">
        <v>35</v>
      </c>
      <c r="I22" t="s">
        <v>28</v>
      </c>
      <c r="J22" t="s">
        <v>76</v>
      </c>
      <c r="K22" t="s">
        <v>85</v>
      </c>
      <c r="L22" s="3">
        <v>42</v>
      </c>
      <c r="M22" s="3">
        <v>5</v>
      </c>
      <c r="N22">
        <v>0</v>
      </c>
      <c r="O22">
        <v>3</v>
      </c>
      <c r="P22" t="s">
        <v>31</v>
      </c>
    </row>
    <row r="23" spans="1:16">
      <c r="A23" t="s">
        <v>88</v>
      </c>
      <c r="B23" s="6">
        <v>46122.011111111111</v>
      </c>
      <c r="C23" s="2">
        <v>46124.877228240737</v>
      </c>
      <c r="D23" t="s">
        <v>23</v>
      </c>
      <c r="E23" t="s">
        <v>33</v>
      </c>
      <c r="F23" t="s">
        <v>25</v>
      </c>
      <c r="G23" t="s">
        <v>54</v>
      </c>
      <c r="H23" t="s">
        <v>42</v>
      </c>
      <c r="I23" t="s">
        <v>43</v>
      </c>
      <c r="J23" t="s">
        <v>58</v>
      </c>
      <c r="K23" t="s">
        <v>44</v>
      </c>
      <c r="L23" s="3">
        <v>118</v>
      </c>
      <c r="M23" s="3">
        <v>3</v>
      </c>
      <c r="N23">
        <v>0</v>
      </c>
      <c r="O23">
        <v>3</v>
      </c>
      <c r="P23" t="s">
        <v>31</v>
      </c>
    </row>
    <row r="24" spans="1:16">
      <c r="A24" t="s">
        <v>89</v>
      </c>
      <c r="B24" s="6">
        <v>46137.897916666669</v>
      </c>
      <c r="C24" s="2">
        <v>46140.138223148148</v>
      </c>
      <c r="D24" t="s">
        <v>23</v>
      </c>
      <c r="E24" t="s">
        <v>33</v>
      </c>
      <c r="F24" t="s">
        <v>25</v>
      </c>
      <c r="G24" t="s">
        <v>26</v>
      </c>
      <c r="H24" t="s">
        <v>35</v>
      </c>
      <c r="I24" t="s">
        <v>28</v>
      </c>
      <c r="J24" t="s">
        <v>37</v>
      </c>
      <c r="K24" t="s">
        <v>68</v>
      </c>
      <c r="L24" s="3">
        <v>92</v>
      </c>
      <c r="M24" s="3">
        <v>3</v>
      </c>
      <c r="N24">
        <v>0</v>
      </c>
      <c r="O24">
        <v>4</v>
      </c>
      <c r="P24" t="s">
        <v>31</v>
      </c>
    </row>
    <row r="25" spans="1:16">
      <c r="A25" t="s">
        <v>90</v>
      </c>
      <c r="B25" s="6">
        <v>46140.044444444444</v>
      </c>
      <c r="C25" s="2">
        <v>46140.298807615742</v>
      </c>
      <c r="D25" t="s">
        <v>23</v>
      </c>
      <c r="E25" t="s">
        <v>40</v>
      </c>
      <c r="F25" t="s">
        <v>25</v>
      </c>
      <c r="G25" t="s">
        <v>26</v>
      </c>
      <c r="H25" t="s">
        <v>42</v>
      </c>
      <c r="I25" t="s">
        <v>43</v>
      </c>
      <c r="J25" t="s">
        <v>76</v>
      </c>
      <c r="K25" t="s">
        <v>71</v>
      </c>
      <c r="L25" s="3">
        <v>38</v>
      </c>
      <c r="M25" s="3">
        <v>5</v>
      </c>
      <c r="N25">
        <v>0</v>
      </c>
      <c r="O25">
        <v>4</v>
      </c>
      <c r="P25" t="s">
        <v>31</v>
      </c>
    </row>
    <row r="26" spans="1:16">
      <c r="A26" t="s">
        <v>91</v>
      </c>
      <c r="B26" s="6">
        <v>46103.574305555558</v>
      </c>
      <c r="C26" s="2">
        <v>46104.974730347225</v>
      </c>
      <c r="D26" t="s">
        <v>23</v>
      </c>
      <c r="E26" t="s">
        <v>50</v>
      </c>
      <c r="F26" t="s">
        <v>51</v>
      </c>
      <c r="G26" t="s">
        <v>66</v>
      </c>
      <c r="H26" t="s">
        <v>35</v>
      </c>
      <c r="I26" t="s">
        <v>36</v>
      </c>
      <c r="J26" t="s">
        <v>58</v>
      </c>
      <c r="K26" t="s">
        <v>30</v>
      </c>
      <c r="L26" s="3">
        <v>53</v>
      </c>
      <c r="M26" s="3">
        <v>4</v>
      </c>
      <c r="N26">
        <v>0</v>
      </c>
      <c r="O26">
        <v>2</v>
      </c>
      <c r="P26" t="s">
        <v>31</v>
      </c>
    </row>
    <row r="27" spans="1:16">
      <c r="A27" t="s">
        <v>92</v>
      </c>
      <c r="B27" s="6">
        <v>46115.871527777781</v>
      </c>
      <c r="C27" s="2">
        <v>46117.747935474537</v>
      </c>
      <c r="D27" t="s">
        <v>23</v>
      </c>
      <c r="E27" t="s">
        <v>50</v>
      </c>
      <c r="F27" t="s">
        <v>41</v>
      </c>
      <c r="G27" t="s">
        <v>54</v>
      </c>
      <c r="H27" t="s">
        <v>35</v>
      </c>
      <c r="I27" t="s">
        <v>28</v>
      </c>
      <c r="J27" t="s">
        <v>37</v>
      </c>
      <c r="K27" t="s">
        <v>93</v>
      </c>
      <c r="L27" s="3">
        <v>92</v>
      </c>
      <c r="M27" s="3">
        <v>4</v>
      </c>
      <c r="N27">
        <v>0</v>
      </c>
      <c r="O27">
        <v>6</v>
      </c>
      <c r="P27" t="s">
        <v>31</v>
      </c>
    </row>
    <row r="28" spans="1:16">
      <c r="A28" t="s">
        <v>94</v>
      </c>
      <c r="B28" s="6">
        <v>46250.505555555559</v>
      </c>
      <c r="C28" s="2">
        <v>46251.683662905096</v>
      </c>
      <c r="D28" t="s">
        <v>23</v>
      </c>
      <c r="E28" t="s">
        <v>50</v>
      </c>
      <c r="F28" t="s">
        <v>25</v>
      </c>
      <c r="G28" t="s">
        <v>26</v>
      </c>
      <c r="H28" t="s">
        <v>27</v>
      </c>
      <c r="I28" t="s">
        <v>36</v>
      </c>
      <c r="J28" t="s">
        <v>37</v>
      </c>
      <c r="K28" t="s">
        <v>68</v>
      </c>
      <c r="L28" s="3">
        <v>139</v>
      </c>
      <c r="M28" s="3">
        <v>4</v>
      </c>
      <c r="N28">
        <v>0</v>
      </c>
      <c r="O28">
        <v>4</v>
      </c>
      <c r="P28" t="s">
        <v>31</v>
      </c>
    </row>
    <row r="29" spans="1:16">
      <c r="A29" t="s">
        <v>95</v>
      </c>
      <c r="B29" s="6">
        <v>46256.94027777778</v>
      </c>
      <c r="C29" s="2">
        <v>46257.081050775465</v>
      </c>
      <c r="D29" t="s">
        <v>23</v>
      </c>
      <c r="E29" t="s">
        <v>24</v>
      </c>
      <c r="F29" t="s">
        <v>65</v>
      </c>
      <c r="G29" t="s">
        <v>66</v>
      </c>
      <c r="H29" t="s">
        <v>35</v>
      </c>
      <c r="I29" t="s">
        <v>36</v>
      </c>
      <c r="J29" t="s">
        <v>29</v>
      </c>
      <c r="K29" t="s">
        <v>68</v>
      </c>
      <c r="L29" s="3">
        <v>16</v>
      </c>
      <c r="M29" s="3">
        <v>4</v>
      </c>
      <c r="N29">
        <v>1</v>
      </c>
      <c r="O29">
        <v>10</v>
      </c>
      <c r="P29" t="s">
        <v>31</v>
      </c>
    </row>
    <row r="30" spans="1:16">
      <c r="A30" t="s">
        <v>96</v>
      </c>
      <c r="B30" s="6">
        <v>46148.033333333333</v>
      </c>
      <c r="C30" s="2">
        <v>46149.00704679398</v>
      </c>
      <c r="D30" t="s">
        <v>23</v>
      </c>
      <c r="E30" t="s">
        <v>50</v>
      </c>
      <c r="F30" t="s">
        <v>51</v>
      </c>
      <c r="G30" t="s">
        <v>26</v>
      </c>
      <c r="H30" t="s">
        <v>35</v>
      </c>
      <c r="I30" t="s">
        <v>28</v>
      </c>
      <c r="J30" t="s">
        <v>67</v>
      </c>
      <c r="K30" t="s">
        <v>38</v>
      </c>
      <c r="L30" s="3">
        <v>182</v>
      </c>
      <c r="M30" s="3">
        <v>3</v>
      </c>
      <c r="N30">
        <v>0</v>
      </c>
      <c r="O30">
        <v>6</v>
      </c>
      <c r="P30" t="s">
        <v>31</v>
      </c>
    </row>
    <row r="31" spans="1:16">
      <c r="A31" t="s">
        <v>97</v>
      </c>
      <c r="B31" s="6">
        <v>46093.719444444447</v>
      </c>
      <c r="C31" s="2">
        <v>46096.331203333335</v>
      </c>
      <c r="D31" t="s">
        <v>23</v>
      </c>
      <c r="E31" t="s">
        <v>33</v>
      </c>
      <c r="F31" t="s">
        <v>51</v>
      </c>
      <c r="G31" t="s">
        <v>54</v>
      </c>
      <c r="H31" t="s">
        <v>27</v>
      </c>
      <c r="I31" t="s">
        <v>36</v>
      </c>
      <c r="J31" t="s">
        <v>37</v>
      </c>
      <c r="K31" t="s">
        <v>93</v>
      </c>
      <c r="L31" s="3">
        <v>96</v>
      </c>
      <c r="M31" s="3">
        <v>4</v>
      </c>
      <c r="N31">
        <v>0</v>
      </c>
      <c r="O31">
        <v>6</v>
      </c>
      <c r="P31" t="s">
        <v>31</v>
      </c>
    </row>
    <row r="32" spans="1:16">
      <c r="A32" t="s">
        <v>98</v>
      </c>
      <c r="B32" s="6">
        <v>46137.356249999997</v>
      </c>
      <c r="C32" s="2">
        <v>46137.53742990741</v>
      </c>
      <c r="D32" t="s">
        <v>23</v>
      </c>
      <c r="E32" t="s">
        <v>24</v>
      </c>
      <c r="F32" t="s">
        <v>51</v>
      </c>
      <c r="G32" t="s">
        <v>26</v>
      </c>
      <c r="H32" t="s">
        <v>35</v>
      </c>
      <c r="I32" t="s">
        <v>48</v>
      </c>
      <c r="J32" t="s">
        <v>58</v>
      </c>
      <c r="K32" t="s">
        <v>68</v>
      </c>
      <c r="L32" s="3">
        <v>25</v>
      </c>
      <c r="M32" s="3">
        <v>5</v>
      </c>
      <c r="N32">
        <v>0</v>
      </c>
      <c r="O32">
        <v>3</v>
      </c>
      <c r="P32" t="s">
        <v>31</v>
      </c>
    </row>
    <row r="33" spans="1:16">
      <c r="A33" t="s">
        <v>99</v>
      </c>
      <c r="B33" s="6">
        <v>46057.327777777777</v>
      </c>
      <c r="C33" s="2">
        <v>46058.704548946756</v>
      </c>
      <c r="D33" t="s">
        <v>23</v>
      </c>
      <c r="E33" t="s">
        <v>33</v>
      </c>
      <c r="F33" t="s">
        <v>100</v>
      </c>
      <c r="G33" t="s">
        <v>54</v>
      </c>
      <c r="H33" t="s">
        <v>35</v>
      </c>
      <c r="I33" t="s">
        <v>43</v>
      </c>
      <c r="J33" t="s">
        <v>58</v>
      </c>
      <c r="K33" t="s">
        <v>101</v>
      </c>
      <c r="L33" s="3">
        <v>415</v>
      </c>
      <c r="M33" s="3">
        <v>3</v>
      </c>
      <c r="N33">
        <v>0</v>
      </c>
      <c r="O33">
        <v>7</v>
      </c>
      <c r="P33" t="s">
        <v>63</v>
      </c>
    </row>
    <row r="34" spans="1:16">
      <c r="A34" t="s">
        <v>102</v>
      </c>
      <c r="B34" s="6">
        <v>46167.363888888889</v>
      </c>
      <c r="C34" s="2">
        <v>46169.692807604166</v>
      </c>
      <c r="D34" t="s">
        <v>23</v>
      </c>
      <c r="E34" t="s">
        <v>33</v>
      </c>
      <c r="F34" t="s">
        <v>25</v>
      </c>
      <c r="G34" t="s">
        <v>54</v>
      </c>
      <c r="H34" t="s">
        <v>27</v>
      </c>
      <c r="I34" t="s">
        <v>43</v>
      </c>
      <c r="J34" t="s">
        <v>37</v>
      </c>
      <c r="K34" t="s">
        <v>68</v>
      </c>
      <c r="L34" s="3">
        <v>262</v>
      </c>
      <c r="M34" s="3">
        <v>3</v>
      </c>
      <c r="N34">
        <v>0</v>
      </c>
      <c r="O34">
        <v>6</v>
      </c>
      <c r="P34" t="s">
        <v>31</v>
      </c>
    </row>
    <row r="35" spans="1:16">
      <c r="A35" t="s">
        <v>103</v>
      </c>
      <c r="B35" s="6">
        <v>46059.182638888888</v>
      </c>
      <c r="C35" s="2">
        <v>46060.645317905095</v>
      </c>
      <c r="D35" t="s">
        <v>23</v>
      </c>
      <c r="E35" t="s">
        <v>50</v>
      </c>
      <c r="F35" t="s">
        <v>51</v>
      </c>
      <c r="G35" t="s">
        <v>75</v>
      </c>
      <c r="H35" t="s">
        <v>27</v>
      </c>
      <c r="I35" t="s">
        <v>36</v>
      </c>
      <c r="J35" t="s">
        <v>67</v>
      </c>
      <c r="K35" t="s">
        <v>85</v>
      </c>
      <c r="L35" s="3">
        <v>61</v>
      </c>
      <c r="M35" s="3">
        <v>3</v>
      </c>
      <c r="N35">
        <v>1</v>
      </c>
      <c r="O35">
        <v>5</v>
      </c>
      <c r="P35" t="s">
        <v>31</v>
      </c>
    </row>
    <row r="36" spans="1:16">
      <c r="A36" t="s">
        <v>104</v>
      </c>
      <c r="B36" s="6">
        <v>46110.943749999999</v>
      </c>
      <c r="C36" s="2">
        <v>46111.867542256943</v>
      </c>
      <c r="D36" t="s">
        <v>23</v>
      </c>
      <c r="F36" t="s">
        <v>25</v>
      </c>
      <c r="G36" t="s">
        <v>26</v>
      </c>
      <c r="H36" t="s">
        <v>42</v>
      </c>
      <c r="I36" t="s">
        <v>43</v>
      </c>
      <c r="J36" t="s">
        <v>52</v>
      </c>
      <c r="K36" t="s">
        <v>85</v>
      </c>
      <c r="L36" s="3">
        <v>256</v>
      </c>
      <c r="M36" s="3">
        <v>4</v>
      </c>
      <c r="N36">
        <v>0</v>
      </c>
      <c r="O36">
        <v>3</v>
      </c>
      <c r="P36" t="s">
        <v>31</v>
      </c>
    </row>
    <row r="37" spans="1:16">
      <c r="A37" t="s">
        <v>105</v>
      </c>
      <c r="B37" s="6">
        <v>46174.333333333336</v>
      </c>
      <c r="C37" s="2">
        <v>46175.545722106479</v>
      </c>
      <c r="D37" t="s">
        <v>23</v>
      </c>
      <c r="E37" t="s">
        <v>33</v>
      </c>
      <c r="F37" t="s">
        <v>51</v>
      </c>
      <c r="G37" t="s">
        <v>34</v>
      </c>
      <c r="H37" t="s">
        <v>42</v>
      </c>
      <c r="I37" t="s">
        <v>36</v>
      </c>
      <c r="J37" t="s">
        <v>52</v>
      </c>
      <c r="K37" t="s">
        <v>101</v>
      </c>
      <c r="L37" s="3">
        <v>387</v>
      </c>
      <c r="M37" s="3">
        <v>3</v>
      </c>
      <c r="N37">
        <v>0</v>
      </c>
      <c r="O37">
        <v>3</v>
      </c>
      <c r="P37" t="s">
        <v>31</v>
      </c>
    </row>
    <row r="38" spans="1:16">
      <c r="A38" t="s">
        <v>106</v>
      </c>
      <c r="B38" s="6">
        <v>46113.420138888891</v>
      </c>
      <c r="C38" s="2">
        <v>46115.284490439815</v>
      </c>
      <c r="D38" t="s">
        <v>23</v>
      </c>
      <c r="E38" t="s">
        <v>33</v>
      </c>
      <c r="F38" t="s">
        <v>65</v>
      </c>
      <c r="G38" t="s">
        <v>34</v>
      </c>
      <c r="H38" t="s">
        <v>42</v>
      </c>
      <c r="I38" t="s">
        <v>36</v>
      </c>
      <c r="J38" t="s">
        <v>52</v>
      </c>
      <c r="K38" t="s">
        <v>93</v>
      </c>
      <c r="L38" s="3">
        <v>98</v>
      </c>
      <c r="M38" s="3">
        <v>3</v>
      </c>
      <c r="N38">
        <v>0</v>
      </c>
      <c r="O38">
        <v>2</v>
      </c>
      <c r="P38" t="s">
        <v>31</v>
      </c>
    </row>
    <row r="39" spans="1:16">
      <c r="A39" t="s">
        <v>107</v>
      </c>
      <c r="B39" s="6">
        <v>46060.416666666664</v>
      </c>
      <c r="C39" s="2">
        <v>46061.30623321759</v>
      </c>
      <c r="D39" t="s">
        <v>23</v>
      </c>
      <c r="E39" t="s">
        <v>33</v>
      </c>
      <c r="F39" t="s">
        <v>25</v>
      </c>
      <c r="G39" t="s">
        <v>26</v>
      </c>
      <c r="H39" t="s">
        <v>35</v>
      </c>
      <c r="I39" t="s">
        <v>28</v>
      </c>
      <c r="J39" t="s">
        <v>37</v>
      </c>
      <c r="K39" t="s">
        <v>85</v>
      </c>
      <c r="L39" s="3">
        <v>157</v>
      </c>
      <c r="M39" s="3">
        <v>4</v>
      </c>
      <c r="N39">
        <v>0</v>
      </c>
      <c r="O39">
        <v>4</v>
      </c>
      <c r="P39" t="s">
        <v>31</v>
      </c>
    </row>
    <row r="40" spans="1:16">
      <c r="A40" t="s">
        <v>108</v>
      </c>
      <c r="B40" s="6">
        <v>46227.442361111112</v>
      </c>
      <c r="C40" s="2">
        <v>46229.044071805554</v>
      </c>
      <c r="D40" t="s">
        <v>23</v>
      </c>
      <c r="E40" t="s">
        <v>33</v>
      </c>
      <c r="F40" t="s">
        <v>41</v>
      </c>
      <c r="G40" t="s">
        <v>75</v>
      </c>
      <c r="H40" t="s">
        <v>35</v>
      </c>
      <c r="I40" t="s">
        <v>36</v>
      </c>
      <c r="J40" t="s">
        <v>58</v>
      </c>
      <c r="K40" t="s">
        <v>93</v>
      </c>
      <c r="L40" s="3">
        <v>166</v>
      </c>
      <c r="M40" s="3">
        <v>2</v>
      </c>
      <c r="N40">
        <v>3</v>
      </c>
      <c r="O40">
        <v>10</v>
      </c>
      <c r="P40" t="s">
        <v>31</v>
      </c>
    </row>
    <row r="41" spans="1:16">
      <c r="A41" t="s">
        <v>109</v>
      </c>
      <c r="B41" s="6">
        <v>46026.068055555559</v>
      </c>
      <c r="C41" s="2">
        <v>46029.938369895834</v>
      </c>
      <c r="D41" t="s">
        <v>23</v>
      </c>
      <c r="E41" t="s">
        <v>110</v>
      </c>
      <c r="F41" t="s">
        <v>25</v>
      </c>
      <c r="G41" t="s">
        <v>54</v>
      </c>
      <c r="H41" t="s">
        <v>42</v>
      </c>
      <c r="I41" t="s">
        <v>36</v>
      </c>
      <c r="J41" t="s">
        <v>58</v>
      </c>
      <c r="K41" t="s">
        <v>68</v>
      </c>
      <c r="L41" s="3">
        <v>224</v>
      </c>
      <c r="M41" s="3">
        <v>3</v>
      </c>
      <c r="N41">
        <v>0</v>
      </c>
      <c r="O41">
        <v>9</v>
      </c>
      <c r="P41" t="s">
        <v>63</v>
      </c>
    </row>
    <row r="42" spans="1:16">
      <c r="A42" t="s">
        <v>111</v>
      </c>
      <c r="B42" s="6">
        <v>46084.602777777778</v>
      </c>
      <c r="C42" s="2">
        <v>46086.16028974537</v>
      </c>
      <c r="D42" t="s">
        <v>23</v>
      </c>
      <c r="E42" t="s">
        <v>112</v>
      </c>
      <c r="F42" t="s">
        <v>25</v>
      </c>
      <c r="G42" t="s">
        <v>54</v>
      </c>
      <c r="H42" t="s">
        <v>35</v>
      </c>
      <c r="I42" t="s">
        <v>48</v>
      </c>
      <c r="J42" t="s">
        <v>37</v>
      </c>
      <c r="K42" t="s">
        <v>85</v>
      </c>
      <c r="L42" s="3">
        <v>198</v>
      </c>
      <c r="M42" s="3">
        <v>3</v>
      </c>
      <c r="N42">
        <v>0</v>
      </c>
      <c r="O42">
        <v>6</v>
      </c>
      <c r="P42" t="s">
        <v>31</v>
      </c>
    </row>
    <row r="43" spans="1:16">
      <c r="A43" t="s">
        <v>113</v>
      </c>
      <c r="B43" s="6">
        <v>46137.975694444445</v>
      </c>
      <c r="C43" s="2">
        <v>46138.83430396991</v>
      </c>
      <c r="D43" t="s">
        <v>23</v>
      </c>
      <c r="E43" t="s">
        <v>50</v>
      </c>
      <c r="F43" t="s">
        <v>25</v>
      </c>
      <c r="G43" t="s">
        <v>26</v>
      </c>
      <c r="H43" t="s">
        <v>35</v>
      </c>
      <c r="I43" t="s">
        <v>28</v>
      </c>
      <c r="J43" t="s">
        <v>52</v>
      </c>
      <c r="L43" s="3">
        <v>107</v>
      </c>
      <c r="M43" s="3">
        <v>4</v>
      </c>
      <c r="N43">
        <v>0</v>
      </c>
      <c r="O43">
        <v>2</v>
      </c>
      <c r="P43" t="s">
        <v>31</v>
      </c>
    </row>
    <row r="44" spans="1:16">
      <c r="A44" t="s">
        <v>114</v>
      </c>
      <c r="B44" s="6">
        <v>46207.931944444441</v>
      </c>
      <c r="C44" s="2">
        <v>46209.746172951389</v>
      </c>
      <c r="D44" t="s">
        <v>23</v>
      </c>
      <c r="E44" t="s">
        <v>50</v>
      </c>
      <c r="F44" t="s">
        <v>65</v>
      </c>
      <c r="G44" t="s">
        <v>26</v>
      </c>
      <c r="H44" t="s">
        <v>35</v>
      </c>
      <c r="I44" t="s">
        <v>36</v>
      </c>
      <c r="J44" t="s">
        <v>37</v>
      </c>
      <c r="K44" t="s">
        <v>71</v>
      </c>
      <c r="L44" s="3">
        <v>76</v>
      </c>
      <c r="M44" s="3">
        <v>2</v>
      </c>
      <c r="N44">
        <v>2</v>
      </c>
      <c r="O44">
        <v>23</v>
      </c>
      <c r="P44" t="s">
        <v>63</v>
      </c>
    </row>
    <row r="45" spans="1:16">
      <c r="A45" t="s">
        <v>115</v>
      </c>
      <c r="B45" s="6">
        <v>46239.886805555558</v>
      </c>
      <c r="C45" s="2">
        <v>46240.503081076386</v>
      </c>
      <c r="D45" t="s">
        <v>23</v>
      </c>
      <c r="E45" t="s">
        <v>40</v>
      </c>
      <c r="F45" t="s">
        <v>41</v>
      </c>
      <c r="G45" t="s">
        <v>66</v>
      </c>
      <c r="H45" t="s">
        <v>27</v>
      </c>
      <c r="I45" t="s">
        <v>43</v>
      </c>
      <c r="J45" t="s">
        <v>58</v>
      </c>
      <c r="K45" t="s">
        <v>38</v>
      </c>
      <c r="L45" s="3">
        <v>36</v>
      </c>
      <c r="M45" s="3">
        <v>4</v>
      </c>
      <c r="N45">
        <v>0</v>
      </c>
      <c r="O45">
        <v>7</v>
      </c>
      <c r="P45" t="s">
        <v>63</v>
      </c>
    </row>
    <row r="46" spans="1:16">
      <c r="A46" t="s">
        <v>116</v>
      </c>
      <c r="B46" s="6">
        <v>46178.774305555555</v>
      </c>
      <c r="C46" s="2">
        <v>46179.075261192127</v>
      </c>
      <c r="D46" t="s">
        <v>23</v>
      </c>
      <c r="E46" t="s">
        <v>50</v>
      </c>
      <c r="F46" t="s">
        <v>25</v>
      </c>
      <c r="G46" t="s">
        <v>66</v>
      </c>
      <c r="H46" t="s">
        <v>35</v>
      </c>
      <c r="I46" t="s">
        <v>28</v>
      </c>
      <c r="J46" t="s">
        <v>37</v>
      </c>
      <c r="K46" t="s">
        <v>62</v>
      </c>
      <c r="L46" s="3">
        <v>117</v>
      </c>
      <c r="M46" s="3">
        <v>4</v>
      </c>
      <c r="N46">
        <v>0</v>
      </c>
      <c r="O46">
        <v>5</v>
      </c>
      <c r="P46" t="s">
        <v>31</v>
      </c>
    </row>
    <row r="47" spans="1:16">
      <c r="A47" t="s">
        <v>117</v>
      </c>
      <c r="B47" s="6">
        <v>46169.974999999999</v>
      </c>
      <c r="C47" s="2">
        <v>46170.146039988424</v>
      </c>
      <c r="D47" t="s">
        <v>23</v>
      </c>
      <c r="E47" t="s">
        <v>24</v>
      </c>
      <c r="F47" t="s">
        <v>25</v>
      </c>
      <c r="G47" t="s">
        <v>26</v>
      </c>
      <c r="H47" t="s">
        <v>35</v>
      </c>
      <c r="I47" t="s">
        <v>48</v>
      </c>
      <c r="J47" t="s">
        <v>29</v>
      </c>
      <c r="K47" t="s">
        <v>62</v>
      </c>
      <c r="L47" s="3">
        <v>18</v>
      </c>
      <c r="M47" s="3">
        <v>4</v>
      </c>
      <c r="N47">
        <v>0</v>
      </c>
      <c r="O47">
        <v>6</v>
      </c>
      <c r="P47" t="s">
        <v>31</v>
      </c>
    </row>
    <row r="48" spans="1:16">
      <c r="A48" t="s">
        <v>118</v>
      </c>
      <c r="B48" s="6">
        <v>46172.529861111114</v>
      </c>
      <c r="C48" s="2">
        <v>46173.538497303241</v>
      </c>
      <c r="D48" t="s">
        <v>23</v>
      </c>
      <c r="E48" t="s">
        <v>33</v>
      </c>
      <c r="F48" t="s">
        <v>41</v>
      </c>
      <c r="G48" t="s">
        <v>34</v>
      </c>
      <c r="H48" t="s">
        <v>35</v>
      </c>
      <c r="I48" t="s">
        <v>36</v>
      </c>
      <c r="J48" t="s">
        <v>67</v>
      </c>
      <c r="K48" t="s">
        <v>93</v>
      </c>
      <c r="L48" s="3">
        <v>669</v>
      </c>
      <c r="M48" s="3">
        <v>3</v>
      </c>
      <c r="N48">
        <v>0</v>
      </c>
      <c r="O48">
        <v>7</v>
      </c>
      <c r="P48" t="s">
        <v>31</v>
      </c>
    </row>
    <row r="49" spans="1:16">
      <c r="A49" t="s">
        <v>119</v>
      </c>
      <c r="B49" s="6">
        <v>46174.28402777778</v>
      </c>
      <c r="C49" s="2">
        <v>46176.049506493058</v>
      </c>
      <c r="D49" t="s">
        <v>23</v>
      </c>
      <c r="E49" t="s">
        <v>33</v>
      </c>
      <c r="F49" t="s">
        <v>65</v>
      </c>
      <c r="G49" t="s">
        <v>120</v>
      </c>
      <c r="H49" t="s">
        <v>35</v>
      </c>
      <c r="I49" t="s">
        <v>36</v>
      </c>
      <c r="J49" t="s">
        <v>58</v>
      </c>
      <c r="K49" t="s">
        <v>30</v>
      </c>
      <c r="L49" s="3">
        <v>170</v>
      </c>
      <c r="M49" s="3">
        <v>4</v>
      </c>
      <c r="N49">
        <v>0</v>
      </c>
      <c r="O49">
        <v>3</v>
      </c>
      <c r="P49" t="s">
        <v>31</v>
      </c>
    </row>
    <row r="50" spans="1:16">
      <c r="A50" t="s">
        <v>121</v>
      </c>
      <c r="B50" s="6">
        <v>46241.844444444447</v>
      </c>
      <c r="C50" s="2">
        <v>46243.192029988422</v>
      </c>
      <c r="D50" t="s">
        <v>23</v>
      </c>
      <c r="E50" t="s">
        <v>50</v>
      </c>
      <c r="F50" t="s">
        <v>25</v>
      </c>
      <c r="G50" t="s">
        <v>66</v>
      </c>
      <c r="H50" t="s">
        <v>27</v>
      </c>
      <c r="I50" t="s">
        <v>28</v>
      </c>
      <c r="J50" t="s">
        <v>67</v>
      </c>
      <c r="K50" t="s">
        <v>68</v>
      </c>
      <c r="L50" s="3">
        <v>140</v>
      </c>
      <c r="M50" s="3">
        <v>3</v>
      </c>
      <c r="N50">
        <v>2</v>
      </c>
      <c r="O50">
        <v>12</v>
      </c>
      <c r="P50" t="s">
        <v>31</v>
      </c>
    </row>
    <row r="51" spans="1:16">
      <c r="A51" t="s">
        <v>122</v>
      </c>
      <c r="B51" s="6">
        <v>46205.563888888886</v>
      </c>
      <c r="C51" s="2">
        <v>46206.467524444444</v>
      </c>
      <c r="D51" t="s">
        <v>23</v>
      </c>
      <c r="E51" t="s">
        <v>50</v>
      </c>
      <c r="F51" t="s">
        <v>65</v>
      </c>
      <c r="G51" t="s">
        <v>26</v>
      </c>
      <c r="H51" t="s">
        <v>42</v>
      </c>
      <c r="I51" t="s">
        <v>48</v>
      </c>
      <c r="J51" t="s">
        <v>37</v>
      </c>
      <c r="K51" t="s">
        <v>30</v>
      </c>
      <c r="L51" s="3">
        <v>97</v>
      </c>
      <c r="M51" s="3">
        <v>4</v>
      </c>
      <c r="N51">
        <v>0</v>
      </c>
      <c r="O51">
        <v>4</v>
      </c>
      <c r="P51" t="s">
        <v>31</v>
      </c>
    </row>
    <row r="52" spans="1:16">
      <c r="A52" t="s">
        <v>123</v>
      </c>
      <c r="B52" s="6">
        <v>46050.338888888888</v>
      </c>
      <c r="C52" s="2">
        <v>46051.162280590281</v>
      </c>
      <c r="D52" t="s">
        <v>23</v>
      </c>
      <c r="E52" t="s">
        <v>33</v>
      </c>
      <c r="F52" t="s">
        <v>51</v>
      </c>
      <c r="G52" t="s">
        <v>34</v>
      </c>
      <c r="H52" t="s">
        <v>27</v>
      </c>
      <c r="I52" t="s">
        <v>36</v>
      </c>
      <c r="J52" t="s">
        <v>52</v>
      </c>
      <c r="K52" t="s">
        <v>30</v>
      </c>
      <c r="L52" s="3">
        <v>337</v>
      </c>
      <c r="M52" s="3">
        <v>3</v>
      </c>
      <c r="N52">
        <v>0</v>
      </c>
      <c r="O52">
        <v>6</v>
      </c>
      <c r="P52" t="s">
        <v>31</v>
      </c>
    </row>
    <row r="53" spans="1:16">
      <c r="A53" t="s">
        <v>124</v>
      </c>
      <c r="B53" s="6">
        <v>46178.447916666664</v>
      </c>
      <c r="C53" s="2">
        <v>46179.733760439813</v>
      </c>
      <c r="D53" t="s">
        <v>23</v>
      </c>
      <c r="E53" t="s">
        <v>50</v>
      </c>
      <c r="F53" t="s">
        <v>125</v>
      </c>
      <c r="G53" t="s">
        <v>54</v>
      </c>
      <c r="H53" t="s">
        <v>35</v>
      </c>
      <c r="I53" t="s">
        <v>28</v>
      </c>
      <c r="J53" t="s">
        <v>37</v>
      </c>
      <c r="K53" t="s">
        <v>93</v>
      </c>
      <c r="L53" s="3">
        <v>62</v>
      </c>
      <c r="M53" s="3">
        <v>4</v>
      </c>
      <c r="N53">
        <v>0</v>
      </c>
      <c r="O53">
        <v>5</v>
      </c>
      <c r="P53" t="s">
        <v>31</v>
      </c>
    </row>
    <row r="54" spans="1:16">
      <c r="A54" t="s">
        <v>126</v>
      </c>
      <c r="B54" s="6">
        <v>46053.3</v>
      </c>
      <c r="C54" s="2">
        <v>46055.047403796299</v>
      </c>
      <c r="D54" t="s">
        <v>23</v>
      </c>
      <c r="E54" t="s">
        <v>50</v>
      </c>
      <c r="F54" t="s">
        <v>41</v>
      </c>
      <c r="G54" t="s">
        <v>75</v>
      </c>
      <c r="H54" t="s">
        <v>35</v>
      </c>
      <c r="I54" t="s">
        <v>43</v>
      </c>
      <c r="J54" t="s">
        <v>37</v>
      </c>
      <c r="K54" t="s">
        <v>62</v>
      </c>
      <c r="L54" s="3">
        <v>180</v>
      </c>
      <c r="M54" s="3">
        <v>4</v>
      </c>
      <c r="N54">
        <v>0</v>
      </c>
      <c r="O54">
        <v>3</v>
      </c>
      <c r="P54" t="s">
        <v>31</v>
      </c>
    </row>
    <row r="55" spans="1:16">
      <c r="A55" t="s">
        <v>127</v>
      </c>
      <c r="B55" s="6">
        <v>46163.47152777778</v>
      </c>
      <c r="C55" s="2">
        <v>46164.274175254628</v>
      </c>
      <c r="D55" t="s">
        <v>23</v>
      </c>
      <c r="E55" t="s">
        <v>40</v>
      </c>
      <c r="F55" t="s">
        <v>51</v>
      </c>
      <c r="G55" t="s">
        <v>26</v>
      </c>
      <c r="H55" t="s">
        <v>35</v>
      </c>
      <c r="I55" t="s">
        <v>43</v>
      </c>
      <c r="J55" t="s">
        <v>37</v>
      </c>
      <c r="K55" t="s">
        <v>85</v>
      </c>
      <c r="L55" s="3">
        <v>50</v>
      </c>
      <c r="M55" s="3">
        <v>4</v>
      </c>
      <c r="N55">
        <v>1</v>
      </c>
      <c r="O55">
        <v>7</v>
      </c>
      <c r="P55" t="s">
        <v>31</v>
      </c>
    </row>
    <row r="56" spans="1:16">
      <c r="A56" t="s">
        <v>128</v>
      </c>
      <c r="B56" s="6">
        <v>46231.449305555558</v>
      </c>
      <c r="C56" s="2">
        <v>46233.654955324077</v>
      </c>
      <c r="D56" t="s">
        <v>23</v>
      </c>
      <c r="E56" t="s">
        <v>33</v>
      </c>
      <c r="F56" t="s">
        <v>65</v>
      </c>
      <c r="G56" t="s">
        <v>75</v>
      </c>
      <c r="H56" t="s">
        <v>35</v>
      </c>
      <c r="I56" t="s">
        <v>43</v>
      </c>
      <c r="J56" t="s">
        <v>37</v>
      </c>
      <c r="K56" t="s">
        <v>101</v>
      </c>
      <c r="L56" s="3" t="s">
        <v>129</v>
      </c>
      <c r="M56" s="3">
        <v>3</v>
      </c>
      <c r="N56">
        <v>1</v>
      </c>
      <c r="O56">
        <v>7</v>
      </c>
      <c r="P56" t="s">
        <v>31</v>
      </c>
    </row>
    <row r="57" spans="1:16">
      <c r="A57" t="s">
        <v>130</v>
      </c>
      <c r="B57" s="6">
        <v>46162.783333333333</v>
      </c>
      <c r="C57" s="2">
        <v>46164.530506863426</v>
      </c>
      <c r="D57" t="s">
        <v>23</v>
      </c>
      <c r="E57" t="s">
        <v>50</v>
      </c>
      <c r="F57" t="s">
        <v>25</v>
      </c>
      <c r="G57" t="s">
        <v>26</v>
      </c>
      <c r="H57" t="s">
        <v>35</v>
      </c>
      <c r="I57" t="s">
        <v>48</v>
      </c>
      <c r="J57" t="s">
        <v>67</v>
      </c>
      <c r="K57" t="s">
        <v>93</v>
      </c>
      <c r="L57" s="3">
        <v>31</v>
      </c>
      <c r="M57" s="3">
        <v>3</v>
      </c>
      <c r="N57">
        <v>1</v>
      </c>
      <c r="O57">
        <v>15</v>
      </c>
      <c r="P57" t="s">
        <v>63</v>
      </c>
    </row>
    <row r="58" spans="1:16">
      <c r="A58" t="s">
        <v>131</v>
      </c>
      <c r="B58" s="6">
        <v>46198.737500000003</v>
      </c>
      <c r="C58" s="2">
        <v>46199.574797673609</v>
      </c>
      <c r="D58" t="s">
        <v>23</v>
      </c>
      <c r="E58" t="s">
        <v>50</v>
      </c>
      <c r="F58" t="s">
        <v>41</v>
      </c>
      <c r="G58" t="s">
        <v>34</v>
      </c>
      <c r="H58" t="s">
        <v>42</v>
      </c>
      <c r="I58" t="s">
        <v>28</v>
      </c>
      <c r="J58" t="s">
        <v>52</v>
      </c>
      <c r="K58" t="s">
        <v>44</v>
      </c>
      <c r="L58" s="3">
        <v>76</v>
      </c>
      <c r="M58" s="3">
        <v>4</v>
      </c>
      <c r="N58">
        <v>1</v>
      </c>
      <c r="O58">
        <v>9</v>
      </c>
      <c r="P58" t="s">
        <v>31</v>
      </c>
    </row>
    <row r="59" spans="1:16">
      <c r="A59" t="s">
        <v>132</v>
      </c>
      <c r="B59" s="6">
        <v>46229.810416666667</v>
      </c>
      <c r="C59" s="2">
        <v>46230.033793645831</v>
      </c>
      <c r="D59" t="s">
        <v>23</v>
      </c>
      <c r="E59" t="s">
        <v>24</v>
      </c>
      <c r="F59" t="s">
        <v>25</v>
      </c>
      <c r="G59" t="s">
        <v>26</v>
      </c>
      <c r="H59" t="s">
        <v>27</v>
      </c>
      <c r="I59" t="s">
        <v>43</v>
      </c>
      <c r="J59" t="s">
        <v>37</v>
      </c>
      <c r="K59" t="s">
        <v>30</v>
      </c>
      <c r="L59" s="3">
        <v>8</v>
      </c>
      <c r="M59" s="3">
        <v>5</v>
      </c>
      <c r="N59">
        <v>0</v>
      </c>
      <c r="O59">
        <v>2</v>
      </c>
      <c r="P59" t="s">
        <v>31</v>
      </c>
    </row>
    <row r="60" spans="1:16">
      <c r="A60" t="s">
        <v>133</v>
      </c>
      <c r="B60" s="6">
        <v>46208.12777777778</v>
      </c>
      <c r="C60" s="2">
        <v>46208.605009826388</v>
      </c>
      <c r="D60" t="s">
        <v>23</v>
      </c>
      <c r="E60" t="s">
        <v>50</v>
      </c>
      <c r="F60" t="s">
        <v>65</v>
      </c>
      <c r="G60" t="s">
        <v>26</v>
      </c>
      <c r="H60" t="s">
        <v>35</v>
      </c>
      <c r="I60" t="s">
        <v>48</v>
      </c>
      <c r="J60" t="s">
        <v>29</v>
      </c>
      <c r="K60" t="s">
        <v>44</v>
      </c>
      <c r="L60" s="3">
        <v>144</v>
      </c>
      <c r="M60" s="3">
        <v>4</v>
      </c>
      <c r="N60">
        <v>0</v>
      </c>
      <c r="O60">
        <v>4</v>
      </c>
      <c r="P60" t="s">
        <v>31</v>
      </c>
    </row>
    <row r="61" spans="1:16">
      <c r="A61" t="s">
        <v>134</v>
      </c>
      <c r="B61" s="6">
        <v>46097.574999999997</v>
      </c>
      <c r="C61" s="2">
        <v>46099.512199733799</v>
      </c>
      <c r="D61" t="s">
        <v>23</v>
      </c>
      <c r="E61" t="s">
        <v>50</v>
      </c>
      <c r="F61" t="s">
        <v>51</v>
      </c>
      <c r="G61" t="s">
        <v>26</v>
      </c>
      <c r="H61" t="s">
        <v>42</v>
      </c>
      <c r="I61" t="s">
        <v>36</v>
      </c>
      <c r="J61" t="s">
        <v>37</v>
      </c>
      <c r="K61" t="s">
        <v>68</v>
      </c>
      <c r="L61" s="3">
        <v>71</v>
      </c>
      <c r="M61" s="3">
        <v>4</v>
      </c>
      <c r="N61">
        <v>0</v>
      </c>
      <c r="O61">
        <v>3</v>
      </c>
      <c r="P61" t="s">
        <v>31</v>
      </c>
    </row>
    <row r="62" spans="1:16">
      <c r="A62" t="s">
        <v>135</v>
      </c>
      <c r="B62" s="6">
        <v>46124.964583333334</v>
      </c>
      <c r="C62" s="2">
        <v>46125.712921423612</v>
      </c>
      <c r="D62" t="s">
        <v>23</v>
      </c>
      <c r="E62" t="s">
        <v>50</v>
      </c>
      <c r="F62" t="s">
        <v>25</v>
      </c>
      <c r="G62" t="s">
        <v>54</v>
      </c>
      <c r="H62" t="s">
        <v>42</v>
      </c>
      <c r="I62" t="s">
        <v>48</v>
      </c>
      <c r="J62" t="s">
        <v>52</v>
      </c>
      <c r="K62" t="s">
        <v>38</v>
      </c>
      <c r="L62" s="3">
        <v>142</v>
      </c>
      <c r="M62" s="3">
        <v>4</v>
      </c>
      <c r="N62">
        <v>0</v>
      </c>
      <c r="O62">
        <v>7</v>
      </c>
      <c r="P62" t="s">
        <v>31</v>
      </c>
    </row>
    <row r="63" spans="1:16">
      <c r="A63" t="s">
        <v>136</v>
      </c>
      <c r="B63" s="6">
        <v>46045.461111111108</v>
      </c>
      <c r="C63" s="2">
        <v>46047.458258935185</v>
      </c>
      <c r="D63" t="s">
        <v>23</v>
      </c>
      <c r="E63" t="s">
        <v>33</v>
      </c>
      <c r="F63" t="s">
        <v>41</v>
      </c>
      <c r="G63" t="s">
        <v>66</v>
      </c>
      <c r="H63" t="s">
        <v>35</v>
      </c>
      <c r="I63" t="s">
        <v>28</v>
      </c>
      <c r="J63" t="s">
        <v>76</v>
      </c>
      <c r="K63" t="s">
        <v>44</v>
      </c>
      <c r="L63" s="3">
        <v>330</v>
      </c>
      <c r="M63" s="3">
        <v>3</v>
      </c>
      <c r="N63">
        <v>0</v>
      </c>
      <c r="O63">
        <v>10</v>
      </c>
      <c r="P63" t="s">
        <v>63</v>
      </c>
    </row>
    <row r="64" spans="1:16">
      <c r="A64" t="s">
        <v>137</v>
      </c>
      <c r="B64" s="6">
        <v>46110.213194444441</v>
      </c>
      <c r="C64" s="2">
        <v>46111.786336203702</v>
      </c>
      <c r="D64" t="s">
        <v>23</v>
      </c>
      <c r="E64" t="s">
        <v>50</v>
      </c>
      <c r="F64" t="s">
        <v>51</v>
      </c>
      <c r="G64" t="s">
        <v>26</v>
      </c>
      <c r="H64" t="s">
        <v>42</v>
      </c>
      <c r="I64" t="s">
        <v>36</v>
      </c>
      <c r="J64" t="s">
        <v>76</v>
      </c>
      <c r="K64" t="s">
        <v>68</v>
      </c>
      <c r="L64" s="3">
        <v>217</v>
      </c>
      <c r="M64" s="3">
        <v>4</v>
      </c>
      <c r="N64">
        <v>0</v>
      </c>
      <c r="O64">
        <v>6</v>
      </c>
      <c r="P64" t="s">
        <v>31</v>
      </c>
    </row>
    <row r="65" spans="1:16">
      <c r="A65" t="s">
        <v>138</v>
      </c>
      <c r="B65" s="6">
        <v>46135.288194444445</v>
      </c>
      <c r="C65" s="2">
        <v>46135.801788483797</v>
      </c>
      <c r="D65" t="s">
        <v>23</v>
      </c>
      <c r="E65" t="s">
        <v>50</v>
      </c>
      <c r="F65" t="s">
        <v>41</v>
      </c>
      <c r="G65" t="s">
        <v>26</v>
      </c>
      <c r="H65" t="s">
        <v>42</v>
      </c>
      <c r="I65" t="s">
        <v>36</v>
      </c>
      <c r="J65" t="s">
        <v>29</v>
      </c>
      <c r="K65" t="s">
        <v>38</v>
      </c>
      <c r="L65" s="3">
        <v>115</v>
      </c>
      <c r="M65" s="3">
        <v>4</v>
      </c>
      <c r="N65">
        <v>0</v>
      </c>
      <c r="O65">
        <v>4</v>
      </c>
      <c r="P65" t="s">
        <v>31</v>
      </c>
    </row>
    <row r="66" spans="1:16">
      <c r="A66" t="s">
        <v>139</v>
      </c>
      <c r="B66" s="6">
        <v>46239.424305555556</v>
      </c>
      <c r="C66" s="2">
        <v>46239.658027430552</v>
      </c>
      <c r="D66" t="s">
        <v>23</v>
      </c>
      <c r="E66" t="s">
        <v>24</v>
      </c>
      <c r="F66" t="s">
        <v>41</v>
      </c>
      <c r="G66" t="s">
        <v>26</v>
      </c>
      <c r="H66" t="s">
        <v>35</v>
      </c>
      <c r="I66" t="s">
        <v>48</v>
      </c>
      <c r="J66" t="s">
        <v>37</v>
      </c>
      <c r="K66" t="s">
        <v>38</v>
      </c>
      <c r="L66" s="3">
        <v>15</v>
      </c>
      <c r="M66" s="3">
        <v>4</v>
      </c>
      <c r="N66">
        <v>0</v>
      </c>
      <c r="O66">
        <v>3</v>
      </c>
      <c r="P66" t="s">
        <v>31</v>
      </c>
    </row>
    <row r="67" spans="1:16">
      <c r="A67" t="s">
        <v>140</v>
      </c>
      <c r="B67" s="6">
        <v>46075.226388888892</v>
      </c>
      <c r="C67" s="2">
        <v>46075.708218298612</v>
      </c>
      <c r="D67" t="s">
        <v>23</v>
      </c>
      <c r="E67" t="s">
        <v>50</v>
      </c>
      <c r="F67" t="s">
        <v>51</v>
      </c>
      <c r="G67" t="s">
        <v>34</v>
      </c>
      <c r="H67" t="s">
        <v>27</v>
      </c>
      <c r="I67" t="s">
        <v>36</v>
      </c>
      <c r="J67" t="s">
        <v>52</v>
      </c>
      <c r="K67" t="s">
        <v>101</v>
      </c>
      <c r="L67" s="3">
        <v>158</v>
      </c>
      <c r="M67" s="3">
        <v>4</v>
      </c>
      <c r="N67">
        <v>0</v>
      </c>
      <c r="O67">
        <v>3</v>
      </c>
      <c r="P67" t="s">
        <v>31</v>
      </c>
    </row>
    <row r="68" spans="1:16">
      <c r="A68" t="s">
        <v>141</v>
      </c>
      <c r="B68" s="6">
        <v>46212.039583333331</v>
      </c>
      <c r="C68" s="2">
        <v>46214.265661180558</v>
      </c>
      <c r="D68" t="s">
        <v>23</v>
      </c>
      <c r="E68" t="s">
        <v>50</v>
      </c>
      <c r="F68" t="s">
        <v>51</v>
      </c>
      <c r="G68" t="s">
        <v>26</v>
      </c>
      <c r="H68" t="s">
        <v>35</v>
      </c>
      <c r="I68" t="s">
        <v>48</v>
      </c>
      <c r="J68" t="s">
        <v>67</v>
      </c>
      <c r="K68" t="s">
        <v>62</v>
      </c>
      <c r="L68" s="3">
        <v>106</v>
      </c>
      <c r="M68" s="3">
        <v>3</v>
      </c>
      <c r="N68">
        <v>1</v>
      </c>
      <c r="O68">
        <v>8</v>
      </c>
      <c r="P68" t="s">
        <v>31</v>
      </c>
    </row>
    <row r="69" spans="1:16">
      <c r="A69" t="s">
        <v>142</v>
      </c>
      <c r="B69" s="6">
        <v>46152.76458333333</v>
      </c>
      <c r="C69" s="2">
        <v>46154.275846574077</v>
      </c>
      <c r="D69" t="s">
        <v>23</v>
      </c>
      <c r="E69" t="s">
        <v>50</v>
      </c>
      <c r="F69" t="s">
        <v>25</v>
      </c>
      <c r="G69" t="s">
        <v>34</v>
      </c>
      <c r="H69" t="s">
        <v>27</v>
      </c>
      <c r="I69" t="s">
        <v>48</v>
      </c>
      <c r="J69" t="s">
        <v>76</v>
      </c>
      <c r="K69" t="s">
        <v>85</v>
      </c>
      <c r="L69" s="3">
        <v>86</v>
      </c>
      <c r="M69" s="3">
        <v>4</v>
      </c>
      <c r="N69">
        <v>0</v>
      </c>
      <c r="O69">
        <v>7</v>
      </c>
      <c r="P69" t="s">
        <v>31</v>
      </c>
    </row>
    <row r="70" spans="1:16">
      <c r="A70" t="s">
        <v>143</v>
      </c>
      <c r="B70" s="6">
        <v>46152.472916666666</v>
      </c>
      <c r="C70" s="2">
        <v>46153.007842754632</v>
      </c>
      <c r="D70" t="s">
        <v>23</v>
      </c>
      <c r="E70" t="s">
        <v>40</v>
      </c>
      <c r="F70" t="s">
        <v>125</v>
      </c>
      <c r="G70" t="s">
        <v>26</v>
      </c>
      <c r="H70" t="s">
        <v>35</v>
      </c>
      <c r="I70" t="s">
        <v>36</v>
      </c>
      <c r="J70" t="s">
        <v>67</v>
      </c>
      <c r="K70" t="s">
        <v>101</v>
      </c>
      <c r="L70" s="3">
        <v>46</v>
      </c>
      <c r="M70" s="3">
        <v>4</v>
      </c>
      <c r="N70">
        <v>0</v>
      </c>
      <c r="O70">
        <v>6</v>
      </c>
      <c r="P70" t="s">
        <v>31</v>
      </c>
    </row>
    <row r="71" spans="1:16">
      <c r="A71" t="s">
        <v>144</v>
      </c>
      <c r="B71" s="6">
        <v>46137.137499999997</v>
      </c>
      <c r="C71" s="2">
        <v>46139.378032372682</v>
      </c>
      <c r="D71" t="s">
        <v>23</v>
      </c>
      <c r="E71" t="s">
        <v>33</v>
      </c>
      <c r="F71" t="s">
        <v>25</v>
      </c>
      <c r="G71" t="s">
        <v>75</v>
      </c>
      <c r="H71" t="s">
        <v>27</v>
      </c>
      <c r="I71" t="s">
        <v>36</v>
      </c>
      <c r="J71" t="s">
        <v>37</v>
      </c>
      <c r="K71" t="s">
        <v>71</v>
      </c>
      <c r="L71" s="3">
        <v>415</v>
      </c>
      <c r="M71" s="3">
        <v>3</v>
      </c>
      <c r="N71">
        <v>0</v>
      </c>
      <c r="O71">
        <v>4</v>
      </c>
      <c r="P71" t="s">
        <v>31</v>
      </c>
    </row>
    <row r="72" spans="1:16">
      <c r="A72" t="s">
        <v>145</v>
      </c>
      <c r="B72" s="6">
        <v>46200.761111111111</v>
      </c>
      <c r="C72" s="2">
        <v>46201.812829236114</v>
      </c>
      <c r="D72" t="s">
        <v>23</v>
      </c>
      <c r="E72" t="s">
        <v>40</v>
      </c>
      <c r="F72" t="s">
        <v>41</v>
      </c>
      <c r="G72" t="s">
        <v>75</v>
      </c>
      <c r="H72" t="s">
        <v>42</v>
      </c>
      <c r="I72" t="s">
        <v>43</v>
      </c>
      <c r="J72" t="s">
        <v>37</v>
      </c>
      <c r="K72" t="s">
        <v>71</v>
      </c>
      <c r="L72" s="3">
        <v>26</v>
      </c>
      <c r="M72" s="3">
        <v>4</v>
      </c>
      <c r="N72">
        <v>0</v>
      </c>
      <c r="O72">
        <v>3</v>
      </c>
      <c r="P72" t="s">
        <v>31</v>
      </c>
    </row>
    <row r="73" spans="1:16">
      <c r="A73" t="s">
        <v>146</v>
      </c>
      <c r="B73" s="6">
        <v>46204.890277777777</v>
      </c>
      <c r="C73" s="2">
        <v>46205.44436627315</v>
      </c>
      <c r="D73" t="s">
        <v>23</v>
      </c>
      <c r="E73" t="s">
        <v>33</v>
      </c>
      <c r="F73" t="s">
        <v>41</v>
      </c>
      <c r="G73" t="s">
        <v>54</v>
      </c>
      <c r="H73" t="s">
        <v>35</v>
      </c>
      <c r="I73" t="s">
        <v>36</v>
      </c>
      <c r="J73" t="s">
        <v>29</v>
      </c>
      <c r="K73" t="s">
        <v>38</v>
      </c>
      <c r="L73" s="3">
        <v>446</v>
      </c>
      <c r="M73" s="3">
        <v>3</v>
      </c>
      <c r="N73">
        <v>1</v>
      </c>
      <c r="O73">
        <v>7</v>
      </c>
      <c r="P73" t="s">
        <v>31</v>
      </c>
    </row>
    <row r="74" spans="1:16">
      <c r="A74" t="s">
        <v>147</v>
      </c>
      <c r="B74" s="6">
        <v>46211.534722222219</v>
      </c>
      <c r="C74" s="2">
        <v>46212.201101168983</v>
      </c>
      <c r="D74" t="s">
        <v>23</v>
      </c>
      <c r="E74" t="s">
        <v>40</v>
      </c>
      <c r="F74" t="s">
        <v>65</v>
      </c>
      <c r="G74" t="s">
        <v>54</v>
      </c>
      <c r="H74" t="s">
        <v>42</v>
      </c>
      <c r="I74" t="s">
        <v>28</v>
      </c>
      <c r="J74" t="s">
        <v>52</v>
      </c>
      <c r="K74" t="s">
        <v>30</v>
      </c>
      <c r="L74" s="3">
        <v>85</v>
      </c>
      <c r="M74" s="3">
        <v>4</v>
      </c>
      <c r="N74">
        <v>0</v>
      </c>
      <c r="O74">
        <v>3</v>
      </c>
      <c r="P74" t="s">
        <v>31</v>
      </c>
    </row>
    <row r="75" spans="1:16">
      <c r="A75" t="s">
        <v>148</v>
      </c>
      <c r="B75" s="6">
        <v>46072.289583333331</v>
      </c>
      <c r="C75" s="2">
        <v>46073.812503032408</v>
      </c>
      <c r="D75" t="s">
        <v>23</v>
      </c>
      <c r="E75" t="s">
        <v>50</v>
      </c>
      <c r="F75" t="s">
        <v>25</v>
      </c>
      <c r="G75" t="s">
        <v>26</v>
      </c>
      <c r="H75" t="s">
        <v>35</v>
      </c>
      <c r="I75" t="s">
        <v>28</v>
      </c>
      <c r="J75" t="s">
        <v>67</v>
      </c>
      <c r="K75" t="s">
        <v>85</v>
      </c>
      <c r="L75" s="3">
        <v>127</v>
      </c>
      <c r="M75" s="3">
        <v>4</v>
      </c>
      <c r="N75">
        <v>0</v>
      </c>
      <c r="O75">
        <v>5</v>
      </c>
      <c r="P75" t="s">
        <v>31</v>
      </c>
    </row>
    <row r="76" spans="1:16">
      <c r="A76" t="s">
        <v>149</v>
      </c>
      <c r="B76" s="6">
        <v>46144.546527777777</v>
      </c>
      <c r="C76" s="2">
        <v>46145.344115428241</v>
      </c>
      <c r="D76" t="s">
        <v>23</v>
      </c>
      <c r="E76" t="s">
        <v>50</v>
      </c>
      <c r="F76" t="s">
        <v>65</v>
      </c>
      <c r="G76" t="s">
        <v>34</v>
      </c>
      <c r="H76" t="s">
        <v>27</v>
      </c>
      <c r="I76" t="s">
        <v>36</v>
      </c>
      <c r="J76" t="s">
        <v>52</v>
      </c>
      <c r="K76" t="s">
        <v>38</v>
      </c>
      <c r="L76" s="3">
        <v>157</v>
      </c>
      <c r="M76" s="3">
        <v>3</v>
      </c>
      <c r="N76">
        <v>1</v>
      </c>
      <c r="O76">
        <v>4</v>
      </c>
      <c r="P76" t="s">
        <v>31</v>
      </c>
    </row>
    <row r="77" spans="1:16">
      <c r="A77" t="s">
        <v>150</v>
      </c>
      <c r="B77" s="6">
        <v>46074.627083333333</v>
      </c>
      <c r="C77" s="2">
        <v>46075.772193391203</v>
      </c>
      <c r="D77" t="s">
        <v>23</v>
      </c>
      <c r="E77" t="s">
        <v>50</v>
      </c>
      <c r="F77" t="s">
        <v>51</v>
      </c>
      <c r="G77" t="s">
        <v>54</v>
      </c>
      <c r="H77" t="s">
        <v>35</v>
      </c>
      <c r="I77" t="s">
        <v>43</v>
      </c>
      <c r="J77" t="s">
        <v>58</v>
      </c>
      <c r="K77" t="s">
        <v>44</v>
      </c>
      <c r="L77" s="3">
        <v>30</v>
      </c>
      <c r="M77" s="3">
        <v>4</v>
      </c>
      <c r="N77">
        <v>0</v>
      </c>
      <c r="O77">
        <v>4</v>
      </c>
      <c r="P77" t="s">
        <v>31</v>
      </c>
    </row>
    <row r="78" spans="1:16">
      <c r="A78" t="s">
        <v>151</v>
      </c>
      <c r="B78" s="6">
        <v>46056.913194444445</v>
      </c>
      <c r="C78" s="2">
        <v>46058.788098275465</v>
      </c>
      <c r="D78" t="s">
        <v>23</v>
      </c>
      <c r="E78" t="s">
        <v>33</v>
      </c>
      <c r="F78" t="s">
        <v>25</v>
      </c>
      <c r="G78" t="s">
        <v>75</v>
      </c>
      <c r="H78" t="s">
        <v>42</v>
      </c>
      <c r="I78" t="s">
        <v>48</v>
      </c>
      <c r="J78" t="s">
        <v>67</v>
      </c>
      <c r="K78" t="s">
        <v>55</v>
      </c>
      <c r="L78" s="3">
        <v>150</v>
      </c>
      <c r="M78" s="3">
        <v>3</v>
      </c>
      <c r="N78">
        <v>0</v>
      </c>
      <c r="O78">
        <v>2</v>
      </c>
      <c r="P78" t="s">
        <v>31</v>
      </c>
    </row>
    <row r="79" spans="1:16">
      <c r="A79" t="s">
        <v>152</v>
      </c>
      <c r="B79" s="6">
        <v>46049.118055555555</v>
      </c>
      <c r="C79" s="2">
        <v>46049.420193055557</v>
      </c>
      <c r="D79" t="s">
        <v>23</v>
      </c>
      <c r="E79" t="s">
        <v>40</v>
      </c>
      <c r="F79" t="s">
        <v>25</v>
      </c>
      <c r="G79" t="s">
        <v>54</v>
      </c>
      <c r="H79" t="s">
        <v>35</v>
      </c>
      <c r="I79" t="s">
        <v>36</v>
      </c>
      <c r="J79" t="s">
        <v>52</v>
      </c>
      <c r="K79" t="s">
        <v>44</v>
      </c>
      <c r="L79" s="3">
        <v>71</v>
      </c>
      <c r="M79" s="3">
        <v>4</v>
      </c>
      <c r="N79">
        <v>0</v>
      </c>
      <c r="O79">
        <v>5</v>
      </c>
      <c r="P79" t="s">
        <v>31</v>
      </c>
    </row>
    <row r="80" spans="1:16">
      <c r="A80" t="s">
        <v>153</v>
      </c>
      <c r="B80" s="6">
        <v>46108.238194444442</v>
      </c>
      <c r="C80" s="2">
        <v>46108.789006944447</v>
      </c>
      <c r="D80" t="s">
        <v>23</v>
      </c>
      <c r="E80" t="s">
        <v>50</v>
      </c>
      <c r="F80" t="s">
        <v>51</v>
      </c>
      <c r="G80" t="s">
        <v>75</v>
      </c>
      <c r="H80" t="s">
        <v>27</v>
      </c>
      <c r="I80" t="s">
        <v>43</v>
      </c>
      <c r="J80" t="s">
        <v>52</v>
      </c>
      <c r="K80" t="s">
        <v>55</v>
      </c>
      <c r="L80" s="3">
        <v>60</v>
      </c>
      <c r="M80" s="3">
        <v>4</v>
      </c>
      <c r="N80">
        <v>0</v>
      </c>
      <c r="O80">
        <v>8</v>
      </c>
      <c r="P80" t="s">
        <v>63</v>
      </c>
    </row>
    <row r="81" spans="1:16">
      <c r="A81" t="s">
        <v>154</v>
      </c>
      <c r="B81" s="6">
        <v>46192.084027777775</v>
      </c>
      <c r="C81" s="2">
        <v>46192.564243564811</v>
      </c>
      <c r="D81" t="s">
        <v>23</v>
      </c>
      <c r="E81" t="s">
        <v>50</v>
      </c>
      <c r="F81" t="s">
        <v>51</v>
      </c>
      <c r="G81" t="s">
        <v>26</v>
      </c>
      <c r="H81" t="s">
        <v>42</v>
      </c>
      <c r="I81" t="s">
        <v>43</v>
      </c>
      <c r="J81" t="s">
        <v>52</v>
      </c>
      <c r="K81" t="s">
        <v>38</v>
      </c>
      <c r="L81" s="3">
        <v>141</v>
      </c>
      <c r="M81" s="3">
        <v>4</v>
      </c>
      <c r="N81">
        <v>0</v>
      </c>
      <c r="O81">
        <v>4</v>
      </c>
      <c r="P81" t="s">
        <v>31</v>
      </c>
    </row>
    <row r="82" spans="1:16">
      <c r="A82" t="s">
        <v>155</v>
      </c>
      <c r="B82" s="6">
        <v>46108.771527777775</v>
      </c>
      <c r="C82" s="2">
        <v>46111.294603668983</v>
      </c>
      <c r="D82" t="s">
        <v>23</v>
      </c>
      <c r="E82" t="s">
        <v>50</v>
      </c>
      <c r="F82" t="s">
        <v>65</v>
      </c>
      <c r="G82" t="s">
        <v>26</v>
      </c>
      <c r="H82" t="s">
        <v>27</v>
      </c>
      <c r="I82" t="s">
        <v>43</v>
      </c>
      <c r="J82" t="s">
        <v>37</v>
      </c>
      <c r="K82" t="s">
        <v>44</v>
      </c>
      <c r="L82" s="3">
        <v>65</v>
      </c>
      <c r="M82" s="3">
        <v>4</v>
      </c>
      <c r="N82">
        <v>0</v>
      </c>
      <c r="O82">
        <v>11</v>
      </c>
      <c r="P82" t="s">
        <v>63</v>
      </c>
    </row>
    <row r="83" spans="1:16">
      <c r="A83" t="s">
        <v>156</v>
      </c>
      <c r="B83" s="6">
        <v>46101.301388888889</v>
      </c>
      <c r="C83" s="2">
        <v>46101.539212997683</v>
      </c>
      <c r="D83" t="s">
        <v>23</v>
      </c>
      <c r="E83" t="s">
        <v>24</v>
      </c>
      <c r="F83" t="s">
        <v>25</v>
      </c>
      <c r="G83" t="s">
        <v>34</v>
      </c>
      <c r="H83" t="s">
        <v>35</v>
      </c>
      <c r="I83" t="s">
        <v>28</v>
      </c>
      <c r="J83" t="s">
        <v>37</v>
      </c>
      <c r="K83" t="s">
        <v>68</v>
      </c>
      <c r="L83" s="3">
        <v>10</v>
      </c>
      <c r="M83" s="3">
        <v>5</v>
      </c>
      <c r="N83">
        <v>0</v>
      </c>
      <c r="O83">
        <v>11</v>
      </c>
      <c r="P83" t="s">
        <v>63</v>
      </c>
    </row>
    <row r="84" spans="1:16">
      <c r="A84" t="s">
        <v>157</v>
      </c>
      <c r="B84" s="6">
        <v>46132.088888888888</v>
      </c>
      <c r="C84" s="2"/>
      <c r="D84" t="s">
        <v>57</v>
      </c>
      <c r="E84" t="s">
        <v>50</v>
      </c>
      <c r="F84" t="s">
        <v>65</v>
      </c>
      <c r="G84" t="s">
        <v>54</v>
      </c>
      <c r="H84" t="s">
        <v>35</v>
      </c>
      <c r="I84" t="s">
        <v>36</v>
      </c>
      <c r="J84" t="s">
        <v>76</v>
      </c>
      <c r="K84" t="s">
        <v>93</v>
      </c>
      <c r="L84" s="3">
        <v>169</v>
      </c>
      <c r="M84" s="3"/>
      <c r="N84">
        <v>0</v>
      </c>
      <c r="O84">
        <v>2</v>
      </c>
      <c r="P84" t="s">
        <v>31</v>
      </c>
    </row>
    <row r="85" spans="1:16">
      <c r="A85" t="s">
        <v>158</v>
      </c>
      <c r="B85" s="6">
        <v>46100.199305555558</v>
      </c>
      <c r="C85" s="2">
        <v>46100.755538715275</v>
      </c>
      <c r="D85" t="s">
        <v>23</v>
      </c>
      <c r="E85" t="s">
        <v>40</v>
      </c>
      <c r="F85" t="s">
        <v>51</v>
      </c>
      <c r="G85" t="s">
        <v>26</v>
      </c>
      <c r="H85" t="s">
        <v>27</v>
      </c>
      <c r="I85" t="s">
        <v>43</v>
      </c>
      <c r="J85" t="s">
        <v>37</v>
      </c>
      <c r="K85" t="s">
        <v>68</v>
      </c>
      <c r="L85" s="3" t="s">
        <v>159</v>
      </c>
      <c r="M85" s="3">
        <v>5</v>
      </c>
      <c r="N85">
        <v>0</v>
      </c>
      <c r="O85">
        <v>4</v>
      </c>
      <c r="P85" t="s">
        <v>31</v>
      </c>
    </row>
    <row r="86" spans="1:16">
      <c r="A86" t="s">
        <v>160</v>
      </c>
      <c r="B86" s="6">
        <v>46248.775000000001</v>
      </c>
      <c r="C86" s="2">
        <v>46249.459638449072</v>
      </c>
      <c r="D86" t="s">
        <v>23</v>
      </c>
      <c r="E86" t="s">
        <v>40</v>
      </c>
      <c r="F86" t="s">
        <v>65</v>
      </c>
      <c r="G86" t="s">
        <v>26</v>
      </c>
      <c r="H86" t="s">
        <v>42</v>
      </c>
      <c r="I86" t="s">
        <v>28</v>
      </c>
      <c r="J86" t="s">
        <v>67</v>
      </c>
      <c r="K86" t="s">
        <v>44</v>
      </c>
      <c r="L86" s="3">
        <v>23</v>
      </c>
      <c r="M86" s="3">
        <v>5</v>
      </c>
      <c r="N86">
        <v>0</v>
      </c>
      <c r="O86">
        <v>5</v>
      </c>
      <c r="P86" t="s">
        <v>31</v>
      </c>
    </row>
    <row r="87" spans="1:16">
      <c r="A87" t="s">
        <v>161</v>
      </c>
      <c r="B87" s="6">
        <v>46111.912499999999</v>
      </c>
      <c r="C87" s="2">
        <v>46113.916537754631</v>
      </c>
      <c r="D87" t="s">
        <v>23</v>
      </c>
      <c r="E87" t="s">
        <v>50</v>
      </c>
      <c r="F87" t="s">
        <v>51</v>
      </c>
      <c r="G87" t="s">
        <v>26</v>
      </c>
      <c r="H87" t="s">
        <v>35</v>
      </c>
      <c r="I87" t="s">
        <v>43</v>
      </c>
      <c r="J87" t="s">
        <v>37</v>
      </c>
      <c r="K87" t="s">
        <v>68</v>
      </c>
      <c r="L87" s="3">
        <v>112</v>
      </c>
      <c r="M87" s="3">
        <v>4</v>
      </c>
      <c r="N87">
        <v>0</v>
      </c>
      <c r="O87">
        <v>6</v>
      </c>
      <c r="P87" t="s">
        <v>31</v>
      </c>
    </row>
    <row r="88" spans="1:16">
      <c r="A88" t="s">
        <v>162</v>
      </c>
      <c r="B88" s="6">
        <v>46068.692361111112</v>
      </c>
      <c r="C88" s="2">
        <v>46069.081243599539</v>
      </c>
      <c r="D88" t="s">
        <v>23</v>
      </c>
      <c r="E88" t="s">
        <v>40</v>
      </c>
      <c r="F88" t="s">
        <v>41</v>
      </c>
      <c r="G88" t="s">
        <v>26</v>
      </c>
      <c r="H88" t="s">
        <v>35</v>
      </c>
      <c r="I88" t="s">
        <v>36</v>
      </c>
      <c r="J88" t="s">
        <v>163</v>
      </c>
      <c r="K88" t="s">
        <v>101</v>
      </c>
      <c r="L88" s="3">
        <v>44</v>
      </c>
      <c r="M88" s="3">
        <v>4</v>
      </c>
      <c r="N88">
        <v>0</v>
      </c>
      <c r="O88">
        <v>6</v>
      </c>
      <c r="P88" t="s">
        <v>31</v>
      </c>
    </row>
    <row r="89" spans="1:16">
      <c r="A89" t="s">
        <v>164</v>
      </c>
      <c r="B89" s="6">
        <v>46151.601388888892</v>
      </c>
      <c r="C89" s="2">
        <v>46151.867946053244</v>
      </c>
      <c r="D89" t="s">
        <v>23</v>
      </c>
      <c r="E89" t="s">
        <v>24</v>
      </c>
      <c r="F89" t="s">
        <v>51</v>
      </c>
      <c r="G89" t="s">
        <v>26</v>
      </c>
      <c r="H89" t="s">
        <v>35</v>
      </c>
      <c r="I89" t="s">
        <v>36</v>
      </c>
      <c r="J89" t="s">
        <v>67</v>
      </c>
      <c r="K89" t="s">
        <v>44</v>
      </c>
      <c r="L89" s="3">
        <v>25</v>
      </c>
      <c r="M89" s="3">
        <v>4</v>
      </c>
      <c r="N89">
        <v>1</v>
      </c>
      <c r="O89">
        <v>7</v>
      </c>
      <c r="P89" t="s">
        <v>31</v>
      </c>
    </row>
    <row r="90" spans="1:16">
      <c r="A90" t="s">
        <v>165</v>
      </c>
      <c r="B90" s="6" t="s">
        <v>166</v>
      </c>
      <c r="C90" s="2">
        <v>46217.7907705787</v>
      </c>
      <c r="D90" t="s">
        <v>23</v>
      </c>
      <c r="E90" t="s">
        <v>50</v>
      </c>
      <c r="F90" t="s">
        <v>51</v>
      </c>
      <c r="G90" t="s">
        <v>54</v>
      </c>
      <c r="H90" t="s">
        <v>27</v>
      </c>
      <c r="I90" t="s">
        <v>28</v>
      </c>
      <c r="J90" t="s">
        <v>52</v>
      </c>
      <c r="K90" t="s">
        <v>44</v>
      </c>
      <c r="L90" s="3">
        <v>71</v>
      </c>
      <c r="M90" s="3">
        <v>5</v>
      </c>
      <c r="N90">
        <v>0</v>
      </c>
      <c r="O90">
        <v>5</v>
      </c>
      <c r="P90" t="s">
        <v>31</v>
      </c>
    </row>
    <row r="91" spans="1:16">
      <c r="A91" t="s">
        <v>167</v>
      </c>
      <c r="B91" s="6">
        <v>46238.871527777781</v>
      </c>
      <c r="C91" s="2">
        <v>46240.546385046298</v>
      </c>
      <c r="D91" t="s">
        <v>23</v>
      </c>
      <c r="E91" t="s">
        <v>33</v>
      </c>
      <c r="F91" t="s">
        <v>51</v>
      </c>
      <c r="G91" t="s">
        <v>34</v>
      </c>
      <c r="H91" t="s">
        <v>35</v>
      </c>
      <c r="I91" t="s">
        <v>48</v>
      </c>
      <c r="J91" t="s">
        <v>58</v>
      </c>
      <c r="K91" t="s">
        <v>101</v>
      </c>
      <c r="L91" s="3">
        <v>251</v>
      </c>
      <c r="M91" s="3">
        <v>3</v>
      </c>
      <c r="N91">
        <v>0</v>
      </c>
      <c r="O91">
        <v>4</v>
      </c>
      <c r="P91" t="s">
        <v>31</v>
      </c>
    </row>
    <row r="92" spans="1:16">
      <c r="A92" t="s">
        <v>168</v>
      </c>
      <c r="B92" s="6" t="s">
        <v>169</v>
      </c>
      <c r="C92" s="2">
        <v>46068.841110381945</v>
      </c>
      <c r="D92" t="s">
        <v>23</v>
      </c>
      <c r="E92" t="s">
        <v>33</v>
      </c>
      <c r="F92" t="s">
        <v>51</v>
      </c>
      <c r="G92" t="s">
        <v>120</v>
      </c>
      <c r="H92" t="s">
        <v>42</v>
      </c>
      <c r="I92" t="s">
        <v>28</v>
      </c>
      <c r="J92" t="s">
        <v>37</v>
      </c>
      <c r="K92" t="s">
        <v>71</v>
      </c>
      <c r="L92" s="3">
        <v>287</v>
      </c>
      <c r="M92" s="3">
        <v>3</v>
      </c>
      <c r="N92">
        <v>0</v>
      </c>
      <c r="O92">
        <v>3</v>
      </c>
      <c r="P92" t="s">
        <v>31</v>
      </c>
    </row>
    <row r="93" spans="1:16">
      <c r="A93" t="s">
        <v>170</v>
      </c>
      <c r="B93" s="6" t="s">
        <v>171</v>
      </c>
      <c r="C93" s="2">
        <v>46102.032249791664</v>
      </c>
      <c r="D93" t="s">
        <v>23</v>
      </c>
      <c r="E93" t="s">
        <v>33</v>
      </c>
      <c r="F93" t="s">
        <v>41</v>
      </c>
      <c r="G93" t="s">
        <v>34</v>
      </c>
      <c r="H93" t="s">
        <v>35</v>
      </c>
      <c r="I93" t="s">
        <v>43</v>
      </c>
      <c r="J93" t="s">
        <v>76</v>
      </c>
      <c r="K93" t="s">
        <v>71</v>
      </c>
      <c r="L93" s="3">
        <v>114</v>
      </c>
      <c r="M93" s="3">
        <v>4</v>
      </c>
      <c r="N93">
        <v>0</v>
      </c>
      <c r="O93">
        <v>2</v>
      </c>
      <c r="P93" t="s">
        <v>31</v>
      </c>
    </row>
    <row r="94" spans="1:16">
      <c r="A94" t="s">
        <v>172</v>
      </c>
      <c r="B94" s="6" t="s">
        <v>173</v>
      </c>
      <c r="C94" s="2">
        <v>46171.967288194443</v>
      </c>
      <c r="D94" t="s">
        <v>23</v>
      </c>
      <c r="E94" t="s">
        <v>50</v>
      </c>
      <c r="F94" t="s">
        <v>65</v>
      </c>
      <c r="G94" t="s">
        <v>66</v>
      </c>
      <c r="H94" t="s">
        <v>35</v>
      </c>
      <c r="I94" t="s">
        <v>28</v>
      </c>
      <c r="J94" t="s">
        <v>58</v>
      </c>
      <c r="K94" t="s">
        <v>55</v>
      </c>
      <c r="L94" s="3">
        <v>218</v>
      </c>
      <c r="M94" s="3">
        <v>3</v>
      </c>
      <c r="N94">
        <v>1</v>
      </c>
      <c r="O94">
        <v>5</v>
      </c>
      <c r="P94" t="s">
        <v>31</v>
      </c>
    </row>
    <row r="95" spans="1:16">
      <c r="A95" t="s">
        <v>174</v>
      </c>
      <c r="B95" s="6">
        <v>46104.588888888888</v>
      </c>
      <c r="C95" s="2">
        <v>46105.589207592595</v>
      </c>
      <c r="D95" t="s">
        <v>23</v>
      </c>
      <c r="E95" t="s">
        <v>50</v>
      </c>
      <c r="F95" t="s">
        <v>41</v>
      </c>
      <c r="G95" t="s">
        <v>54</v>
      </c>
      <c r="H95" t="s">
        <v>42</v>
      </c>
      <c r="I95" t="s">
        <v>36</v>
      </c>
      <c r="J95" t="s">
        <v>52</v>
      </c>
      <c r="K95" t="s">
        <v>55</v>
      </c>
      <c r="L95" s="3">
        <v>116</v>
      </c>
      <c r="M95" s="3">
        <v>4</v>
      </c>
      <c r="N95">
        <v>0</v>
      </c>
      <c r="O95">
        <v>6</v>
      </c>
      <c r="P95" t="s">
        <v>31</v>
      </c>
    </row>
    <row r="96" spans="1:16">
      <c r="A96" t="s">
        <v>175</v>
      </c>
      <c r="B96" s="6">
        <v>46134.293055555558</v>
      </c>
      <c r="C96" s="2">
        <v>46134.977365358798</v>
      </c>
      <c r="D96" t="s">
        <v>23</v>
      </c>
      <c r="E96" t="s">
        <v>40</v>
      </c>
      <c r="F96" t="s">
        <v>125</v>
      </c>
      <c r="G96" t="s">
        <v>26</v>
      </c>
      <c r="H96" t="s">
        <v>42</v>
      </c>
      <c r="I96" t="s">
        <v>36</v>
      </c>
      <c r="J96" t="s">
        <v>58</v>
      </c>
      <c r="K96" t="s">
        <v>68</v>
      </c>
      <c r="L96" s="3">
        <v>44</v>
      </c>
      <c r="M96" s="3">
        <v>4</v>
      </c>
      <c r="N96">
        <v>0</v>
      </c>
      <c r="O96">
        <v>2</v>
      </c>
      <c r="P96" t="s">
        <v>31</v>
      </c>
    </row>
    <row r="97" spans="1:16">
      <c r="A97" t="s">
        <v>176</v>
      </c>
      <c r="B97" s="6">
        <v>46099.631249999999</v>
      </c>
      <c r="C97" s="2">
        <v>46099.861206504633</v>
      </c>
      <c r="D97" t="s">
        <v>23</v>
      </c>
      <c r="E97" t="s">
        <v>24</v>
      </c>
      <c r="F97" t="s">
        <v>41</v>
      </c>
      <c r="G97" t="s">
        <v>34</v>
      </c>
      <c r="H97" t="s">
        <v>35</v>
      </c>
      <c r="I97" t="s">
        <v>36</v>
      </c>
      <c r="J97" t="s">
        <v>29</v>
      </c>
      <c r="K97" t="s">
        <v>101</v>
      </c>
      <c r="L97" s="3">
        <v>28</v>
      </c>
      <c r="M97" s="3">
        <v>4</v>
      </c>
      <c r="N97">
        <v>2</v>
      </c>
      <c r="O97">
        <v>14</v>
      </c>
      <c r="P97" t="s">
        <v>31</v>
      </c>
    </row>
    <row r="98" spans="1:16">
      <c r="A98" t="s">
        <v>177</v>
      </c>
      <c r="B98" s="6">
        <v>46105.706250000003</v>
      </c>
      <c r="C98" s="2">
        <v>46106.778603993058</v>
      </c>
      <c r="D98" t="s">
        <v>23</v>
      </c>
      <c r="E98" t="s">
        <v>50</v>
      </c>
      <c r="F98" t="s">
        <v>65</v>
      </c>
      <c r="G98" t="s">
        <v>66</v>
      </c>
      <c r="H98" t="s">
        <v>35</v>
      </c>
      <c r="I98" t="s">
        <v>28</v>
      </c>
      <c r="J98" t="s">
        <v>67</v>
      </c>
      <c r="K98" t="s">
        <v>71</v>
      </c>
      <c r="L98" s="3">
        <v>167</v>
      </c>
      <c r="M98" s="3">
        <v>4</v>
      </c>
      <c r="N98">
        <v>0</v>
      </c>
      <c r="O98">
        <v>5</v>
      </c>
      <c r="P98" t="s">
        <v>31</v>
      </c>
    </row>
    <row r="99" spans="1:16">
      <c r="A99" t="s">
        <v>178</v>
      </c>
      <c r="B99" s="6">
        <v>46125.921527777777</v>
      </c>
      <c r="C99" s="2">
        <v>46127.870564027777</v>
      </c>
      <c r="D99" t="s">
        <v>23</v>
      </c>
      <c r="E99" t="s">
        <v>50</v>
      </c>
      <c r="F99" t="s">
        <v>25</v>
      </c>
      <c r="G99" t="s">
        <v>26</v>
      </c>
      <c r="H99" t="s">
        <v>35</v>
      </c>
      <c r="I99" t="s">
        <v>28</v>
      </c>
      <c r="J99" t="s">
        <v>52</v>
      </c>
      <c r="K99" t="s">
        <v>68</v>
      </c>
      <c r="L99" s="3">
        <v>108</v>
      </c>
      <c r="M99" s="3">
        <v>4</v>
      </c>
      <c r="N99">
        <v>0</v>
      </c>
      <c r="O99">
        <v>3</v>
      </c>
      <c r="P99" t="s">
        <v>31</v>
      </c>
    </row>
    <row r="100" spans="1:16">
      <c r="A100" t="s">
        <v>179</v>
      </c>
      <c r="B100" s="6">
        <v>46134.2</v>
      </c>
      <c r="C100" s="2">
        <v>46137.222632291669</v>
      </c>
      <c r="D100" t="s">
        <v>23</v>
      </c>
      <c r="E100" t="s">
        <v>50</v>
      </c>
      <c r="F100" t="s">
        <v>51</v>
      </c>
      <c r="G100" t="s">
        <v>75</v>
      </c>
      <c r="H100" t="s">
        <v>35</v>
      </c>
      <c r="I100" t="s">
        <v>28</v>
      </c>
      <c r="J100" t="s">
        <v>37</v>
      </c>
      <c r="K100" t="s">
        <v>68</v>
      </c>
      <c r="L100" s="3">
        <v>50</v>
      </c>
      <c r="M100" s="3">
        <v>4</v>
      </c>
      <c r="N100">
        <v>0</v>
      </c>
      <c r="O100">
        <v>4</v>
      </c>
      <c r="P100" t="s">
        <v>31</v>
      </c>
    </row>
    <row r="101" spans="1:16">
      <c r="A101" t="s">
        <v>180</v>
      </c>
      <c r="B101" s="6" t="s">
        <v>181</v>
      </c>
      <c r="C101" s="2">
        <v>46241.880477106482</v>
      </c>
      <c r="D101" t="s">
        <v>23</v>
      </c>
      <c r="E101" t="s">
        <v>40</v>
      </c>
      <c r="F101" t="s">
        <v>51</v>
      </c>
      <c r="G101" t="s">
        <v>34</v>
      </c>
      <c r="H101" t="s">
        <v>27</v>
      </c>
      <c r="I101" t="s">
        <v>36</v>
      </c>
      <c r="J101" t="s">
        <v>76</v>
      </c>
      <c r="K101" t="s">
        <v>85</v>
      </c>
      <c r="L101" s="3">
        <v>28</v>
      </c>
      <c r="M101" s="3">
        <v>4</v>
      </c>
      <c r="N101">
        <v>0</v>
      </c>
      <c r="O101">
        <v>7</v>
      </c>
      <c r="P101" t="s">
        <v>31</v>
      </c>
    </row>
    <row r="102" spans="1:16">
      <c r="A102" t="s">
        <v>182</v>
      </c>
      <c r="B102" s="6">
        <v>46192.272916666669</v>
      </c>
      <c r="C102" s="2">
        <v>46192.675763969906</v>
      </c>
      <c r="D102" t="s">
        <v>23</v>
      </c>
      <c r="E102" t="s">
        <v>24</v>
      </c>
      <c r="F102" t="s">
        <v>25</v>
      </c>
      <c r="G102" t="s">
        <v>26</v>
      </c>
      <c r="H102" t="s">
        <v>42</v>
      </c>
      <c r="I102" t="s">
        <v>28</v>
      </c>
      <c r="J102" t="s">
        <v>37</v>
      </c>
      <c r="K102" t="s">
        <v>101</v>
      </c>
      <c r="L102" s="3">
        <v>16</v>
      </c>
      <c r="M102" s="3">
        <v>5</v>
      </c>
      <c r="N102">
        <v>0</v>
      </c>
      <c r="O102">
        <v>4</v>
      </c>
      <c r="P102" t="s">
        <v>31</v>
      </c>
    </row>
    <row r="103" spans="1:16">
      <c r="A103" t="s">
        <v>183</v>
      </c>
      <c r="B103" s="6">
        <v>46043.504166666666</v>
      </c>
      <c r="C103" s="2">
        <v>46044.187616053241</v>
      </c>
      <c r="D103" t="s">
        <v>23</v>
      </c>
      <c r="E103" t="s">
        <v>50</v>
      </c>
      <c r="F103" t="s">
        <v>25</v>
      </c>
      <c r="G103" t="s">
        <v>34</v>
      </c>
      <c r="H103" t="s">
        <v>35</v>
      </c>
      <c r="I103" t="s">
        <v>28</v>
      </c>
      <c r="J103" t="s">
        <v>58</v>
      </c>
      <c r="K103" t="s">
        <v>68</v>
      </c>
      <c r="L103" s="3">
        <v>41</v>
      </c>
      <c r="M103" s="3">
        <v>4</v>
      </c>
      <c r="N103">
        <v>1</v>
      </c>
      <c r="O103">
        <v>9</v>
      </c>
      <c r="P103" t="s">
        <v>31</v>
      </c>
    </row>
    <row r="104" spans="1:16">
      <c r="A104" t="s">
        <v>184</v>
      </c>
      <c r="B104" s="6">
        <v>46029.480555555558</v>
      </c>
      <c r="C104" s="2">
        <v>46030.808883680555</v>
      </c>
      <c r="D104" t="s">
        <v>23</v>
      </c>
      <c r="E104" t="s">
        <v>33</v>
      </c>
      <c r="F104" t="s">
        <v>41</v>
      </c>
      <c r="G104" t="s">
        <v>34</v>
      </c>
      <c r="H104" t="s">
        <v>35</v>
      </c>
      <c r="I104" t="s">
        <v>48</v>
      </c>
      <c r="J104" t="s">
        <v>37</v>
      </c>
      <c r="K104" t="s">
        <v>44</v>
      </c>
      <c r="L104" s="3">
        <v>433</v>
      </c>
      <c r="M104" s="3">
        <v>3</v>
      </c>
      <c r="N104">
        <v>0</v>
      </c>
      <c r="O104">
        <v>11</v>
      </c>
      <c r="P104" t="s">
        <v>63</v>
      </c>
    </row>
    <row r="105" spans="1:16">
      <c r="A105" t="s">
        <v>185</v>
      </c>
      <c r="B105" s="6">
        <v>46129.185416666667</v>
      </c>
      <c r="C105" s="2">
        <v>46130.032677418982</v>
      </c>
      <c r="D105" t="s">
        <v>23</v>
      </c>
      <c r="E105" t="s">
        <v>50</v>
      </c>
      <c r="F105" t="s">
        <v>25</v>
      </c>
      <c r="G105" t="s">
        <v>54</v>
      </c>
      <c r="H105" t="s">
        <v>42</v>
      </c>
      <c r="I105" t="s">
        <v>48</v>
      </c>
      <c r="J105" t="s">
        <v>29</v>
      </c>
      <c r="K105" t="s">
        <v>101</v>
      </c>
      <c r="L105" s="3">
        <v>66</v>
      </c>
      <c r="M105" s="3">
        <v>4</v>
      </c>
      <c r="N105">
        <v>0</v>
      </c>
      <c r="O105">
        <v>6</v>
      </c>
      <c r="P105" t="s">
        <v>31</v>
      </c>
    </row>
    <row r="106" spans="1:16">
      <c r="A106" t="s">
        <v>186</v>
      </c>
      <c r="B106" s="6">
        <v>46176.206944444442</v>
      </c>
      <c r="C106" s="2">
        <v>46179.760790740744</v>
      </c>
      <c r="D106" t="s">
        <v>23</v>
      </c>
      <c r="E106" t="s">
        <v>33</v>
      </c>
      <c r="F106" t="s">
        <v>51</v>
      </c>
      <c r="G106" t="s">
        <v>34</v>
      </c>
      <c r="H106" t="s">
        <v>42</v>
      </c>
      <c r="I106" t="s">
        <v>48</v>
      </c>
      <c r="J106" t="s">
        <v>37</v>
      </c>
      <c r="K106" t="s">
        <v>38</v>
      </c>
      <c r="L106" s="3">
        <v>347</v>
      </c>
      <c r="M106" s="3">
        <v>3</v>
      </c>
      <c r="N106">
        <v>0</v>
      </c>
      <c r="O106">
        <v>2</v>
      </c>
      <c r="P106" t="s">
        <v>31</v>
      </c>
    </row>
    <row r="107" spans="1:16">
      <c r="A107" t="s">
        <v>187</v>
      </c>
      <c r="B107" s="6">
        <v>46111.740277777775</v>
      </c>
      <c r="C107" s="2">
        <v>46111.91347821759</v>
      </c>
      <c r="D107" t="s">
        <v>23</v>
      </c>
      <c r="E107" t="s">
        <v>24</v>
      </c>
      <c r="F107" t="s">
        <v>25</v>
      </c>
      <c r="G107" t="s">
        <v>75</v>
      </c>
      <c r="H107" t="s">
        <v>42</v>
      </c>
      <c r="I107" t="s">
        <v>36</v>
      </c>
      <c r="J107" t="s">
        <v>52</v>
      </c>
      <c r="K107" t="s">
        <v>30</v>
      </c>
      <c r="L107" s="3">
        <v>24</v>
      </c>
      <c r="M107" s="3">
        <v>3</v>
      </c>
      <c r="N107">
        <v>2</v>
      </c>
      <c r="O107">
        <v>8</v>
      </c>
      <c r="P107" t="s">
        <v>31</v>
      </c>
    </row>
    <row r="108" spans="1:16">
      <c r="A108" t="s">
        <v>188</v>
      </c>
      <c r="B108" s="6">
        <v>46224.15902777778</v>
      </c>
      <c r="C108" s="2">
        <v>46226.179738055558</v>
      </c>
      <c r="D108" t="s">
        <v>23</v>
      </c>
      <c r="E108" t="s">
        <v>50</v>
      </c>
      <c r="F108" t="s">
        <v>41</v>
      </c>
      <c r="G108" t="s">
        <v>54</v>
      </c>
      <c r="H108" t="s">
        <v>27</v>
      </c>
      <c r="I108" t="s">
        <v>48</v>
      </c>
      <c r="J108" t="s">
        <v>58</v>
      </c>
      <c r="K108" t="s">
        <v>55</v>
      </c>
      <c r="L108" s="3">
        <v>64</v>
      </c>
      <c r="M108" s="3">
        <v>4</v>
      </c>
      <c r="N108">
        <v>0</v>
      </c>
      <c r="O108">
        <v>7</v>
      </c>
      <c r="P108" t="s">
        <v>31</v>
      </c>
    </row>
    <row r="109" spans="1:16">
      <c r="A109" t="s">
        <v>189</v>
      </c>
      <c r="B109" s="6">
        <v>46038.482638888891</v>
      </c>
      <c r="C109" s="2">
        <v>46040.816436273148</v>
      </c>
      <c r="D109" t="s">
        <v>23</v>
      </c>
      <c r="E109" t="s">
        <v>33</v>
      </c>
      <c r="F109" t="s">
        <v>51</v>
      </c>
      <c r="G109" t="s">
        <v>54</v>
      </c>
      <c r="H109" t="s">
        <v>42</v>
      </c>
      <c r="I109" t="s">
        <v>43</v>
      </c>
      <c r="J109" t="s">
        <v>37</v>
      </c>
      <c r="K109" t="s">
        <v>71</v>
      </c>
      <c r="L109" s="3">
        <v>134</v>
      </c>
      <c r="M109" s="3">
        <v>3</v>
      </c>
      <c r="N109">
        <v>0</v>
      </c>
      <c r="O109">
        <v>6</v>
      </c>
      <c r="P109" t="s">
        <v>31</v>
      </c>
    </row>
    <row r="110" spans="1:16">
      <c r="A110" t="s">
        <v>190</v>
      </c>
      <c r="B110" s="6" t="s">
        <v>191</v>
      </c>
      <c r="C110" s="2">
        <v>46124.182041956017</v>
      </c>
      <c r="D110" t="s">
        <v>23</v>
      </c>
      <c r="E110" t="s">
        <v>50</v>
      </c>
      <c r="F110" t="s">
        <v>25</v>
      </c>
      <c r="G110" t="s">
        <v>26</v>
      </c>
      <c r="H110" t="s">
        <v>42</v>
      </c>
      <c r="I110" t="s">
        <v>48</v>
      </c>
      <c r="J110" t="s">
        <v>37</v>
      </c>
      <c r="K110" t="s">
        <v>93</v>
      </c>
      <c r="L110" s="3">
        <v>56</v>
      </c>
      <c r="M110" s="3">
        <v>3</v>
      </c>
      <c r="N110">
        <v>2</v>
      </c>
      <c r="O110">
        <v>11</v>
      </c>
      <c r="P110" t="s">
        <v>31</v>
      </c>
    </row>
    <row r="111" spans="1:16">
      <c r="A111" t="s">
        <v>192</v>
      </c>
      <c r="B111" s="6">
        <v>46094.084027777775</v>
      </c>
      <c r="C111" s="2">
        <v>46095.126048773149</v>
      </c>
      <c r="D111" t="s">
        <v>23</v>
      </c>
      <c r="E111" t="s">
        <v>33</v>
      </c>
      <c r="F111" t="s">
        <v>65</v>
      </c>
      <c r="G111" t="s">
        <v>34</v>
      </c>
      <c r="H111" t="s">
        <v>27</v>
      </c>
      <c r="I111" t="s">
        <v>43</v>
      </c>
      <c r="J111" t="s">
        <v>76</v>
      </c>
      <c r="K111" t="s">
        <v>30</v>
      </c>
      <c r="L111" s="3">
        <v>218</v>
      </c>
      <c r="M111" s="3">
        <v>4</v>
      </c>
      <c r="N111">
        <v>0</v>
      </c>
      <c r="O111">
        <v>3</v>
      </c>
      <c r="P111" t="s">
        <v>31</v>
      </c>
    </row>
    <row r="112" spans="1:16">
      <c r="A112" t="s">
        <v>193</v>
      </c>
      <c r="B112" s="6">
        <v>46216.393750000003</v>
      </c>
      <c r="C112" s="2">
        <v>46216.643436724538</v>
      </c>
      <c r="D112" t="s">
        <v>23</v>
      </c>
      <c r="E112" t="s">
        <v>24</v>
      </c>
      <c r="F112" t="s">
        <v>25</v>
      </c>
      <c r="G112" t="s">
        <v>26</v>
      </c>
      <c r="H112" t="s">
        <v>35</v>
      </c>
      <c r="I112" t="s">
        <v>43</v>
      </c>
      <c r="J112" t="s">
        <v>52</v>
      </c>
      <c r="K112" t="s">
        <v>93</v>
      </c>
      <c r="L112" s="3">
        <v>24</v>
      </c>
      <c r="M112" s="3">
        <v>4</v>
      </c>
      <c r="N112">
        <v>0</v>
      </c>
      <c r="O112">
        <v>2</v>
      </c>
      <c r="P112" t="s">
        <v>31</v>
      </c>
    </row>
    <row r="113" spans="1:16">
      <c r="A113" t="s">
        <v>194</v>
      </c>
      <c r="B113" s="6">
        <v>46174.411111111112</v>
      </c>
      <c r="C113" s="2">
        <v>46174.70178638889</v>
      </c>
      <c r="D113" t="s">
        <v>23</v>
      </c>
      <c r="E113" t="s">
        <v>50</v>
      </c>
      <c r="F113" t="s">
        <v>25</v>
      </c>
      <c r="G113" t="s">
        <v>26</v>
      </c>
      <c r="H113" t="s">
        <v>27</v>
      </c>
      <c r="I113" t="s">
        <v>28</v>
      </c>
      <c r="J113" t="s">
        <v>52</v>
      </c>
      <c r="K113" t="s">
        <v>38</v>
      </c>
      <c r="L113" s="3">
        <v>183</v>
      </c>
      <c r="M113" s="3">
        <v>4</v>
      </c>
      <c r="N113">
        <v>1</v>
      </c>
      <c r="O113">
        <v>6</v>
      </c>
      <c r="P113" t="s">
        <v>31</v>
      </c>
    </row>
    <row r="114" spans="1:16">
      <c r="A114" t="s">
        <v>195</v>
      </c>
      <c r="B114" s="6">
        <v>46077.220833333333</v>
      </c>
      <c r="C114" s="2">
        <v>46079.547794861108</v>
      </c>
      <c r="D114" t="s">
        <v>23</v>
      </c>
      <c r="E114" t="s">
        <v>50</v>
      </c>
      <c r="F114" t="s">
        <v>65</v>
      </c>
      <c r="G114" t="s">
        <v>26</v>
      </c>
      <c r="H114" t="s">
        <v>35</v>
      </c>
      <c r="I114" t="s">
        <v>48</v>
      </c>
      <c r="J114" t="s">
        <v>76</v>
      </c>
      <c r="K114" t="s">
        <v>71</v>
      </c>
      <c r="L114" s="3">
        <v>152</v>
      </c>
      <c r="M114" s="3">
        <v>3</v>
      </c>
      <c r="N114">
        <v>0</v>
      </c>
      <c r="O114">
        <v>7</v>
      </c>
      <c r="P114" t="s">
        <v>31</v>
      </c>
    </row>
    <row r="115" spans="1:16">
      <c r="A115" t="s">
        <v>196</v>
      </c>
      <c r="B115" s="6">
        <v>46063.505555555559</v>
      </c>
      <c r="C115" s="2" t="s">
        <v>197</v>
      </c>
      <c r="D115" t="s">
        <v>23</v>
      </c>
      <c r="E115" t="s">
        <v>50</v>
      </c>
      <c r="F115" t="s">
        <v>51</v>
      </c>
      <c r="G115" t="s">
        <v>75</v>
      </c>
      <c r="H115" t="s">
        <v>42</v>
      </c>
      <c r="I115" t="s">
        <v>48</v>
      </c>
      <c r="J115" t="s">
        <v>67</v>
      </c>
      <c r="K115" t="s">
        <v>68</v>
      </c>
      <c r="L115" s="3">
        <v>85</v>
      </c>
      <c r="M115" s="3">
        <v>4</v>
      </c>
      <c r="N115">
        <v>0</v>
      </c>
      <c r="O115">
        <v>2</v>
      </c>
      <c r="P115" t="s">
        <v>31</v>
      </c>
    </row>
    <row r="116" spans="1:16">
      <c r="A116" t="s">
        <v>198</v>
      </c>
      <c r="B116" s="6">
        <v>46130.661805555559</v>
      </c>
      <c r="C116" s="2">
        <v>46131.244806377312</v>
      </c>
      <c r="D116" t="s">
        <v>23</v>
      </c>
      <c r="E116" t="s">
        <v>33</v>
      </c>
      <c r="F116" t="s">
        <v>41</v>
      </c>
      <c r="G116" t="s">
        <v>34</v>
      </c>
      <c r="H116" t="s">
        <v>42</v>
      </c>
      <c r="I116" t="s">
        <v>43</v>
      </c>
      <c r="J116" t="s">
        <v>52</v>
      </c>
      <c r="K116" t="s">
        <v>55</v>
      </c>
      <c r="L116" s="3">
        <v>108</v>
      </c>
      <c r="M116" s="3">
        <v>3</v>
      </c>
      <c r="N116">
        <v>2</v>
      </c>
      <c r="O116">
        <v>17</v>
      </c>
      <c r="P116" t="s">
        <v>31</v>
      </c>
    </row>
    <row r="117" spans="1:16">
      <c r="A117" t="s">
        <v>199</v>
      </c>
      <c r="B117" s="6">
        <v>46024.104861111111</v>
      </c>
      <c r="C117" s="2">
        <v>46025.941575046294</v>
      </c>
      <c r="D117" t="s">
        <v>23</v>
      </c>
      <c r="E117" t="s">
        <v>50</v>
      </c>
      <c r="F117" t="s">
        <v>41</v>
      </c>
      <c r="G117" t="s">
        <v>26</v>
      </c>
      <c r="H117" t="s">
        <v>35</v>
      </c>
      <c r="I117" t="s">
        <v>48</v>
      </c>
      <c r="J117" t="s">
        <v>29</v>
      </c>
      <c r="K117" t="s">
        <v>93</v>
      </c>
      <c r="L117" s="3">
        <v>82</v>
      </c>
      <c r="M117" s="3">
        <v>4</v>
      </c>
      <c r="N117">
        <v>0</v>
      </c>
      <c r="O117">
        <v>4</v>
      </c>
      <c r="P117" t="s">
        <v>31</v>
      </c>
    </row>
    <row r="118" spans="1:16">
      <c r="A118" t="s">
        <v>200</v>
      </c>
      <c r="B118" s="6">
        <v>46050.335416666669</v>
      </c>
      <c r="C118" s="2">
        <v>46050.557182199074</v>
      </c>
      <c r="D118" t="s">
        <v>23</v>
      </c>
      <c r="E118" t="s">
        <v>40</v>
      </c>
      <c r="F118" t="s">
        <v>25</v>
      </c>
      <c r="G118" t="s">
        <v>26</v>
      </c>
      <c r="H118" t="s">
        <v>35</v>
      </c>
      <c r="I118" t="s">
        <v>28</v>
      </c>
      <c r="J118" t="s">
        <v>29</v>
      </c>
      <c r="K118" t="s">
        <v>44</v>
      </c>
      <c r="L118" s="3">
        <v>33</v>
      </c>
      <c r="M118" s="3">
        <v>5</v>
      </c>
      <c r="N118">
        <v>0</v>
      </c>
      <c r="O118">
        <v>3</v>
      </c>
      <c r="P118" t="s">
        <v>31</v>
      </c>
    </row>
    <row r="119" spans="1:16">
      <c r="A119" t="s">
        <v>201</v>
      </c>
      <c r="B119" s="6">
        <v>46153.29791666667</v>
      </c>
      <c r="C119" s="2">
        <v>46154.69834865741</v>
      </c>
      <c r="D119" t="s">
        <v>23</v>
      </c>
      <c r="E119" t="s">
        <v>33</v>
      </c>
      <c r="F119" t="s">
        <v>51</v>
      </c>
      <c r="G119" t="s">
        <v>75</v>
      </c>
      <c r="H119" t="s">
        <v>42</v>
      </c>
      <c r="I119" t="s">
        <v>36</v>
      </c>
      <c r="J119" t="s">
        <v>52</v>
      </c>
      <c r="K119" t="s">
        <v>93</v>
      </c>
      <c r="L119" s="3">
        <v>81</v>
      </c>
      <c r="M119" s="3"/>
      <c r="N119">
        <v>0</v>
      </c>
      <c r="O119">
        <v>6</v>
      </c>
      <c r="P119" t="s">
        <v>31</v>
      </c>
    </row>
    <row r="120" spans="1:16">
      <c r="A120" t="s">
        <v>202</v>
      </c>
      <c r="B120" s="6">
        <v>46137.035416666666</v>
      </c>
      <c r="C120" s="2">
        <v>46137.32541986111</v>
      </c>
      <c r="D120" t="s">
        <v>23</v>
      </c>
      <c r="E120" t="s">
        <v>40</v>
      </c>
      <c r="F120" t="s">
        <v>51</v>
      </c>
      <c r="G120" t="s">
        <v>34</v>
      </c>
      <c r="H120" t="s">
        <v>35</v>
      </c>
      <c r="I120" t="s">
        <v>28</v>
      </c>
      <c r="J120" t="s">
        <v>67</v>
      </c>
      <c r="K120" t="s">
        <v>101</v>
      </c>
      <c r="L120" s="3">
        <v>13</v>
      </c>
      <c r="M120" s="3">
        <v>4</v>
      </c>
      <c r="N120">
        <v>0</v>
      </c>
      <c r="O120">
        <v>4</v>
      </c>
      <c r="P120" t="s">
        <v>31</v>
      </c>
    </row>
    <row r="121" spans="1:16">
      <c r="A121" t="s">
        <v>203</v>
      </c>
      <c r="B121" s="6">
        <v>46249.200694444444</v>
      </c>
      <c r="C121" s="2">
        <v>46250.959371111108</v>
      </c>
      <c r="D121" t="s">
        <v>23</v>
      </c>
      <c r="E121" t="s">
        <v>33</v>
      </c>
      <c r="F121" t="s">
        <v>41</v>
      </c>
      <c r="G121" t="s">
        <v>26</v>
      </c>
      <c r="H121" t="s">
        <v>35</v>
      </c>
      <c r="I121" t="s">
        <v>43</v>
      </c>
      <c r="J121" t="s">
        <v>67</v>
      </c>
      <c r="K121" t="s">
        <v>85</v>
      </c>
      <c r="L121" s="3">
        <v>171</v>
      </c>
      <c r="M121" s="3">
        <v>4</v>
      </c>
      <c r="N121">
        <v>0</v>
      </c>
      <c r="O121">
        <v>3</v>
      </c>
      <c r="P121" t="s">
        <v>31</v>
      </c>
    </row>
    <row r="122" spans="1:16">
      <c r="A122" t="s">
        <v>204</v>
      </c>
      <c r="B122" s="6" t="s">
        <v>205</v>
      </c>
      <c r="C122" s="2">
        <v>46230.832728634261</v>
      </c>
      <c r="D122" t="s">
        <v>23</v>
      </c>
      <c r="E122" t="s">
        <v>50</v>
      </c>
      <c r="F122" t="s">
        <v>41</v>
      </c>
      <c r="G122" t="s">
        <v>54</v>
      </c>
      <c r="H122" t="s">
        <v>42</v>
      </c>
      <c r="I122" t="s">
        <v>48</v>
      </c>
      <c r="J122" t="s">
        <v>58</v>
      </c>
      <c r="K122" t="s">
        <v>38</v>
      </c>
      <c r="L122" s="3">
        <v>116</v>
      </c>
      <c r="M122" s="3">
        <v>4</v>
      </c>
      <c r="N122">
        <v>0</v>
      </c>
      <c r="O122">
        <v>7</v>
      </c>
      <c r="P122" t="s">
        <v>31</v>
      </c>
    </row>
    <row r="123" spans="1:16">
      <c r="A123" t="s">
        <v>206</v>
      </c>
      <c r="B123" s="6" t="s">
        <v>207</v>
      </c>
      <c r="C123" s="2">
        <v>46088.508220254633</v>
      </c>
      <c r="D123" t="s">
        <v>23</v>
      </c>
      <c r="E123" t="s">
        <v>50</v>
      </c>
      <c r="F123" t="s">
        <v>100</v>
      </c>
      <c r="G123" t="s">
        <v>26</v>
      </c>
      <c r="H123" t="s">
        <v>42</v>
      </c>
      <c r="I123" t="s">
        <v>36</v>
      </c>
      <c r="J123" t="s">
        <v>67</v>
      </c>
      <c r="K123" t="s">
        <v>44</v>
      </c>
      <c r="L123" s="3">
        <v>81</v>
      </c>
      <c r="M123" s="3">
        <v>4</v>
      </c>
      <c r="N123">
        <v>0</v>
      </c>
      <c r="O123">
        <v>3</v>
      </c>
      <c r="P123" t="s">
        <v>31</v>
      </c>
    </row>
    <row r="124" spans="1:16">
      <c r="A124" t="s">
        <v>208</v>
      </c>
      <c r="B124" s="6">
        <v>46038.055555555555</v>
      </c>
      <c r="C124" s="2">
        <v>46039.618034236111</v>
      </c>
      <c r="D124" t="s">
        <v>23</v>
      </c>
      <c r="E124" t="s">
        <v>50</v>
      </c>
      <c r="F124" t="s">
        <v>51</v>
      </c>
      <c r="G124" t="s">
        <v>75</v>
      </c>
      <c r="H124" t="s">
        <v>42</v>
      </c>
      <c r="I124" t="s">
        <v>43</v>
      </c>
      <c r="J124" t="s">
        <v>58</v>
      </c>
      <c r="K124" t="s">
        <v>62</v>
      </c>
      <c r="L124" s="3">
        <v>127</v>
      </c>
      <c r="M124" s="3">
        <v>4</v>
      </c>
      <c r="N124">
        <v>0</v>
      </c>
      <c r="O124">
        <v>7</v>
      </c>
      <c r="P124" t="s">
        <v>31</v>
      </c>
    </row>
    <row r="125" spans="1:16">
      <c r="A125" t="s">
        <v>209</v>
      </c>
      <c r="B125" s="6">
        <v>46082.082638888889</v>
      </c>
      <c r="C125" s="2">
        <v>46083.887027662036</v>
      </c>
      <c r="D125" t="s">
        <v>23</v>
      </c>
      <c r="E125" t="s">
        <v>33</v>
      </c>
      <c r="F125" t="s">
        <v>41</v>
      </c>
      <c r="G125" t="s">
        <v>66</v>
      </c>
      <c r="H125" t="s">
        <v>35</v>
      </c>
      <c r="I125" t="s">
        <v>48</v>
      </c>
      <c r="J125" t="s">
        <v>52</v>
      </c>
      <c r="K125" t="s">
        <v>62</v>
      </c>
      <c r="L125" s="3" t="s">
        <v>210</v>
      </c>
      <c r="M125" s="3">
        <v>3</v>
      </c>
      <c r="N125">
        <v>0</v>
      </c>
      <c r="O125">
        <v>5</v>
      </c>
      <c r="P125" t="s">
        <v>31</v>
      </c>
    </row>
    <row r="126" spans="1:16">
      <c r="A126" t="s">
        <v>211</v>
      </c>
      <c r="B126" s="6">
        <v>46173.48541666667</v>
      </c>
      <c r="C126" s="2">
        <v>46177.674655046299</v>
      </c>
      <c r="D126" t="s">
        <v>23</v>
      </c>
      <c r="E126" t="s">
        <v>33</v>
      </c>
      <c r="F126" t="s">
        <v>41</v>
      </c>
      <c r="G126" t="s">
        <v>212</v>
      </c>
      <c r="H126" t="s">
        <v>35</v>
      </c>
      <c r="I126" t="s">
        <v>48</v>
      </c>
      <c r="J126" t="s">
        <v>76</v>
      </c>
      <c r="K126" t="s">
        <v>30</v>
      </c>
      <c r="L126" s="3">
        <v>139</v>
      </c>
      <c r="M126" s="3">
        <v>3</v>
      </c>
      <c r="N126">
        <v>0</v>
      </c>
      <c r="O126">
        <v>3</v>
      </c>
      <c r="P126" t="s">
        <v>31</v>
      </c>
    </row>
    <row r="127" spans="1:16">
      <c r="A127" t="s">
        <v>213</v>
      </c>
      <c r="B127" s="6">
        <v>46138.795138888891</v>
      </c>
      <c r="C127" s="2">
        <v>46139.941671157409</v>
      </c>
      <c r="D127" t="s">
        <v>23</v>
      </c>
      <c r="E127" t="s">
        <v>33</v>
      </c>
      <c r="F127" t="s">
        <v>25</v>
      </c>
      <c r="G127" t="s">
        <v>54</v>
      </c>
      <c r="H127" t="s">
        <v>42</v>
      </c>
      <c r="I127" t="s">
        <v>36</v>
      </c>
      <c r="J127" t="s">
        <v>37</v>
      </c>
      <c r="K127" t="s">
        <v>85</v>
      </c>
      <c r="L127" s="3">
        <v>152</v>
      </c>
      <c r="M127" s="3">
        <v>4</v>
      </c>
      <c r="N127">
        <v>0</v>
      </c>
      <c r="O127">
        <v>6</v>
      </c>
      <c r="P127" t="s">
        <v>31</v>
      </c>
    </row>
    <row r="128" spans="1:16">
      <c r="A128" t="s">
        <v>214</v>
      </c>
      <c r="B128" s="6">
        <v>46251.45</v>
      </c>
      <c r="C128" s="2">
        <v>46252.923815138885</v>
      </c>
      <c r="D128" t="s">
        <v>23</v>
      </c>
      <c r="E128" t="s">
        <v>33</v>
      </c>
      <c r="F128" t="s">
        <v>51</v>
      </c>
      <c r="G128" t="s">
        <v>34</v>
      </c>
      <c r="H128" t="s">
        <v>42</v>
      </c>
      <c r="I128" t="s">
        <v>48</v>
      </c>
      <c r="J128" t="s">
        <v>37</v>
      </c>
      <c r="K128" t="s">
        <v>68</v>
      </c>
      <c r="L128" s="3">
        <v>153</v>
      </c>
      <c r="M128" s="3">
        <v>4</v>
      </c>
      <c r="N128">
        <v>0</v>
      </c>
      <c r="O128">
        <v>5</v>
      </c>
      <c r="P128" t="s">
        <v>31</v>
      </c>
    </row>
    <row r="129" spans="1:16">
      <c r="A129" t="s">
        <v>215</v>
      </c>
      <c r="B129" s="6">
        <v>46084.315972222219</v>
      </c>
      <c r="C129" s="2">
        <v>46085.39225527778</v>
      </c>
      <c r="D129" t="s">
        <v>23</v>
      </c>
      <c r="E129" t="s">
        <v>33</v>
      </c>
      <c r="F129" t="s">
        <v>41</v>
      </c>
      <c r="G129" t="s">
        <v>26</v>
      </c>
      <c r="H129" t="s">
        <v>27</v>
      </c>
      <c r="I129" t="s">
        <v>36</v>
      </c>
      <c r="J129" t="s">
        <v>37</v>
      </c>
      <c r="K129" t="s">
        <v>71</v>
      </c>
      <c r="L129" s="3">
        <v>241</v>
      </c>
      <c r="M129" s="3">
        <v>4</v>
      </c>
      <c r="N129">
        <v>0</v>
      </c>
      <c r="O129">
        <v>3</v>
      </c>
      <c r="P129" t="s">
        <v>31</v>
      </c>
    </row>
    <row r="130" spans="1:16">
      <c r="A130" t="s">
        <v>216</v>
      </c>
      <c r="B130" s="6">
        <v>46090.652777777781</v>
      </c>
      <c r="C130" s="2">
        <v>46091.128402939816</v>
      </c>
      <c r="D130" t="s">
        <v>23</v>
      </c>
      <c r="E130" t="s">
        <v>33</v>
      </c>
      <c r="F130" t="s">
        <v>51</v>
      </c>
      <c r="G130" t="s">
        <v>26</v>
      </c>
      <c r="H130" t="s">
        <v>35</v>
      </c>
      <c r="I130" t="s">
        <v>48</v>
      </c>
      <c r="J130" t="s">
        <v>29</v>
      </c>
      <c r="K130" t="s">
        <v>93</v>
      </c>
      <c r="L130" s="3">
        <v>136</v>
      </c>
      <c r="M130" s="3">
        <v>4</v>
      </c>
      <c r="N130">
        <v>0</v>
      </c>
      <c r="O130">
        <v>6</v>
      </c>
      <c r="P130" t="s">
        <v>31</v>
      </c>
    </row>
    <row r="131" spans="1:16">
      <c r="A131" t="s">
        <v>217</v>
      </c>
      <c r="B131" s="6">
        <v>46187.199999999997</v>
      </c>
      <c r="C131" s="2">
        <v>46187.640843113426</v>
      </c>
      <c r="D131" t="s">
        <v>23</v>
      </c>
      <c r="E131" t="s">
        <v>50</v>
      </c>
      <c r="F131" t="s">
        <v>65</v>
      </c>
      <c r="G131" t="s">
        <v>26</v>
      </c>
      <c r="H131" t="s">
        <v>42</v>
      </c>
      <c r="I131" t="s">
        <v>28</v>
      </c>
      <c r="J131" t="s">
        <v>52</v>
      </c>
      <c r="K131" t="s">
        <v>71</v>
      </c>
      <c r="L131" s="3">
        <v>58</v>
      </c>
      <c r="M131" s="3">
        <v>4</v>
      </c>
      <c r="N131">
        <v>0</v>
      </c>
      <c r="O131">
        <v>4</v>
      </c>
      <c r="P131" t="s">
        <v>31</v>
      </c>
    </row>
    <row r="132" spans="1:16">
      <c r="A132" t="s">
        <v>218</v>
      </c>
      <c r="B132" s="6">
        <v>46189.34375</v>
      </c>
      <c r="C132" s="2">
        <v>46191.290923981484</v>
      </c>
      <c r="D132" t="s">
        <v>23</v>
      </c>
      <c r="E132" t="s">
        <v>50</v>
      </c>
      <c r="F132" t="s">
        <v>25</v>
      </c>
      <c r="G132" t="s">
        <v>54</v>
      </c>
      <c r="H132" t="s">
        <v>27</v>
      </c>
      <c r="I132" t="s">
        <v>36</v>
      </c>
      <c r="J132" t="s">
        <v>52</v>
      </c>
      <c r="K132" t="s">
        <v>71</v>
      </c>
      <c r="L132" s="3">
        <v>60</v>
      </c>
      <c r="M132" s="3">
        <v>4</v>
      </c>
      <c r="N132">
        <v>0</v>
      </c>
      <c r="O132">
        <v>3</v>
      </c>
      <c r="P132" t="s">
        <v>31</v>
      </c>
    </row>
    <row r="133" spans="1:16">
      <c r="A133" t="s">
        <v>219</v>
      </c>
      <c r="B133" s="6">
        <v>46180.176388888889</v>
      </c>
      <c r="C133" s="2">
        <v>46181.938823657409</v>
      </c>
      <c r="D133" t="s">
        <v>23</v>
      </c>
      <c r="E133" t="s">
        <v>33</v>
      </c>
      <c r="F133" t="s">
        <v>25</v>
      </c>
      <c r="G133" t="s">
        <v>66</v>
      </c>
      <c r="H133" t="s">
        <v>27</v>
      </c>
      <c r="I133" t="s">
        <v>43</v>
      </c>
      <c r="J133" t="s">
        <v>67</v>
      </c>
      <c r="K133" t="s">
        <v>85</v>
      </c>
      <c r="L133" s="3">
        <v>801</v>
      </c>
      <c r="M133" s="3"/>
      <c r="N133">
        <v>0</v>
      </c>
      <c r="O133">
        <v>7</v>
      </c>
      <c r="P133" t="s">
        <v>31</v>
      </c>
    </row>
    <row r="134" spans="1:16">
      <c r="A134" t="s">
        <v>220</v>
      </c>
      <c r="B134" s="6">
        <v>46254.029861111114</v>
      </c>
      <c r="C134" s="2">
        <v>46255.510882106479</v>
      </c>
      <c r="D134" t="s">
        <v>23</v>
      </c>
      <c r="E134" t="s">
        <v>50</v>
      </c>
      <c r="F134" t="s">
        <v>25</v>
      </c>
      <c r="G134" t="s">
        <v>75</v>
      </c>
      <c r="H134" t="s">
        <v>42</v>
      </c>
      <c r="I134" t="s">
        <v>48</v>
      </c>
      <c r="J134" t="s">
        <v>58</v>
      </c>
      <c r="K134" t="s">
        <v>44</v>
      </c>
      <c r="L134" s="3">
        <v>221</v>
      </c>
      <c r="M134" s="3">
        <v>4</v>
      </c>
      <c r="N134">
        <v>0</v>
      </c>
      <c r="O134">
        <v>7</v>
      </c>
      <c r="P134" t="s">
        <v>31</v>
      </c>
    </row>
    <row r="135" spans="1:16">
      <c r="A135" t="s">
        <v>221</v>
      </c>
      <c r="B135" s="6" t="s">
        <v>222</v>
      </c>
      <c r="C135" s="2">
        <v>46237.810975451386</v>
      </c>
      <c r="D135" t="s">
        <v>23</v>
      </c>
      <c r="E135" t="s">
        <v>40</v>
      </c>
      <c r="F135" t="s">
        <v>25</v>
      </c>
      <c r="G135" t="s">
        <v>75</v>
      </c>
      <c r="H135" t="s">
        <v>35</v>
      </c>
      <c r="I135" t="s">
        <v>43</v>
      </c>
      <c r="J135" t="s">
        <v>37</v>
      </c>
      <c r="K135" t="s">
        <v>93</v>
      </c>
      <c r="L135" s="3">
        <v>32</v>
      </c>
      <c r="M135" s="3">
        <v>4</v>
      </c>
      <c r="N135">
        <v>0</v>
      </c>
      <c r="O135">
        <v>5</v>
      </c>
      <c r="P135" t="s">
        <v>31</v>
      </c>
    </row>
    <row r="136" spans="1:16">
      <c r="A136" t="s">
        <v>223</v>
      </c>
      <c r="B136" s="6">
        <v>46049.872916666667</v>
      </c>
      <c r="C136" s="2">
        <v>46050.487061458334</v>
      </c>
      <c r="D136" t="s">
        <v>23</v>
      </c>
      <c r="E136" t="s">
        <v>40</v>
      </c>
      <c r="F136" t="s">
        <v>25</v>
      </c>
      <c r="G136" t="s">
        <v>54</v>
      </c>
      <c r="H136" t="s">
        <v>35</v>
      </c>
      <c r="I136" t="s">
        <v>43</v>
      </c>
      <c r="J136" t="s">
        <v>37</v>
      </c>
      <c r="K136" t="s">
        <v>71</v>
      </c>
      <c r="L136" s="3">
        <v>22</v>
      </c>
      <c r="M136" s="3">
        <v>5</v>
      </c>
      <c r="N136">
        <v>0</v>
      </c>
      <c r="O136">
        <v>7</v>
      </c>
      <c r="P136" t="s">
        <v>31</v>
      </c>
    </row>
    <row r="137" spans="1:16">
      <c r="A137" t="s">
        <v>224</v>
      </c>
      <c r="B137" s="6">
        <v>46183.270138888889</v>
      </c>
      <c r="C137" s="2">
        <v>46184.610153252317</v>
      </c>
      <c r="D137" t="s">
        <v>23</v>
      </c>
      <c r="E137" t="s">
        <v>33</v>
      </c>
      <c r="F137" t="s">
        <v>41</v>
      </c>
      <c r="G137" t="s">
        <v>34</v>
      </c>
      <c r="H137" t="s">
        <v>27</v>
      </c>
      <c r="I137" t="s">
        <v>48</v>
      </c>
      <c r="J137" t="s">
        <v>76</v>
      </c>
      <c r="K137" t="s">
        <v>44</v>
      </c>
      <c r="L137" s="3">
        <v>108</v>
      </c>
      <c r="M137" s="3">
        <v>4</v>
      </c>
      <c r="N137">
        <v>0</v>
      </c>
      <c r="O137">
        <v>4</v>
      </c>
      <c r="P137" t="s">
        <v>31</v>
      </c>
    </row>
    <row r="138" spans="1:16">
      <c r="A138" t="s">
        <v>225</v>
      </c>
      <c r="B138" s="6">
        <v>46177.706250000003</v>
      </c>
      <c r="C138" s="2">
        <v>46178.489966851848</v>
      </c>
      <c r="D138" t="s">
        <v>23</v>
      </c>
      <c r="E138" t="s">
        <v>33</v>
      </c>
      <c r="F138" t="s">
        <v>25</v>
      </c>
      <c r="G138" t="s">
        <v>26</v>
      </c>
      <c r="H138" t="s">
        <v>42</v>
      </c>
      <c r="I138" t="s">
        <v>43</v>
      </c>
      <c r="J138" t="s">
        <v>37</v>
      </c>
      <c r="K138" t="s">
        <v>71</v>
      </c>
      <c r="L138" s="3">
        <v>88</v>
      </c>
      <c r="M138" s="3">
        <v>4</v>
      </c>
      <c r="N138">
        <v>0</v>
      </c>
      <c r="O138">
        <v>4</v>
      </c>
      <c r="P138" t="s">
        <v>31</v>
      </c>
    </row>
    <row r="139" spans="1:16">
      <c r="A139" t="s">
        <v>226</v>
      </c>
      <c r="B139" s="6">
        <v>46169.777777777781</v>
      </c>
      <c r="C139" s="2">
        <v>46170.530507615738</v>
      </c>
      <c r="D139" t="s">
        <v>23</v>
      </c>
      <c r="E139" t="s">
        <v>40</v>
      </c>
      <c r="F139" t="s">
        <v>65</v>
      </c>
      <c r="G139" t="s">
        <v>26</v>
      </c>
      <c r="H139" t="s">
        <v>42</v>
      </c>
      <c r="I139" t="s">
        <v>36</v>
      </c>
      <c r="J139" t="s">
        <v>37</v>
      </c>
      <c r="K139" t="s">
        <v>44</v>
      </c>
      <c r="L139" s="3">
        <v>136</v>
      </c>
      <c r="M139" s="3">
        <v>4</v>
      </c>
      <c r="N139">
        <v>0</v>
      </c>
      <c r="O139">
        <v>7</v>
      </c>
      <c r="P139" t="s">
        <v>31</v>
      </c>
    </row>
    <row r="140" spans="1:16">
      <c r="A140" t="s">
        <v>227</v>
      </c>
      <c r="B140" s="6">
        <v>46207.839583333334</v>
      </c>
      <c r="C140" s="2">
        <v>46208.322389988425</v>
      </c>
      <c r="D140" t="s">
        <v>23</v>
      </c>
      <c r="E140" t="s">
        <v>50</v>
      </c>
      <c r="F140" t="s">
        <v>41</v>
      </c>
      <c r="G140" t="s">
        <v>26</v>
      </c>
      <c r="H140" t="s">
        <v>35</v>
      </c>
      <c r="I140" t="s">
        <v>36</v>
      </c>
      <c r="J140" t="s">
        <v>29</v>
      </c>
      <c r="K140" t="s">
        <v>38</v>
      </c>
      <c r="L140" s="3">
        <v>171</v>
      </c>
      <c r="M140" s="3">
        <v>4</v>
      </c>
      <c r="N140">
        <v>0</v>
      </c>
      <c r="O140">
        <v>4</v>
      </c>
      <c r="P140" t="s">
        <v>31</v>
      </c>
    </row>
    <row r="141" spans="1:16">
      <c r="A141" t="s">
        <v>228</v>
      </c>
      <c r="B141" s="6">
        <v>46168.578472222223</v>
      </c>
      <c r="C141" s="2">
        <v>46171.977052337963</v>
      </c>
      <c r="D141" t="s">
        <v>23</v>
      </c>
      <c r="E141" t="s">
        <v>50</v>
      </c>
      <c r="F141" t="s">
        <v>41</v>
      </c>
      <c r="G141" t="s">
        <v>54</v>
      </c>
      <c r="H141" t="s">
        <v>35</v>
      </c>
      <c r="I141" t="s">
        <v>28</v>
      </c>
      <c r="J141" t="s">
        <v>76</v>
      </c>
      <c r="K141" t="s">
        <v>71</v>
      </c>
      <c r="L141" s="3">
        <v>44</v>
      </c>
      <c r="M141" s="3">
        <v>4</v>
      </c>
      <c r="N141">
        <v>0</v>
      </c>
      <c r="O141">
        <v>4</v>
      </c>
      <c r="P141" t="s">
        <v>31</v>
      </c>
    </row>
    <row r="142" spans="1:16">
      <c r="A142" t="s">
        <v>229</v>
      </c>
      <c r="B142" s="6">
        <v>46174.130555555559</v>
      </c>
      <c r="C142" s="2">
        <v>46174.452895844908</v>
      </c>
      <c r="D142" t="s">
        <v>23</v>
      </c>
      <c r="E142" t="s">
        <v>50</v>
      </c>
      <c r="F142" t="s">
        <v>25</v>
      </c>
      <c r="G142" t="s">
        <v>66</v>
      </c>
      <c r="H142" t="s">
        <v>35</v>
      </c>
      <c r="I142" t="s">
        <v>28</v>
      </c>
      <c r="J142" t="s">
        <v>37</v>
      </c>
      <c r="K142" t="s">
        <v>38</v>
      </c>
      <c r="L142" s="3">
        <v>66</v>
      </c>
      <c r="M142" s="3">
        <v>5</v>
      </c>
      <c r="N142">
        <v>0</v>
      </c>
      <c r="O142">
        <v>3</v>
      </c>
      <c r="P142" t="s">
        <v>31</v>
      </c>
    </row>
    <row r="143" spans="1:16">
      <c r="A143" t="s">
        <v>230</v>
      </c>
      <c r="B143" s="6">
        <v>46048.128472222219</v>
      </c>
      <c r="C143" s="2">
        <v>46048.482263530095</v>
      </c>
      <c r="D143" t="s">
        <v>23</v>
      </c>
      <c r="E143" t="s">
        <v>50</v>
      </c>
      <c r="F143" t="s">
        <v>25</v>
      </c>
      <c r="G143" t="s">
        <v>26</v>
      </c>
      <c r="H143" t="s">
        <v>35</v>
      </c>
      <c r="I143" t="s">
        <v>36</v>
      </c>
      <c r="J143" t="s">
        <v>67</v>
      </c>
      <c r="K143" t="s">
        <v>62</v>
      </c>
      <c r="L143" s="3">
        <v>66</v>
      </c>
      <c r="M143" s="3">
        <v>5</v>
      </c>
      <c r="N143">
        <v>0</v>
      </c>
      <c r="O143">
        <v>4</v>
      </c>
      <c r="P143" t="s">
        <v>31</v>
      </c>
    </row>
    <row r="144" spans="1:16">
      <c r="A144" t="s">
        <v>231</v>
      </c>
      <c r="B144" s="6">
        <v>46074.291666666664</v>
      </c>
      <c r="C144" s="2">
        <v>46074.586273310182</v>
      </c>
      <c r="D144" t="s">
        <v>23</v>
      </c>
      <c r="E144" t="s">
        <v>40</v>
      </c>
      <c r="F144" t="s">
        <v>51</v>
      </c>
      <c r="G144" t="s">
        <v>26</v>
      </c>
      <c r="H144" t="s">
        <v>35</v>
      </c>
      <c r="I144" t="s">
        <v>48</v>
      </c>
      <c r="J144" t="s">
        <v>29</v>
      </c>
      <c r="K144" t="s">
        <v>85</v>
      </c>
      <c r="L144" s="3" t="s">
        <v>232</v>
      </c>
      <c r="M144" s="3">
        <v>4</v>
      </c>
      <c r="N144">
        <v>0</v>
      </c>
      <c r="O144">
        <v>7</v>
      </c>
      <c r="P144" t="s">
        <v>31</v>
      </c>
    </row>
    <row r="145" spans="1:16">
      <c r="A145" t="s">
        <v>233</v>
      </c>
      <c r="B145" s="6">
        <v>46198.366666666669</v>
      </c>
      <c r="C145" s="2">
        <v>46199.201561284724</v>
      </c>
      <c r="D145" t="s">
        <v>23</v>
      </c>
      <c r="E145" t="s">
        <v>50</v>
      </c>
      <c r="F145" t="s">
        <v>234</v>
      </c>
      <c r="G145" t="s">
        <v>66</v>
      </c>
      <c r="H145" t="s">
        <v>35</v>
      </c>
      <c r="I145" t="s">
        <v>36</v>
      </c>
      <c r="J145" t="s">
        <v>29</v>
      </c>
      <c r="K145" t="s">
        <v>71</v>
      </c>
      <c r="L145" s="3">
        <v>131</v>
      </c>
      <c r="M145" s="3">
        <v>3</v>
      </c>
      <c r="N145">
        <v>2</v>
      </c>
      <c r="O145">
        <v>10</v>
      </c>
      <c r="P145" t="s">
        <v>31</v>
      </c>
    </row>
    <row r="146" spans="1:16">
      <c r="A146" t="s">
        <v>235</v>
      </c>
      <c r="B146" s="6">
        <v>46210.112500000003</v>
      </c>
      <c r="C146" s="2">
        <v>46210.270166956019</v>
      </c>
      <c r="D146" t="s">
        <v>23</v>
      </c>
      <c r="E146" t="s">
        <v>24</v>
      </c>
      <c r="F146" t="s">
        <v>51</v>
      </c>
      <c r="G146" t="s">
        <v>54</v>
      </c>
      <c r="H146" t="s">
        <v>42</v>
      </c>
      <c r="I146" t="s">
        <v>48</v>
      </c>
      <c r="J146" t="s">
        <v>52</v>
      </c>
      <c r="L146" s="3">
        <v>20</v>
      </c>
      <c r="M146" s="3">
        <v>4</v>
      </c>
      <c r="N146">
        <v>2</v>
      </c>
      <c r="O146">
        <v>12</v>
      </c>
      <c r="P146" t="s">
        <v>31</v>
      </c>
    </row>
    <row r="147" spans="1:16">
      <c r="A147" t="s">
        <v>236</v>
      </c>
      <c r="B147" s="6">
        <v>46103.205555555556</v>
      </c>
      <c r="C147" s="2">
        <v>46104.833560208332</v>
      </c>
      <c r="D147" t="s">
        <v>23</v>
      </c>
      <c r="E147" t="s">
        <v>50</v>
      </c>
      <c r="F147" t="s">
        <v>51</v>
      </c>
      <c r="G147" t="s">
        <v>26</v>
      </c>
      <c r="H147" t="s">
        <v>42</v>
      </c>
      <c r="I147" t="s">
        <v>28</v>
      </c>
      <c r="J147" t="s">
        <v>58</v>
      </c>
      <c r="K147" t="s">
        <v>62</v>
      </c>
      <c r="L147" s="3">
        <v>61</v>
      </c>
      <c r="M147" s="3">
        <v>4</v>
      </c>
      <c r="N147">
        <v>0</v>
      </c>
      <c r="O147">
        <v>5</v>
      </c>
      <c r="P147" t="s">
        <v>31</v>
      </c>
    </row>
    <row r="148" spans="1:16">
      <c r="A148" t="s">
        <v>237</v>
      </c>
      <c r="B148" s="6">
        <v>46183.309027777781</v>
      </c>
      <c r="C148" s="2">
        <v>46186.260928067131</v>
      </c>
      <c r="D148" t="s">
        <v>23</v>
      </c>
      <c r="E148" t="s">
        <v>50</v>
      </c>
      <c r="F148" t="s">
        <v>41</v>
      </c>
      <c r="G148" t="s">
        <v>75</v>
      </c>
      <c r="H148" t="s">
        <v>35</v>
      </c>
      <c r="I148" t="s">
        <v>48</v>
      </c>
      <c r="J148" t="s">
        <v>37</v>
      </c>
      <c r="K148" t="s">
        <v>68</v>
      </c>
      <c r="L148" s="3">
        <v>79</v>
      </c>
      <c r="M148" s="3">
        <v>4</v>
      </c>
      <c r="N148">
        <v>0</v>
      </c>
      <c r="O148">
        <v>7</v>
      </c>
      <c r="P148" t="s">
        <v>31</v>
      </c>
    </row>
    <row r="149" spans="1:16">
      <c r="A149" t="s">
        <v>238</v>
      </c>
      <c r="B149" s="6">
        <v>46231.926388888889</v>
      </c>
      <c r="C149" s="2">
        <v>46232.442453611111</v>
      </c>
      <c r="D149" t="s">
        <v>23</v>
      </c>
      <c r="E149" t="s">
        <v>40</v>
      </c>
      <c r="F149" t="s">
        <v>51</v>
      </c>
      <c r="G149" t="s">
        <v>26</v>
      </c>
      <c r="H149" t="s">
        <v>35</v>
      </c>
      <c r="I149" t="s">
        <v>36</v>
      </c>
      <c r="J149" t="s">
        <v>67</v>
      </c>
      <c r="K149" t="s">
        <v>68</v>
      </c>
      <c r="L149" s="3">
        <v>54</v>
      </c>
      <c r="M149" s="3">
        <v>4</v>
      </c>
      <c r="N149">
        <v>0</v>
      </c>
      <c r="O149">
        <v>9</v>
      </c>
      <c r="P149" t="s">
        <v>63</v>
      </c>
    </row>
    <row r="150" spans="1:16">
      <c r="A150" t="s">
        <v>239</v>
      </c>
      <c r="B150" s="6">
        <v>46038.47152777778</v>
      </c>
      <c r="C150" s="2" t="s">
        <v>240</v>
      </c>
      <c r="D150" t="s">
        <v>23</v>
      </c>
      <c r="E150" t="s">
        <v>40</v>
      </c>
      <c r="F150" t="s">
        <v>65</v>
      </c>
      <c r="G150" t="s">
        <v>34</v>
      </c>
      <c r="H150" t="s">
        <v>42</v>
      </c>
      <c r="I150" t="s">
        <v>28</v>
      </c>
      <c r="J150" t="s">
        <v>76</v>
      </c>
      <c r="K150" t="s">
        <v>38</v>
      </c>
      <c r="L150" s="3">
        <v>19</v>
      </c>
      <c r="M150" s="3">
        <v>4</v>
      </c>
      <c r="N150">
        <v>0</v>
      </c>
      <c r="O150">
        <v>5</v>
      </c>
      <c r="P150" t="s">
        <v>63</v>
      </c>
    </row>
    <row r="151" spans="1:16">
      <c r="A151" t="s">
        <v>241</v>
      </c>
      <c r="B151" s="6">
        <v>46157.884722222225</v>
      </c>
      <c r="C151" s="2">
        <v>46158.357527326392</v>
      </c>
      <c r="D151" t="s">
        <v>23</v>
      </c>
      <c r="E151" t="s">
        <v>40</v>
      </c>
      <c r="F151" t="s">
        <v>51</v>
      </c>
      <c r="G151" t="s">
        <v>66</v>
      </c>
      <c r="H151" t="s">
        <v>35</v>
      </c>
      <c r="I151" t="s">
        <v>43</v>
      </c>
      <c r="J151" t="s">
        <v>58</v>
      </c>
      <c r="K151" t="s">
        <v>68</v>
      </c>
      <c r="L151" s="3">
        <v>64</v>
      </c>
      <c r="M151" s="3">
        <v>4</v>
      </c>
      <c r="N151">
        <v>0</v>
      </c>
      <c r="O151">
        <v>3</v>
      </c>
      <c r="P151" t="s">
        <v>31</v>
      </c>
    </row>
    <row r="152" spans="1:16">
      <c r="A152" t="s">
        <v>242</v>
      </c>
      <c r="B152" s="6">
        <v>46265.212500000001</v>
      </c>
      <c r="C152" s="2">
        <v>46265.81867753472</v>
      </c>
      <c r="D152" t="s">
        <v>23</v>
      </c>
      <c r="E152" t="s">
        <v>50</v>
      </c>
      <c r="F152" t="s">
        <v>25</v>
      </c>
      <c r="G152" t="s">
        <v>66</v>
      </c>
      <c r="H152" t="s">
        <v>35</v>
      </c>
      <c r="I152" t="s">
        <v>28</v>
      </c>
      <c r="J152" t="s">
        <v>58</v>
      </c>
      <c r="K152" t="s">
        <v>85</v>
      </c>
      <c r="L152" s="3">
        <v>49</v>
      </c>
      <c r="M152" s="3">
        <v>4</v>
      </c>
      <c r="N152">
        <v>0</v>
      </c>
      <c r="O152">
        <v>3</v>
      </c>
      <c r="P152" t="s">
        <v>31</v>
      </c>
    </row>
    <row r="153" spans="1:16">
      <c r="A153" t="s">
        <v>243</v>
      </c>
      <c r="B153" s="6">
        <v>46197.400694444441</v>
      </c>
      <c r="C153" s="2">
        <v>46198.954757106483</v>
      </c>
      <c r="D153" t="s">
        <v>23</v>
      </c>
      <c r="E153" t="s">
        <v>33</v>
      </c>
      <c r="F153" t="s">
        <v>25</v>
      </c>
      <c r="G153" t="s">
        <v>34</v>
      </c>
      <c r="H153" t="s">
        <v>42</v>
      </c>
      <c r="I153" t="s">
        <v>43</v>
      </c>
      <c r="J153" t="s">
        <v>29</v>
      </c>
      <c r="K153" t="s">
        <v>62</v>
      </c>
      <c r="L153" s="3">
        <v>293</v>
      </c>
      <c r="M153" s="3">
        <v>4</v>
      </c>
      <c r="N153">
        <v>0</v>
      </c>
      <c r="O153">
        <v>3</v>
      </c>
      <c r="P153" t="s">
        <v>31</v>
      </c>
    </row>
    <row r="154" spans="1:16">
      <c r="A154" t="s">
        <v>244</v>
      </c>
      <c r="B154" s="6">
        <v>46028.227083333331</v>
      </c>
      <c r="C154" s="2">
        <v>46028.850803090281</v>
      </c>
      <c r="D154" t="s">
        <v>23</v>
      </c>
      <c r="E154" t="s">
        <v>33</v>
      </c>
      <c r="F154" t="s">
        <v>41</v>
      </c>
      <c r="G154" t="s">
        <v>75</v>
      </c>
      <c r="H154" t="s">
        <v>35</v>
      </c>
      <c r="I154" t="s">
        <v>48</v>
      </c>
      <c r="J154" t="s">
        <v>52</v>
      </c>
      <c r="K154" t="s">
        <v>68</v>
      </c>
      <c r="L154" s="3">
        <v>156</v>
      </c>
      <c r="M154" s="3">
        <v>4</v>
      </c>
      <c r="N154">
        <v>0</v>
      </c>
      <c r="O154">
        <v>6</v>
      </c>
      <c r="P154" t="s">
        <v>31</v>
      </c>
    </row>
    <row r="155" spans="1:16">
      <c r="A155" t="s">
        <v>245</v>
      </c>
      <c r="B155" s="6">
        <v>46219.318749999999</v>
      </c>
      <c r="C155" s="2">
        <v>46219.795744247684</v>
      </c>
      <c r="D155" t="s">
        <v>23</v>
      </c>
      <c r="E155" t="s">
        <v>50</v>
      </c>
      <c r="F155" t="s">
        <v>51</v>
      </c>
      <c r="G155" t="s">
        <v>54</v>
      </c>
      <c r="H155" t="s">
        <v>27</v>
      </c>
      <c r="I155" t="s">
        <v>36</v>
      </c>
      <c r="J155" t="s">
        <v>52</v>
      </c>
      <c r="K155" t="s">
        <v>101</v>
      </c>
      <c r="L155" s="3">
        <v>66</v>
      </c>
      <c r="M155" s="3">
        <v>4</v>
      </c>
      <c r="N155">
        <v>0</v>
      </c>
      <c r="O155">
        <v>7</v>
      </c>
      <c r="P155" t="s">
        <v>31</v>
      </c>
    </row>
    <row r="156" spans="1:16">
      <c r="A156" t="s">
        <v>246</v>
      </c>
      <c r="B156" s="6">
        <v>46259.509722222225</v>
      </c>
      <c r="C156" s="2">
        <v>46259.813962233799</v>
      </c>
      <c r="D156" t="s">
        <v>23</v>
      </c>
      <c r="E156" t="s">
        <v>24</v>
      </c>
      <c r="F156" t="s">
        <v>65</v>
      </c>
      <c r="G156" t="s">
        <v>54</v>
      </c>
      <c r="H156" t="s">
        <v>35</v>
      </c>
      <c r="I156" t="s">
        <v>43</v>
      </c>
      <c r="J156" t="s">
        <v>76</v>
      </c>
      <c r="K156" t="s">
        <v>71</v>
      </c>
      <c r="L156" s="3">
        <v>7</v>
      </c>
      <c r="M156" s="3">
        <v>4</v>
      </c>
      <c r="N156">
        <v>0</v>
      </c>
      <c r="O156">
        <v>7</v>
      </c>
      <c r="P156" t="s">
        <v>31</v>
      </c>
    </row>
    <row r="157" spans="1:16">
      <c r="A157" t="s">
        <v>247</v>
      </c>
      <c r="B157" s="6">
        <v>46163.009027777778</v>
      </c>
      <c r="C157" s="2">
        <v>46163.911161770833</v>
      </c>
      <c r="D157" t="s">
        <v>23</v>
      </c>
      <c r="E157" t="s">
        <v>50</v>
      </c>
      <c r="F157" t="s">
        <v>41</v>
      </c>
      <c r="G157" t="s">
        <v>34</v>
      </c>
      <c r="H157" t="s">
        <v>42</v>
      </c>
      <c r="I157" t="s">
        <v>36</v>
      </c>
      <c r="J157" t="s">
        <v>37</v>
      </c>
      <c r="K157" t="s">
        <v>44</v>
      </c>
      <c r="L157" s="3">
        <v>185</v>
      </c>
      <c r="M157" s="3">
        <v>4</v>
      </c>
      <c r="N157">
        <v>0</v>
      </c>
      <c r="O157">
        <v>3</v>
      </c>
      <c r="P157" t="s">
        <v>31</v>
      </c>
    </row>
    <row r="158" spans="1:16">
      <c r="A158" t="s">
        <v>248</v>
      </c>
      <c r="B158" s="6">
        <v>46196.036805555559</v>
      </c>
      <c r="C158" s="2">
        <v>46200.134224201392</v>
      </c>
      <c r="D158" t="s">
        <v>23</v>
      </c>
      <c r="E158" t="s">
        <v>33</v>
      </c>
      <c r="F158" t="s">
        <v>25</v>
      </c>
      <c r="G158" t="s">
        <v>34</v>
      </c>
      <c r="H158" t="s">
        <v>35</v>
      </c>
      <c r="I158" t="s">
        <v>48</v>
      </c>
      <c r="J158" t="s">
        <v>76</v>
      </c>
      <c r="K158" t="s">
        <v>71</v>
      </c>
      <c r="L158" s="3">
        <v>163</v>
      </c>
      <c r="M158" s="3">
        <v>3</v>
      </c>
      <c r="N158">
        <v>0</v>
      </c>
      <c r="O158">
        <v>4</v>
      </c>
      <c r="P158" t="s">
        <v>31</v>
      </c>
    </row>
    <row r="159" spans="1:16">
      <c r="A159" t="s">
        <v>249</v>
      </c>
      <c r="B159" s="6">
        <v>46240.605555555558</v>
      </c>
      <c r="C159" s="2"/>
      <c r="D159" t="s">
        <v>74</v>
      </c>
      <c r="E159" t="s">
        <v>33</v>
      </c>
      <c r="F159" t="s">
        <v>41</v>
      </c>
      <c r="G159" t="s">
        <v>26</v>
      </c>
      <c r="H159" t="s">
        <v>42</v>
      </c>
      <c r="I159" t="s">
        <v>36</v>
      </c>
      <c r="J159" t="s">
        <v>67</v>
      </c>
      <c r="K159" t="s">
        <v>101</v>
      </c>
      <c r="L159" s="3">
        <v>261</v>
      </c>
      <c r="M159" s="3"/>
      <c r="N159">
        <v>0</v>
      </c>
      <c r="O159">
        <v>2</v>
      </c>
      <c r="P159" t="s">
        <v>31</v>
      </c>
    </row>
    <row r="160" spans="1:16">
      <c r="A160" t="s">
        <v>250</v>
      </c>
      <c r="B160" s="6">
        <v>46154.211111111108</v>
      </c>
      <c r="C160" s="2">
        <v>46155.711405868053</v>
      </c>
      <c r="D160" t="s">
        <v>23</v>
      </c>
      <c r="E160" t="s">
        <v>33</v>
      </c>
      <c r="F160" t="s">
        <v>51</v>
      </c>
      <c r="G160" t="s">
        <v>26</v>
      </c>
      <c r="H160" t="s">
        <v>35</v>
      </c>
      <c r="I160" t="s">
        <v>36</v>
      </c>
      <c r="J160" t="s">
        <v>251</v>
      </c>
      <c r="K160" t="s">
        <v>93</v>
      </c>
      <c r="L160" s="3">
        <v>235</v>
      </c>
      <c r="M160" s="3">
        <v>3</v>
      </c>
      <c r="N160">
        <v>0</v>
      </c>
      <c r="O160">
        <v>5</v>
      </c>
      <c r="P160" t="s">
        <v>31</v>
      </c>
    </row>
    <row r="161" spans="1:16">
      <c r="A161" t="s">
        <v>252</v>
      </c>
      <c r="B161" s="6">
        <v>46066.136805555558</v>
      </c>
      <c r="C161" s="2" t="s">
        <v>253</v>
      </c>
      <c r="D161" t="s">
        <v>23</v>
      </c>
      <c r="E161" t="s">
        <v>40</v>
      </c>
      <c r="F161" t="s">
        <v>25</v>
      </c>
      <c r="G161" t="s">
        <v>66</v>
      </c>
      <c r="H161" t="s">
        <v>35</v>
      </c>
      <c r="I161" t="s">
        <v>28</v>
      </c>
      <c r="J161" t="s">
        <v>37</v>
      </c>
      <c r="K161" t="s">
        <v>55</v>
      </c>
      <c r="L161" s="3">
        <v>36</v>
      </c>
      <c r="M161" s="3">
        <v>5</v>
      </c>
      <c r="N161">
        <v>0</v>
      </c>
      <c r="O161">
        <v>3</v>
      </c>
      <c r="P161" t="s">
        <v>31</v>
      </c>
    </row>
    <row r="162" spans="1:16">
      <c r="A162" t="s">
        <v>254</v>
      </c>
      <c r="B162" s="6">
        <v>46201.512499999997</v>
      </c>
      <c r="C162" s="2">
        <v>46202.396090925926</v>
      </c>
      <c r="D162" t="s">
        <v>23</v>
      </c>
      <c r="E162" t="s">
        <v>33</v>
      </c>
      <c r="F162" t="s">
        <v>25</v>
      </c>
      <c r="G162" t="s">
        <v>66</v>
      </c>
      <c r="H162" t="s">
        <v>27</v>
      </c>
      <c r="I162" t="s">
        <v>36</v>
      </c>
      <c r="J162" t="s">
        <v>58</v>
      </c>
      <c r="K162" t="s">
        <v>44</v>
      </c>
      <c r="L162" s="3">
        <v>301</v>
      </c>
      <c r="M162" s="3">
        <v>3</v>
      </c>
      <c r="N162">
        <v>0</v>
      </c>
      <c r="O162">
        <v>7</v>
      </c>
      <c r="P162" t="s">
        <v>31</v>
      </c>
    </row>
    <row r="163" spans="1:16">
      <c r="A163" t="s">
        <v>255</v>
      </c>
      <c r="B163" s="6">
        <v>46114.463888888888</v>
      </c>
      <c r="C163" s="2">
        <v>46115.815316273147</v>
      </c>
      <c r="D163" t="s">
        <v>23</v>
      </c>
      <c r="E163" t="s">
        <v>50</v>
      </c>
      <c r="F163" t="s">
        <v>41</v>
      </c>
      <c r="G163" t="s">
        <v>75</v>
      </c>
      <c r="H163" t="s">
        <v>27</v>
      </c>
      <c r="I163" t="s">
        <v>48</v>
      </c>
      <c r="J163" t="s">
        <v>37</v>
      </c>
      <c r="K163" t="s">
        <v>101</v>
      </c>
      <c r="L163" s="3">
        <v>121</v>
      </c>
      <c r="M163" s="3">
        <v>3</v>
      </c>
      <c r="N163">
        <v>1</v>
      </c>
      <c r="O163">
        <v>8</v>
      </c>
      <c r="P163" t="s">
        <v>31</v>
      </c>
    </row>
    <row r="164" spans="1:16">
      <c r="A164" t="s">
        <v>256</v>
      </c>
      <c r="B164" s="6">
        <v>46060.4375</v>
      </c>
      <c r="C164" s="2">
        <v>46061.325893425928</v>
      </c>
      <c r="D164" t="s">
        <v>23</v>
      </c>
      <c r="E164" t="s">
        <v>50</v>
      </c>
      <c r="F164" t="s">
        <v>25</v>
      </c>
      <c r="G164" t="s">
        <v>34</v>
      </c>
      <c r="H164" t="s">
        <v>35</v>
      </c>
      <c r="I164" t="s">
        <v>28</v>
      </c>
      <c r="J164" t="s">
        <v>37</v>
      </c>
      <c r="K164" t="s">
        <v>93</v>
      </c>
      <c r="L164" s="3">
        <v>117</v>
      </c>
      <c r="M164" s="3">
        <v>4</v>
      </c>
      <c r="N164">
        <v>0</v>
      </c>
      <c r="O164">
        <v>7</v>
      </c>
      <c r="P164" t="s">
        <v>31</v>
      </c>
    </row>
    <row r="165" spans="1:16">
      <c r="A165" t="s">
        <v>257</v>
      </c>
      <c r="B165" s="6">
        <v>46260.649305555555</v>
      </c>
      <c r="C165" s="2">
        <v>46261.733376469907</v>
      </c>
      <c r="D165" t="s">
        <v>23</v>
      </c>
      <c r="E165" t="s">
        <v>50</v>
      </c>
      <c r="F165" t="s">
        <v>51</v>
      </c>
      <c r="G165" t="s">
        <v>66</v>
      </c>
      <c r="H165" t="s">
        <v>42</v>
      </c>
      <c r="I165" t="s">
        <v>28</v>
      </c>
      <c r="J165" t="s">
        <v>37</v>
      </c>
      <c r="K165" t="s">
        <v>93</v>
      </c>
      <c r="L165" s="3">
        <v>164</v>
      </c>
      <c r="M165" s="3">
        <v>4</v>
      </c>
      <c r="N165">
        <v>0</v>
      </c>
      <c r="O165">
        <v>7</v>
      </c>
      <c r="P165" t="s">
        <v>31</v>
      </c>
    </row>
    <row r="166" spans="1:16">
      <c r="A166" t="s">
        <v>258</v>
      </c>
      <c r="B166" s="6">
        <v>46046.600694444445</v>
      </c>
      <c r="C166" s="2">
        <v>46048.780564837965</v>
      </c>
      <c r="D166" t="s">
        <v>23</v>
      </c>
      <c r="E166" t="s">
        <v>33</v>
      </c>
      <c r="F166" t="s">
        <v>51</v>
      </c>
      <c r="G166" t="s">
        <v>259</v>
      </c>
      <c r="H166" t="s">
        <v>35</v>
      </c>
      <c r="I166" t="s">
        <v>43</v>
      </c>
      <c r="J166" t="s">
        <v>29</v>
      </c>
      <c r="K166" t="s">
        <v>85</v>
      </c>
      <c r="L166" s="3">
        <v>214</v>
      </c>
      <c r="M166" s="3">
        <v>2</v>
      </c>
      <c r="N166">
        <v>3</v>
      </c>
      <c r="O166">
        <v>13</v>
      </c>
      <c r="P166" t="s">
        <v>31</v>
      </c>
    </row>
    <row r="167" spans="1:16">
      <c r="A167" t="s">
        <v>260</v>
      </c>
      <c r="B167" s="6">
        <v>46262.56527777778</v>
      </c>
      <c r="C167" s="2">
        <v>46263.457069502314</v>
      </c>
      <c r="D167" t="s">
        <v>23</v>
      </c>
      <c r="E167" t="s">
        <v>50</v>
      </c>
      <c r="F167" t="s">
        <v>25</v>
      </c>
      <c r="G167" t="s">
        <v>54</v>
      </c>
      <c r="H167" t="s">
        <v>42</v>
      </c>
      <c r="I167" t="s">
        <v>28</v>
      </c>
      <c r="J167" t="s">
        <v>29</v>
      </c>
      <c r="K167" t="s">
        <v>68</v>
      </c>
      <c r="L167" s="3">
        <v>183</v>
      </c>
      <c r="M167" s="3">
        <v>3</v>
      </c>
      <c r="N167">
        <v>1</v>
      </c>
      <c r="O167">
        <v>12</v>
      </c>
      <c r="P167" t="s">
        <v>31</v>
      </c>
    </row>
    <row r="168" spans="1:16">
      <c r="A168" t="s">
        <v>261</v>
      </c>
      <c r="B168" s="6">
        <v>46201.988888888889</v>
      </c>
      <c r="C168" s="2">
        <v>46203.23725366898</v>
      </c>
      <c r="D168" t="s">
        <v>23</v>
      </c>
      <c r="E168" t="s">
        <v>50</v>
      </c>
      <c r="F168" t="s">
        <v>51</v>
      </c>
      <c r="G168" t="s">
        <v>34</v>
      </c>
      <c r="H168" t="s">
        <v>35</v>
      </c>
      <c r="I168" t="s">
        <v>28</v>
      </c>
      <c r="J168" t="s">
        <v>37</v>
      </c>
      <c r="K168" t="s">
        <v>55</v>
      </c>
      <c r="L168" s="3">
        <v>234</v>
      </c>
      <c r="M168" s="3">
        <v>3</v>
      </c>
      <c r="N168">
        <v>1</v>
      </c>
      <c r="O168">
        <v>8</v>
      </c>
      <c r="P168" t="s">
        <v>31</v>
      </c>
    </row>
    <row r="169" spans="1:16">
      <c r="A169" t="s">
        <v>262</v>
      </c>
      <c r="B169" s="6">
        <v>46178.045138888891</v>
      </c>
      <c r="C169" s="2">
        <v>46178.837115057868</v>
      </c>
      <c r="D169" t="s">
        <v>23</v>
      </c>
      <c r="E169" t="s">
        <v>40</v>
      </c>
      <c r="F169" t="s">
        <v>51</v>
      </c>
      <c r="G169" t="s">
        <v>75</v>
      </c>
      <c r="H169" t="s">
        <v>35</v>
      </c>
      <c r="I169" t="s">
        <v>28</v>
      </c>
      <c r="J169" t="s">
        <v>76</v>
      </c>
      <c r="K169" t="s">
        <v>101</v>
      </c>
      <c r="L169" s="3">
        <v>30</v>
      </c>
      <c r="M169" s="3">
        <v>5</v>
      </c>
      <c r="N169">
        <v>0</v>
      </c>
      <c r="O169">
        <v>5</v>
      </c>
      <c r="P169" t="s">
        <v>31</v>
      </c>
    </row>
    <row r="170" spans="1:16">
      <c r="A170" t="s">
        <v>263</v>
      </c>
      <c r="B170" s="6">
        <v>46073.98333333333</v>
      </c>
      <c r="C170" s="2">
        <v>46074.832886018521</v>
      </c>
      <c r="D170" t="s">
        <v>23</v>
      </c>
      <c r="E170" t="s">
        <v>50</v>
      </c>
      <c r="F170" t="s">
        <v>65</v>
      </c>
      <c r="G170" t="s">
        <v>26</v>
      </c>
      <c r="H170" t="s">
        <v>42</v>
      </c>
      <c r="I170" t="s">
        <v>36</v>
      </c>
      <c r="J170" t="s">
        <v>251</v>
      </c>
      <c r="K170" t="s">
        <v>30</v>
      </c>
      <c r="L170" s="3">
        <v>216</v>
      </c>
      <c r="M170" s="3">
        <v>4</v>
      </c>
      <c r="N170">
        <v>0</v>
      </c>
      <c r="O170">
        <v>5</v>
      </c>
      <c r="P170" t="s">
        <v>31</v>
      </c>
    </row>
    <row r="171" spans="1:16">
      <c r="A171" t="s">
        <v>264</v>
      </c>
      <c r="B171" s="6">
        <v>46109.222916666666</v>
      </c>
      <c r="C171" s="2">
        <v>46111.169276307868</v>
      </c>
      <c r="D171" t="s">
        <v>23</v>
      </c>
      <c r="E171" t="s">
        <v>50</v>
      </c>
      <c r="F171" t="s">
        <v>51</v>
      </c>
      <c r="G171" t="s">
        <v>75</v>
      </c>
      <c r="H171" t="s">
        <v>35</v>
      </c>
      <c r="I171" t="s">
        <v>43</v>
      </c>
      <c r="J171" t="s">
        <v>67</v>
      </c>
      <c r="K171" t="s">
        <v>44</v>
      </c>
      <c r="L171" s="3">
        <v>542</v>
      </c>
      <c r="M171" s="3">
        <v>3</v>
      </c>
      <c r="N171">
        <v>0</v>
      </c>
      <c r="O171">
        <v>8</v>
      </c>
      <c r="P171" t="s">
        <v>63</v>
      </c>
    </row>
    <row r="172" spans="1:16">
      <c r="A172" t="s">
        <v>265</v>
      </c>
      <c r="B172" s="6">
        <v>46138.917361111111</v>
      </c>
      <c r="C172" s="2">
        <v>46140.250442962963</v>
      </c>
      <c r="D172" t="s">
        <v>23</v>
      </c>
      <c r="E172" t="s">
        <v>50</v>
      </c>
      <c r="F172" t="s">
        <v>51</v>
      </c>
      <c r="G172" t="s">
        <v>26</v>
      </c>
      <c r="H172" t="s">
        <v>27</v>
      </c>
      <c r="I172" t="s">
        <v>48</v>
      </c>
      <c r="J172" t="s">
        <v>58</v>
      </c>
      <c r="K172" t="s">
        <v>30</v>
      </c>
      <c r="L172" s="3">
        <v>61</v>
      </c>
      <c r="M172" s="3">
        <v>4</v>
      </c>
      <c r="N172">
        <v>0</v>
      </c>
      <c r="O172">
        <v>6</v>
      </c>
      <c r="P172" t="s">
        <v>31</v>
      </c>
    </row>
    <row r="173" spans="1:16">
      <c r="A173" t="s">
        <v>266</v>
      </c>
      <c r="B173" s="6">
        <v>46225.862500000003</v>
      </c>
      <c r="C173" s="2">
        <v>46227.293213136574</v>
      </c>
      <c r="D173" t="s">
        <v>23</v>
      </c>
      <c r="E173" t="s">
        <v>50</v>
      </c>
      <c r="F173" t="s">
        <v>25</v>
      </c>
      <c r="G173" t="s">
        <v>34</v>
      </c>
      <c r="H173" t="s">
        <v>27</v>
      </c>
      <c r="I173" t="s">
        <v>28</v>
      </c>
      <c r="J173" t="s">
        <v>37</v>
      </c>
      <c r="K173" t="s">
        <v>55</v>
      </c>
      <c r="L173" s="3">
        <v>340</v>
      </c>
      <c r="M173" s="3">
        <v>3</v>
      </c>
      <c r="N173">
        <v>0</v>
      </c>
      <c r="O173">
        <v>4</v>
      </c>
      <c r="P173" t="s">
        <v>31</v>
      </c>
    </row>
    <row r="174" spans="1:16">
      <c r="A174" t="s">
        <v>267</v>
      </c>
      <c r="B174" s="6">
        <v>46101.531944444447</v>
      </c>
      <c r="C174" s="2">
        <v>46102.41348664352</v>
      </c>
      <c r="D174" t="s">
        <v>23</v>
      </c>
      <c r="E174" t="s">
        <v>40</v>
      </c>
      <c r="F174" t="s">
        <v>41</v>
      </c>
      <c r="G174" t="s">
        <v>34</v>
      </c>
      <c r="H174" t="s">
        <v>42</v>
      </c>
      <c r="I174" t="s">
        <v>48</v>
      </c>
      <c r="J174" t="s">
        <v>37</v>
      </c>
      <c r="K174" t="s">
        <v>30</v>
      </c>
      <c r="L174" s="3">
        <v>13</v>
      </c>
      <c r="M174" s="3">
        <v>5</v>
      </c>
      <c r="N174">
        <v>0</v>
      </c>
      <c r="O174">
        <v>4</v>
      </c>
      <c r="P174" t="s">
        <v>31</v>
      </c>
    </row>
    <row r="175" spans="1:16">
      <c r="A175" t="s">
        <v>268</v>
      </c>
      <c r="B175" s="6">
        <v>46141.25277777778</v>
      </c>
      <c r="C175" s="2">
        <v>46141.686474236114</v>
      </c>
      <c r="D175" t="s">
        <v>23</v>
      </c>
      <c r="E175" t="s">
        <v>50</v>
      </c>
      <c r="F175" t="s">
        <v>25</v>
      </c>
      <c r="G175" t="s">
        <v>34</v>
      </c>
      <c r="H175" t="s">
        <v>35</v>
      </c>
      <c r="I175" t="s">
        <v>36</v>
      </c>
      <c r="J175" t="s">
        <v>29</v>
      </c>
      <c r="K175" t="s">
        <v>68</v>
      </c>
      <c r="L175" s="3">
        <v>184</v>
      </c>
      <c r="M175" s="3">
        <v>4</v>
      </c>
      <c r="N175">
        <v>0</v>
      </c>
      <c r="O175">
        <v>5</v>
      </c>
      <c r="P175" t="s">
        <v>31</v>
      </c>
    </row>
    <row r="176" spans="1:16">
      <c r="A176" t="s">
        <v>269</v>
      </c>
      <c r="B176" s="6">
        <v>46151.802777777775</v>
      </c>
      <c r="C176" s="2">
        <v>46152.999588506944</v>
      </c>
      <c r="D176" t="s">
        <v>23</v>
      </c>
      <c r="E176" t="s">
        <v>50</v>
      </c>
      <c r="F176" t="s">
        <v>41</v>
      </c>
      <c r="G176" t="s">
        <v>75</v>
      </c>
      <c r="H176" t="s">
        <v>35</v>
      </c>
      <c r="I176" t="s">
        <v>36</v>
      </c>
      <c r="J176" t="s">
        <v>37</v>
      </c>
      <c r="K176" t="s">
        <v>62</v>
      </c>
      <c r="L176" s="3">
        <v>164</v>
      </c>
      <c r="M176" s="3">
        <v>4</v>
      </c>
      <c r="N176">
        <v>0</v>
      </c>
      <c r="O176">
        <v>7</v>
      </c>
      <c r="P176" t="s">
        <v>31</v>
      </c>
    </row>
    <row r="177" spans="1:16">
      <c r="A177" t="s">
        <v>270</v>
      </c>
      <c r="B177" s="6">
        <v>46036.390972222223</v>
      </c>
      <c r="C177" s="2">
        <v>46038.388410439817</v>
      </c>
      <c r="D177" t="s">
        <v>23</v>
      </c>
      <c r="E177" t="s">
        <v>33</v>
      </c>
      <c r="F177" t="s">
        <v>51</v>
      </c>
      <c r="G177" t="s">
        <v>66</v>
      </c>
      <c r="H177" t="s">
        <v>35</v>
      </c>
      <c r="I177" t="s">
        <v>28</v>
      </c>
      <c r="J177" t="s">
        <v>37</v>
      </c>
      <c r="K177" t="s">
        <v>55</v>
      </c>
      <c r="L177" s="3">
        <v>50</v>
      </c>
      <c r="M177" s="3">
        <v>4</v>
      </c>
      <c r="N177">
        <v>0</v>
      </c>
      <c r="O177">
        <v>4</v>
      </c>
      <c r="P177" t="s">
        <v>31</v>
      </c>
    </row>
    <row r="178" spans="1:16">
      <c r="A178" t="s">
        <v>271</v>
      </c>
      <c r="B178" s="6">
        <v>46229.834027777775</v>
      </c>
      <c r="C178" s="2" t="s">
        <v>272</v>
      </c>
      <c r="D178" t="s">
        <v>23</v>
      </c>
      <c r="E178" t="s">
        <v>50</v>
      </c>
      <c r="F178" t="s">
        <v>41</v>
      </c>
      <c r="G178" t="s">
        <v>26</v>
      </c>
      <c r="H178" t="s">
        <v>42</v>
      </c>
      <c r="I178" t="s">
        <v>48</v>
      </c>
      <c r="J178" t="s">
        <v>37</v>
      </c>
      <c r="K178" t="s">
        <v>68</v>
      </c>
      <c r="L178" s="3" t="s">
        <v>273</v>
      </c>
      <c r="M178" s="3">
        <v>4</v>
      </c>
      <c r="N178">
        <v>0</v>
      </c>
      <c r="O178">
        <v>7</v>
      </c>
      <c r="P178" t="s">
        <v>31</v>
      </c>
    </row>
    <row r="179" spans="1:16">
      <c r="A179" t="s">
        <v>274</v>
      </c>
      <c r="B179" s="6">
        <v>46121.025000000001</v>
      </c>
      <c r="C179" s="2">
        <v>46122.126243321756</v>
      </c>
      <c r="D179" t="s">
        <v>23</v>
      </c>
      <c r="E179" t="s">
        <v>33</v>
      </c>
      <c r="F179" t="s">
        <v>41</v>
      </c>
      <c r="G179" t="s">
        <v>26</v>
      </c>
      <c r="H179" t="s">
        <v>35</v>
      </c>
      <c r="I179" t="s">
        <v>36</v>
      </c>
      <c r="J179" t="s">
        <v>37</v>
      </c>
      <c r="K179" t="s">
        <v>68</v>
      </c>
      <c r="L179" s="3">
        <v>111</v>
      </c>
      <c r="M179" s="3">
        <v>3</v>
      </c>
      <c r="N179">
        <v>2</v>
      </c>
      <c r="O179">
        <v>10</v>
      </c>
      <c r="P179" t="s">
        <v>31</v>
      </c>
    </row>
    <row r="180" spans="1:16">
      <c r="A180" t="s">
        <v>275</v>
      </c>
      <c r="B180" s="6">
        <v>46049.17083333333</v>
      </c>
      <c r="C180" s="2">
        <v>46049.952068796294</v>
      </c>
      <c r="D180" t="s">
        <v>23</v>
      </c>
      <c r="E180" t="s">
        <v>276</v>
      </c>
      <c r="F180" t="s">
        <v>25</v>
      </c>
      <c r="G180" t="s">
        <v>54</v>
      </c>
      <c r="H180" t="s">
        <v>35</v>
      </c>
      <c r="I180" t="s">
        <v>48</v>
      </c>
      <c r="J180" t="s">
        <v>67</v>
      </c>
      <c r="K180" t="s">
        <v>71</v>
      </c>
      <c r="L180" s="3">
        <v>21</v>
      </c>
      <c r="M180" s="3">
        <v>4</v>
      </c>
      <c r="N180">
        <v>0</v>
      </c>
      <c r="O180">
        <v>10</v>
      </c>
      <c r="P180" t="s">
        <v>63</v>
      </c>
    </row>
    <row r="181" spans="1:16">
      <c r="A181" t="s">
        <v>277</v>
      </c>
      <c r="B181" s="6">
        <v>46084.374305555553</v>
      </c>
      <c r="C181" s="2">
        <v>46085.094296921299</v>
      </c>
      <c r="D181" t="s">
        <v>23</v>
      </c>
      <c r="E181" t="s">
        <v>50</v>
      </c>
      <c r="F181" t="s">
        <v>25</v>
      </c>
      <c r="G181" t="s">
        <v>66</v>
      </c>
      <c r="H181" t="s">
        <v>35</v>
      </c>
      <c r="I181" t="s">
        <v>36</v>
      </c>
      <c r="J181" t="s">
        <v>52</v>
      </c>
      <c r="K181" t="s">
        <v>68</v>
      </c>
      <c r="L181" s="3">
        <v>56</v>
      </c>
      <c r="M181" s="3">
        <v>4</v>
      </c>
      <c r="N181">
        <v>0</v>
      </c>
      <c r="O181">
        <v>3</v>
      </c>
      <c r="P181" t="s">
        <v>31</v>
      </c>
    </row>
    <row r="182" spans="1:16">
      <c r="A182" t="s">
        <v>278</v>
      </c>
      <c r="B182" s="6">
        <v>46109.301388888889</v>
      </c>
      <c r="C182" s="2">
        <v>46110.772360266201</v>
      </c>
      <c r="D182" t="s">
        <v>23</v>
      </c>
      <c r="E182" t="s">
        <v>33</v>
      </c>
      <c r="F182" t="s">
        <v>41</v>
      </c>
      <c r="G182" t="s">
        <v>34</v>
      </c>
      <c r="H182" t="s">
        <v>42</v>
      </c>
      <c r="I182" t="s">
        <v>28</v>
      </c>
      <c r="J182" t="s">
        <v>37</v>
      </c>
      <c r="K182" t="s">
        <v>93</v>
      </c>
      <c r="L182" s="3">
        <v>247</v>
      </c>
      <c r="M182" s="3">
        <v>4</v>
      </c>
      <c r="N182">
        <v>0</v>
      </c>
      <c r="O182">
        <v>7</v>
      </c>
      <c r="P182" t="s">
        <v>31</v>
      </c>
    </row>
    <row r="183" spans="1:16">
      <c r="A183" t="s">
        <v>279</v>
      </c>
      <c r="B183" s="6">
        <v>46228.665277777778</v>
      </c>
      <c r="C183" s="2">
        <v>46228.888173101848</v>
      </c>
      <c r="D183" t="s">
        <v>23</v>
      </c>
      <c r="E183" t="s">
        <v>24</v>
      </c>
      <c r="F183" t="s">
        <v>41</v>
      </c>
      <c r="G183" t="s">
        <v>34</v>
      </c>
      <c r="H183" t="s">
        <v>42</v>
      </c>
      <c r="I183" t="s">
        <v>36</v>
      </c>
      <c r="J183" t="s">
        <v>67</v>
      </c>
      <c r="K183" t="s">
        <v>71</v>
      </c>
      <c r="L183" s="3">
        <v>32</v>
      </c>
      <c r="M183" s="3">
        <v>4</v>
      </c>
      <c r="N183">
        <v>0</v>
      </c>
      <c r="O183">
        <v>6</v>
      </c>
      <c r="P183" t="s">
        <v>31</v>
      </c>
    </row>
    <row r="184" spans="1:16">
      <c r="A184" t="s">
        <v>280</v>
      </c>
      <c r="B184" s="6">
        <v>46065.527777777781</v>
      </c>
      <c r="C184" s="2">
        <v>46066.584897685185</v>
      </c>
      <c r="D184" t="s">
        <v>23</v>
      </c>
      <c r="E184" t="s">
        <v>33</v>
      </c>
      <c r="F184" t="s">
        <v>51</v>
      </c>
      <c r="G184" t="s">
        <v>66</v>
      </c>
      <c r="H184" t="s">
        <v>35</v>
      </c>
      <c r="I184" t="s">
        <v>48</v>
      </c>
      <c r="J184" t="s">
        <v>52</v>
      </c>
      <c r="K184" t="s">
        <v>101</v>
      </c>
      <c r="L184" s="3">
        <v>416</v>
      </c>
      <c r="M184" s="3">
        <v>3</v>
      </c>
      <c r="N184">
        <v>0</v>
      </c>
      <c r="O184">
        <v>4</v>
      </c>
      <c r="P184" t="s">
        <v>31</v>
      </c>
    </row>
    <row r="185" spans="1:16">
      <c r="A185" t="s">
        <v>281</v>
      </c>
      <c r="B185" s="6" t="s">
        <v>282</v>
      </c>
      <c r="C185" s="2">
        <v>46055.115905509258</v>
      </c>
      <c r="D185" t="s">
        <v>23</v>
      </c>
      <c r="E185" t="s">
        <v>33</v>
      </c>
      <c r="F185" t="s">
        <v>51</v>
      </c>
      <c r="G185" t="s">
        <v>26</v>
      </c>
      <c r="H185" t="s">
        <v>35</v>
      </c>
      <c r="I185" t="s">
        <v>48</v>
      </c>
      <c r="J185" t="s">
        <v>29</v>
      </c>
      <c r="K185" t="s">
        <v>93</v>
      </c>
      <c r="L185" s="3">
        <v>158</v>
      </c>
      <c r="M185" s="3">
        <v>3</v>
      </c>
      <c r="N185">
        <v>1</v>
      </c>
      <c r="O185">
        <v>8</v>
      </c>
      <c r="P185" t="s">
        <v>31</v>
      </c>
    </row>
    <row r="186" spans="1:16">
      <c r="A186" t="s">
        <v>283</v>
      </c>
      <c r="B186" s="6">
        <v>46222.003472222219</v>
      </c>
      <c r="C186" s="2">
        <v>46223.375981076388</v>
      </c>
      <c r="D186" t="s">
        <v>23</v>
      </c>
      <c r="E186" t="s">
        <v>33</v>
      </c>
      <c r="F186" t="s">
        <v>41</v>
      </c>
      <c r="G186" t="s">
        <v>26</v>
      </c>
      <c r="H186" t="s">
        <v>42</v>
      </c>
      <c r="I186" t="s">
        <v>36</v>
      </c>
      <c r="J186" t="s">
        <v>37</v>
      </c>
      <c r="L186" s="3">
        <v>179</v>
      </c>
      <c r="M186" s="3">
        <v>3</v>
      </c>
      <c r="N186">
        <v>0</v>
      </c>
      <c r="O186">
        <v>3</v>
      </c>
      <c r="P186" t="s">
        <v>31</v>
      </c>
    </row>
    <row r="187" spans="1:16">
      <c r="A187" t="s">
        <v>284</v>
      </c>
      <c r="B187" s="6">
        <v>46127.933333333334</v>
      </c>
      <c r="C187" s="2">
        <v>46128.532019965278</v>
      </c>
      <c r="D187" t="s">
        <v>23</v>
      </c>
      <c r="E187" t="s">
        <v>50</v>
      </c>
      <c r="F187" t="s">
        <v>25</v>
      </c>
      <c r="G187" t="s">
        <v>34</v>
      </c>
      <c r="H187" t="s">
        <v>35</v>
      </c>
      <c r="I187" t="s">
        <v>43</v>
      </c>
      <c r="J187" t="s">
        <v>67</v>
      </c>
      <c r="K187" t="s">
        <v>93</v>
      </c>
      <c r="L187" s="3">
        <v>98</v>
      </c>
      <c r="M187" s="3">
        <v>4</v>
      </c>
      <c r="N187">
        <v>0</v>
      </c>
      <c r="O187">
        <v>3</v>
      </c>
      <c r="P187" t="s">
        <v>31</v>
      </c>
    </row>
    <row r="188" spans="1:16">
      <c r="A188" t="s">
        <v>285</v>
      </c>
      <c r="B188" s="6">
        <v>46208.079861111109</v>
      </c>
      <c r="C188" s="2">
        <v>46208.503448344905</v>
      </c>
      <c r="D188" t="s">
        <v>23</v>
      </c>
      <c r="F188" t="s">
        <v>25</v>
      </c>
      <c r="G188" t="s">
        <v>75</v>
      </c>
      <c r="H188" t="s">
        <v>35</v>
      </c>
      <c r="I188" t="s">
        <v>36</v>
      </c>
      <c r="J188" t="s">
        <v>52</v>
      </c>
      <c r="K188" t="s">
        <v>93</v>
      </c>
      <c r="L188" s="3">
        <v>114</v>
      </c>
      <c r="M188" s="3">
        <v>4</v>
      </c>
      <c r="N188">
        <v>0</v>
      </c>
      <c r="O188">
        <v>4</v>
      </c>
      <c r="P188" t="s">
        <v>31</v>
      </c>
    </row>
    <row r="189" spans="1:16">
      <c r="A189" t="s">
        <v>286</v>
      </c>
      <c r="B189" s="6">
        <v>46238.647222222222</v>
      </c>
      <c r="C189" s="2">
        <v>46240.531285335652</v>
      </c>
      <c r="D189" t="s">
        <v>23</v>
      </c>
      <c r="E189" t="s">
        <v>50</v>
      </c>
      <c r="F189" t="s">
        <v>51</v>
      </c>
      <c r="G189" t="s">
        <v>34</v>
      </c>
      <c r="H189" t="s">
        <v>27</v>
      </c>
      <c r="I189" t="s">
        <v>36</v>
      </c>
      <c r="J189" t="s">
        <v>37</v>
      </c>
      <c r="K189" t="s">
        <v>30</v>
      </c>
      <c r="L189" s="3">
        <v>77</v>
      </c>
      <c r="M189" s="3">
        <v>4</v>
      </c>
      <c r="N189">
        <v>0</v>
      </c>
      <c r="O189">
        <v>7</v>
      </c>
      <c r="P189" t="s">
        <v>31</v>
      </c>
    </row>
    <row r="190" spans="1:16">
      <c r="A190" t="s">
        <v>287</v>
      </c>
      <c r="B190" s="6" t="s">
        <v>288</v>
      </c>
      <c r="C190" s="2">
        <v>46256.329670092593</v>
      </c>
      <c r="D190" t="s">
        <v>23</v>
      </c>
      <c r="E190" t="s">
        <v>50</v>
      </c>
      <c r="F190" t="s">
        <v>41</v>
      </c>
      <c r="G190" t="s">
        <v>26</v>
      </c>
      <c r="H190" t="s">
        <v>35</v>
      </c>
      <c r="I190" t="s">
        <v>36</v>
      </c>
      <c r="J190" t="s">
        <v>67</v>
      </c>
      <c r="K190" t="s">
        <v>68</v>
      </c>
      <c r="L190" s="3">
        <v>64</v>
      </c>
      <c r="M190" s="3">
        <v>4</v>
      </c>
      <c r="N190">
        <v>0</v>
      </c>
      <c r="O190">
        <v>6</v>
      </c>
      <c r="P190" t="s">
        <v>31</v>
      </c>
    </row>
    <row r="191" spans="1:16">
      <c r="A191" t="s">
        <v>289</v>
      </c>
      <c r="B191" s="6">
        <v>46139.925000000003</v>
      </c>
      <c r="C191" s="2">
        <v>46140.45341829861</v>
      </c>
      <c r="D191" t="s">
        <v>23</v>
      </c>
      <c r="E191" t="s">
        <v>40</v>
      </c>
      <c r="F191" t="s">
        <v>25</v>
      </c>
      <c r="G191" t="s">
        <v>26</v>
      </c>
      <c r="H191" t="s">
        <v>42</v>
      </c>
      <c r="I191" t="s">
        <v>28</v>
      </c>
      <c r="J191" t="s">
        <v>67</v>
      </c>
      <c r="K191" t="s">
        <v>101</v>
      </c>
      <c r="L191" s="3" t="s">
        <v>290</v>
      </c>
      <c r="M191" s="3">
        <v>4</v>
      </c>
      <c r="N191">
        <v>0</v>
      </c>
      <c r="O191">
        <v>4</v>
      </c>
      <c r="P191" t="s">
        <v>63</v>
      </c>
    </row>
    <row r="192" spans="1:16">
      <c r="A192" t="s">
        <v>291</v>
      </c>
      <c r="B192" s="6">
        <v>46111.370833333334</v>
      </c>
      <c r="C192" s="2">
        <v>46113.715130671299</v>
      </c>
      <c r="D192" t="s">
        <v>23</v>
      </c>
      <c r="E192" t="s">
        <v>33</v>
      </c>
      <c r="F192" t="s">
        <v>51</v>
      </c>
      <c r="G192" t="s">
        <v>26</v>
      </c>
      <c r="H192" t="s">
        <v>35</v>
      </c>
      <c r="I192" t="s">
        <v>28</v>
      </c>
      <c r="J192" t="s">
        <v>58</v>
      </c>
      <c r="K192" t="s">
        <v>38</v>
      </c>
      <c r="L192" s="3">
        <v>171</v>
      </c>
      <c r="M192" s="3">
        <v>3</v>
      </c>
      <c r="N192">
        <v>0</v>
      </c>
      <c r="O192">
        <v>7</v>
      </c>
      <c r="P192" t="s">
        <v>31</v>
      </c>
    </row>
    <row r="193" spans="1:16">
      <c r="A193" t="s">
        <v>292</v>
      </c>
      <c r="B193" s="6">
        <v>46088.632638888892</v>
      </c>
      <c r="C193" s="2">
        <v>46089.911296076389</v>
      </c>
      <c r="D193" t="s">
        <v>23</v>
      </c>
      <c r="E193" t="s">
        <v>50</v>
      </c>
      <c r="F193" t="s">
        <v>51</v>
      </c>
      <c r="G193" t="s">
        <v>34</v>
      </c>
      <c r="H193" t="s">
        <v>27</v>
      </c>
      <c r="I193" t="s">
        <v>48</v>
      </c>
      <c r="J193" t="s">
        <v>76</v>
      </c>
      <c r="L193" s="3">
        <v>103</v>
      </c>
      <c r="M193" s="3">
        <v>4</v>
      </c>
      <c r="N193">
        <v>0</v>
      </c>
      <c r="O193">
        <v>7</v>
      </c>
      <c r="P193" t="s">
        <v>31</v>
      </c>
    </row>
    <row r="194" spans="1:16">
      <c r="A194" t="s">
        <v>293</v>
      </c>
      <c r="B194" s="6">
        <v>46259.397916666669</v>
      </c>
      <c r="C194" s="2">
        <v>46263.596077939816</v>
      </c>
      <c r="D194" t="s">
        <v>23</v>
      </c>
      <c r="E194" t="s">
        <v>33</v>
      </c>
      <c r="F194" t="s">
        <v>25</v>
      </c>
      <c r="G194" t="s">
        <v>26</v>
      </c>
      <c r="H194" t="s">
        <v>35</v>
      </c>
      <c r="I194" t="s">
        <v>48</v>
      </c>
      <c r="J194" t="s">
        <v>76</v>
      </c>
      <c r="K194" t="s">
        <v>62</v>
      </c>
      <c r="L194" s="3">
        <v>428</v>
      </c>
      <c r="M194" s="3">
        <v>3</v>
      </c>
      <c r="N194">
        <v>0</v>
      </c>
      <c r="O194">
        <v>5</v>
      </c>
      <c r="P194" t="s">
        <v>31</v>
      </c>
    </row>
    <row r="195" spans="1:16">
      <c r="A195" t="s">
        <v>294</v>
      </c>
      <c r="B195" s="6">
        <v>46047.118750000001</v>
      </c>
      <c r="C195" s="2">
        <v>46049.00512854167</v>
      </c>
      <c r="D195" t="s">
        <v>23</v>
      </c>
      <c r="E195" t="s">
        <v>33</v>
      </c>
      <c r="F195" t="s">
        <v>51</v>
      </c>
      <c r="G195" t="s">
        <v>54</v>
      </c>
      <c r="H195" t="s">
        <v>35</v>
      </c>
      <c r="I195" t="s">
        <v>36</v>
      </c>
      <c r="J195" t="s">
        <v>37</v>
      </c>
      <c r="K195" t="s">
        <v>85</v>
      </c>
      <c r="L195" s="3">
        <v>417</v>
      </c>
      <c r="M195" s="3">
        <v>2</v>
      </c>
      <c r="N195">
        <v>1</v>
      </c>
      <c r="O195">
        <v>6</v>
      </c>
      <c r="P195" t="s">
        <v>31</v>
      </c>
    </row>
    <row r="196" spans="1:16">
      <c r="A196" t="s">
        <v>295</v>
      </c>
      <c r="B196" s="6">
        <v>46217.201388888891</v>
      </c>
      <c r="C196" s="2">
        <v>46218.242879988429</v>
      </c>
      <c r="D196" t="s">
        <v>23</v>
      </c>
      <c r="E196" t="s">
        <v>50</v>
      </c>
      <c r="F196" t="s">
        <v>25</v>
      </c>
      <c r="G196" t="s">
        <v>34</v>
      </c>
      <c r="H196" t="s">
        <v>42</v>
      </c>
      <c r="I196" t="s">
        <v>36</v>
      </c>
      <c r="J196" t="s">
        <v>37</v>
      </c>
      <c r="K196" t="s">
        <v>38</v>
      </c>
      <c r="L196" s="3">
        <v>143</v>
      </c>
      <c r="M196" s="3">
        <v>4</v>
      </c>
      <c r="N196">
        <v>0</v>
      </c>
      <c r="O196">
        <v>7</v>
      </c>
      <c r="P196" t="s">
        <v>31</v>
      </c>
    </row>
    <row r="197" spans="1:16">
      <c r="A197" t="s">
        <v>296</v>
      </c>
      <c r="B197" s="6">
        <v>46076.992361111108</v>
      </c>
      <c r="C197" s="2">
        <v>46077.719838622688</v>
      </c>
      <c r="D197" t="s">
        <v>23</v>
      </c>
      <c r="E197" t="s">
        <v>50</v>
      </c>
      <c r="F197" t="s">
        <v>25</v>
      </c>
      <c r="G197" t="s">
        <v>66</v>
      </c>
      <c r="H197" t="s">
        <v>27</v>
      </c>
      <c r="I197" t="s">
        <v>28</v>
      </c>
      <c r="J197" t="s">
        <v>37</v>
      </c>
      <c r="K197" t="s">
        <v>62</v>
      </c>
      <c r="L197" s="3">
        <v>130</v>
      </c>
      <c r="M197" s="3">
        <v>4</v>
      </c>
      <c r="N197">
        <v>0</v>
      </c>
      <c r="O197">
        <v>4</v>
      </c>
      <c r="P197" t="s">
        <v>31</v>
      </c>
    </row>
    <row r="198" spans="1:16">
      <c r="A198" t="s">
        <v>297</v>
      </c>
      <c r="B198" s="6">
        <v>46056.931250000001</v>
      </c>
      <c r="C198" s="2">
        <v>46058.286868645831</v>
      </c>
      <c r="D198" t="s">
        <v>23</v>
      </c>
      <c r="E198" t="s">
        <v>50</v>
      </c>
      <c r="F198" t="s">
        <v>41</v>
      </c>
      <c r="G198" t="s">
        <v>66</v>
      </c>
      <c r="H198" t="s">
        <v>35</v>
      </c>
      <c r="I198" t="s">
        <v>43</v>
      </c>
      <c r="J198" t="s">
        <v>58</v>
      </c>
      <c r="K198" t="s">
        <v>71</v>
      </c>
      <c r="L198" s="3">
        <v>228</v>
      </c>
      <c r="M198" s="3"/>
      <c r="N198">
        <v>0</v>
      </c>
      <c r="O198">
        <v>5</v>
      </c>
      <c r="P198" t="s">
        <v>31</v>
      </c>
    </row>
    <row r="199" spans="1:16">
      <c r="A199" t="s">
        <v>298</v>
      </c>
      <c r="B199" s="6">
        <v>46067.679166666669</v>
      </c>
      <c r="C199" s="2">
        <v>46068.46984322917</v>
      </c>
      <c r="D199" t="s">
        <v>23</v>
      </c>
      <c r="E199" t="s">
        <v>40</v>
      </c>
      <c r="F199" t="s">
        <v>25</v>
      </c>
      <c r="G199" t="s">
        <v>34</v>
      </c>
      <c r="H199" t="s">
        <v>42</v>
      </c>
      <c r="I199" t="s">
        <v>36</v>
      </c>
      <c r="J199" t="s">
        <v>37</v>
      </c>
      <c r="K199" t="s">
        <v>38</v>
      </c>
      <c r="L199" s="3">
        <v>74</v>
      </c>
      <c r="M199" s="3">
        <v>4</v>
      </c>
      <c r="N199">
        <v>0</v>
      </c>
      <c r="O199">
        <v>2</v>
      </c>
      <c r="P199" t="s">
        <v>31</v>
      </c>
    </row>
    <row r="200" spans="1:16">
      <c r="A200" t="s">
        <v>299</v>
      </c>
      <c r="B200" s="6">
        <v>46050.602083333331</v>
      </c>
      <c r="C200" s="2">
        <v>46050.74591784722</v>
      </c>
      <c r="D200" t="s">
        <v>23</v>
      </c>
      <c r="E200" t="s">
        <v>40</v>
      </c>
      <c r="F200" t="s">
        <v>25</v>
      </c>
      <c r="G200" t="s">
        <v>66</v>
      </c>
      <c r="H200" t="s">
        <v>35</v>
      </c>
      <c r="I200" t="s">
        <v>43</v>
      </c>
      <c r="J200" t="s">
        <v>52</v>
      </c>
      <c r="K200" t="s">
        <v>68</v>
      </c>
      <c r="L200" s="3">
        <v>8</v>
      </c>
      <c r="M200" s="3">
        <v>5</v>
      </c>
      <c r="N200">
        <v>0</v>
      </c>
      <c r="O200">
        <v>5</v>
      </c>
      <c r="P200" t="s">
        <v>31</v>
      </c>
    </row>
    <row r="201" spans="1:16">
      <c r="A201" t="s">
        <v>300</v>
      </c>
      <c r="B201" s="6" t="s">
        <v>301</v>
      </c>
      <c r="C201" s="2">
        <v>46163.722617881947</v>
      </c>
      <c r="D201" t="s">
        <v>23</v>
      </c>
      <c r="E201" t="s">
        <v>50</v>
      </c>
      <c r="F201" t="s">
        <v>41</v>
      </c>
      <c r="G201" t="s">
        <v>26</v>
      </c>
      <c r="H201" t="s">
        <v>35</v>
      </c>
      <c r="I201" t="s">
        <v>28</v>
      </c>
      <c r="J201" t="s">
        <v>67</v>
      </c>
      <c r="K201" t="s">
        <v>38</v>
      </c>
      <c r="L201" s="3">
        <v>224</v>
      </c>
      <c r="M201" s="3">
        <v>4</v>
      </c>
      <c r="N201">
        <v>0</v>
      </c>
      <c r="O201">
        <v>4</v>
      </c>
      <c r="P201" t="s">
        <v>31</v>
      </c>
    </row>
    <row r="202" spans="1:16">
      <c r="A202" t="s">
        <v>302</v>
      </c>
      <c r="B202" s="6">
        <v>46039.677083333336</v>
      </c>
      <c r="C202" s="2">
        <v>46040.148700115744</v>
      </c>
      <c r="D202" t="s">
        <v>23</v>
      </c>
      <c r="E202" t="s">
        <v>50</v>
      </c>
      <c r="F202" t="s">
        <v>65</v>
      </c>
      <c r="G202" t="s">
        <v>66</v>
      </c>
      <c r="H202" t="s">
        <v>35</v>
      </c>
      <c r="I202" t="s">
        <v>43</v>
      </c>
      <c r="J202" t="s">
        <v>52</v>
      </c>
      <c r="K202" t="s">
        <v>38</v>
      </c>
      <c r="L202" s="3">
        <v>106</v>
      </c>
      <c r="M202" s="3">
        <v>4</v>
      </c>
      <c r="N202">
        <v>0</v>
      </c>
      <c r="O202">
        <v>5</v>
      </c>
      <c r="P202" t="s">
        <v>31</v>
      </c>
    </row>
    <row r="203" spans="1:16">
      <c r="A203" t="s">
        <v>303</v>
      </c>
      <c r="B203" s="6">
        <v>46038.218055555553</v>
      </c>
      <c r="C203" s="2" t="s">
        <v>304</v>
      </c>
      <c r="D203" t="s">
        <v>23</v>
      </c>
      <c r="E203" t="s">
        <v>50</v>
      </c>
      <c r="F203" t="s">
        <v>25</v>
      </c>
      <c r="G203" t="s">
        <v>66</v>
      </c>
      <c r="H203" t="s">
        <v>42</v>
      </c>
      <c r="I203" t="s">
        <v>36</v>
      </c>
      <c r="J203" t="s">
        <v>29</v>
      </c>
      <c r="K203" t="s">
        <v>101</v>
      </c>
      <c r="L203" s="3">
        <v>166</v>
      </c>
      <c r="M203" s="3">
        <v>4</v>
      </c>
      <c r="N203">
        <v>0</v>
      </c>
      <c r="O203">
        <v>6</v>
      </c>
      <c r="P203" t="s">
        <v>31</v>
      </c>
    </row>
    <row r="204" spans="1:16">
      <c r="A204" t="s">
        <v>305</v>
      </c>
      <c r="B204" s="6">
        <v>46260.661111111112</v>
      </c>
      <c r="C204" s="2">
        <v>46261.309755289352</v>
      </c>
      <c r="D204" t="s">
        <v>23</v>
      </c>
      <c r="E204" t="s">
        <v>50</v>
      </c>
      <c r="F204" t="s">
        <v>25</v>
      </c>
      <c r="G204" t="s">
        <v>34</v>
      </c>
      <c r="H204" t="s">
        <v>35</v>
      </c>
      <c r="I204" t="s">
        <v>28</v>
      </c>
      <c r="J204" t="s">
        <v>52</v>
      </c>
      <c r="K204" t="s">
        <v>93</v>
      </c>
      <c r="L204" s="3" t="s">
        <v>306</v>
      </c>
      <c r="M204" s="3">
        <v>4</v>
      </c>
      <c r="N204">
        <v>0</v>
      </c>
      <c r="O204">
        <v>2</v>
      </c>
      <c r="P204" t="s">
        <v>31</v>
      </c>
    </row>
    <row r="205" spans="1:16">
      <c r="A205" t="s">
        <v>307</v>
      </c>
      <c r="B205" s="6">
        <v>46238.245833333334</v>
      </c>
      <c r="C205" s="2">
        <v>46240.650902175927</v>
      </c>
      <c r="D205" t="s">
        <v>23</v>
      </c>
      <c r="E205" t="s">
        <v>50</v>
      </c>
      <c r="F205" t="s">
        <v>41</v>
      </c>
      <c r="G205" t="s">
        <v>26</v>
      </c>
      <c r="H205" t="s">
        <v>42</v>
      </c>
      <c r="I205" t="s">
        <v>36</v>
      </c>
      <c r="J205" t="s">
        <v>37</v>
      </c>
      <c r="K205" t="s">
        <v>38</v>
      </c>
      <c r="L205" s="3">
        <v>315</v>
      </c>
      <c r="M205" s="3">
        <v>3</v>
      </c>
      <c r="N205">
        <v>0</v>
      </c>
      <c r="O205">
        <v>7</v>
      </c>
      <c r="P205" t="s">
        <v>31</v>
      </c>
    </row>
    <row r="206" spans="1:16">
      <c r="A206" t="s">
        <v>308</v>
      </c>
      <c r="B206" s="6">
        <v>46229.219444444447</v>
      </c>
      <c r="C206" s="2">
        <v>46230.994884097221</v>
      </c>
      <c r="D206" t="s">
        <v>23</v>
      </c>
      <c r="E206" t="s">
        <v>50</v>
      </c>
      <c r="F206" t="s">
        <v>51</v>
      </c>
      <c r="G206" t="s">
        <v>66</v>
      </c>
      <c r="H206" t="s">
        <v>35</v>
      </c>
      <c r="I206" t="s">
        <v>43</v>
      </c>
      <c r="J206" t="s">
        <v>37</v>
      </c>
      <c r="K206" t="s">
        <v>93</v>
      </c>
      <c r="L206" s="3">
        <v>73</v>
      </c>
      <c r="M206" s="3">
        <v>3</v>
      </c>
      <c r="N206">
        <v>0</v>
      </c>
      <c r="O206">
        <v>11</v>
      </c>
      <c r="P206" t="s">
        <v>63</v>
      </c>
    </row>
    <row r="207" spans="1:16">
      <c r="A207" t="s">
        <v>309</v>
      </c>
      <c r="B207" s="6">
        <v>46184.53402777778</v>
      </c>
      <c r="C207" s="2">
        <v>46184.724758136574</v>
      </c>
      <c r="D207" t="s">
        <v>23</v>
      </c>
      <c r="E207" t="s">
        <v>24</v>
      </c>
      <c r="F207" t="s">
        <v>51</v>
      </c>
      <c r="G207" t="s">
        <v>26</v>
      </c>
      <c r="H207" t="s">
        <v>27</v>
      </c>
      <c r="I207" t="s">
        <v>36</v>
      </c>
      <c r="J207" t="s">
        <v>76</v>
      </c>
      <c r="K207" t="s">
        <v>68</v>
      </c>
      <c r="L207" s="3">
        <v>25</v>
      </c>
      <c r="M207" s="3">
        <v>4</v>
      </c>
      <c r="N207">
        <v>1</v>
      </c>
      <c r="O207">
        <v>8</v>
      </c>
      <c r="P207" t="s">
        <v>31</v>
      </c>
    </row>
    <row r="208" spans="1:16">
      <c r="A208" t="s">
        <v>310</v>
      </c>
      <c r="B208" s="6">
        <v>46256.117361111108</v>
      </c>
      <c r="C208" s="2">
        <v>46257.154160937498</v>
      </c>
      <c r="D208" t="s">
        <v>23</v>
      </c>
      <c r="E208" t="s">
        <v>50</v>
      </c>
      <c r="F208" t="s">
        <v>51</v>
      </c>
      <c r="G208" t="s">
        <v>54</v>
      </c>
      <c r="H208" t="s">
        <v>35</v>
      </c>
      <c r="I208" t="s">
        <v>43</v>
      </c>
      <c r="J208" t="s">
        <v>76</v>
      </c>
      <c r="K208" t="s">
        <v>38</v>
      </c>
      <c r="L208" s="3">
        <v>173</v>
      </c>
      <c r="M208" s="3">
        <v>4</v>
      </c>
      <c r="N208">
        <v>0</v>
      </c>
      <c r="O208">
        <v>5</v>
      </c>
      <c r="P208" t="s">
        <v>31</v>
      </c>
    </row>
    <row r="209" spans="1:16">
      <c r="A209" t="s">
        <v>311</v>
      </c>
      <c r="B209" s="6">
        <v>46232.352083333331</v>
      </c>
      <c r="C209" s="2">
        <v>46233.773044930553</v>
      </c>
      <c r="D209" t="s">
        <v>23</v>
      </c>
      <c r="E209" t="s">
        <v>50</v>
      </c>
      <c r="F209" t="s">
        <v>25</v>
      </c>
      <c r="G209" t="s">
        <v>34</v>
      </c>
      <c r="H209" t="s">
        <v>27</v>
      </c>
      <c r="I209" t="s">
        <v>36</v>
      </c>
      <c r="J209" t="s">
        <v>58</v>
      </c>
      <c r="K209" t="s">
        <v>85</v>
      </c>
      <c r="L209" s="3">
        <v>72</v>
      </c>
      <c r="M209" s="3">
        <v>4</v>
      </c>
      <c r="N209">
        <v>1</v>
      </c>
      <c r="O209">
        <v>7</v>
      </c>
      <c r="P209" t="s">
        <v>31</v>
      </c>
    </row>
    <row r="210" spans="1:16">
      <c r="A210" t="s">
        <v>312</v>
      </c>
      <c r="B210" s="6">
        <v>46245.756944444445</v>
      </c>
      <c r="C210" s="2">
        <v>46247.410581724536</v>
      </c>
      <c r="D210" t="s">
        <v>23</v>
      </c>
      <c r="E210" t="s">
        <v>50</v>
      </c>
      <c r="F210" t="s">
        <v>65</v>
      </c>
      <c r="G210" t="s">
        <v>75</v>
      </c>
      <c r="H210" t="s">
        <v>35</v>
      </c>
      <c r="I210" t="s">
        <v>28</v>
      </c>
      <c r="J210" t="s">
        <v>37</v>
      </c>
      <c r="K210" t="s">
        <v>38</v>
      </c>
      <c r="L210" s="3">
        <v>105</v>
      </c>
      <c r="M210" s="3">
        <v>4</v>
      </c>
      <c r="N210">
        <v>0</v>
      </c>
      <c r="O210">
        <v>3</v>
      </c>
      <c r="P210" t="s">
        <v>31</v>
      </c>
    </row>
    <row r="211" spans="1:16">
      <c r="A211" t="s">
        <v>313</v>
      </c>
      <c r="B211" s="6">
        <v>46138.181250000001</v>
      </c>
      <c r="C211" s="2">
        <v>46138.637373043981</v>
      </c>
      <c r="D211" t="s">
        <v>23</v>
      </c>
      <c r="E211" t="s">
        <v>50</v>
      </c>
      <c r="F211" t="s">
        <v>25</v>
      </c>
      <c r="G211" t="s">
        <v>26</v>
      </c>
      <c r="H211" t="s">
        <v>35</v>
      </c>
      <c r="I211" t="s">
        <v>43</v>
      </c>
      <c r="J211" t="s">
        <v>29</v>
      </c>
      <c r="K211" t="s">
        <v>93</v>
      </c>
      <c r="L211" s="3">
        <v>110</v>
      </c>
      <c r="M211" s="3">
        <v>4</v>
      </c>
      <c r="N211">
        <v>0</v>
      </c>
      <c r="O211">
        <v>4</v>
      </c>
      <c r="P211" t="s">
        <v>31</v>
      </c>
    </row>
    <row r="212" spans="1:16">
      <c r="A212" t="s">
        <v>314</v>
      </c>
      <c r="B212" s="6">
        <v>46119.441666666666</v>
      </c>
      <c r="C212" s="2">
        <v>46121.277152858798</v>
      </c>
      <c r="D212" t="s">
        <v>23</v>
      </c>
      <c r="E212" t="s">
        <v>33</v>
      </c>
      <c r="F212" t="s">
        <v>51</v>
      </c>
      <c r="G212" t="s">
        <v>34</v>
      </c>
      <c r="H212" t="s">
        <v>27</v>
      </c>
      <c r="I212" t="s">
        <v>28</v>
      </c>
      <c r="J212" t="s">
        <v>58</v>
      </c>
      <c r="K212" t="s">
        <v>44</v>
      </c>
      <c r="L212" s="3">
        <v>147</v>
      </c>
      <c r="M212" s="3">
        <v>3</v>
      </c>
      <c r="N212">
        <v>0</v>
      </c>
      <c r="O212">
        <v>5</v>
      </c>
      <c r="P212" t="s">
        <v>31</v>
      </c>
    </row>
    <row r="213" spans="1:16">
      <c r="A213" t="s">
        <v>315</v>
      </c>
      <c r="B213" s="6">
        <v>46200.072916666664</v>
      </c>
      <c r="C213" s="2">
        <v>46200.92886777778</v>
      </c>
      <c r="D213" t="s">
        <v>23</v>
      </c>
      <c r="E213" t="s">
        <v>33</v>
      </c>
      <c r="F213" t="s">
        <v>25</v>
      </c>
      <c r="G213" t="s">
        <v>54</v>
      </c>
      <c r="H213" t="s">
        <v>42</v>
      </c>
      <c r="I213" t="s">
        <v>43</v>
      </c>
      <c r="J213" t="s">
        <v>29</v>
      </c>
      <c r="K213" t="s">
        <v>30</v>
      </c>
      <c r="L213" s="3">
        <v>313</v>
      </c>
      <c r="M213" s="3">
        <v>3</v>
      </c>
      <c r="N213">
        <v>0</v>
      </c>
      <c r="O213">
        <v>2</v>
      </c>
      <c r="P213" t="s">
        <v>31</v>
      </c>
    </row>
    <row r="214" spans="1:16">
      <c r="A214" t="s">
        <v>316</v>
      </c>
      <c r="B214" s="6">
        <v>46236.496527777781</v>
      </c>
      <c r="C214" s="2">
        <v>46238.710545613423</v>
      </c>
      <c r="D214" t="s">
        <v>23</v>
      </c>
      <c r="E214" t="s">
        <v>33</v>
      </c>
      <c r="F214" t="s">
        <v>41</v>
      </c>
      <c r="G214" t="s">
        <v>26</v>
      </c>
      <c r="H214" t="s">
        <v>42</v>
      </c>
      <c r="I214" t="s">
        <v>36</v>
      </c>
      <c r="J214" t="s">
        <v>37</v>
      </c>
      <c r="K214" t="s">
        <v>85</v>
      </c>
      <c r="L214" s="3">
        <v>229</v>
      </c>
      <c r="M214" s="3">
        <v>3</v>
      </c>
      <c r="N214">
        <v>0</v>
      </c>
      <c r="O214">
        <v>3</v>
      </c>
      <c r="P214" t="s">
        <v>31</v>
      </c>
    </row>
    <row r="215" spans="1:16">
      <c r="A215" t="s">
        <v>317</v>
      </c>
      <c r="B215" s="6">
        <v>46085.537499999999</v>
      </c>
      <c r="C215" s="2">
        <v>46086.548781458332</v>
      </c>
      <c r="D215" t="s">
        <v>23</v>
      </c>
      <c r="E215" t="s">
        <v>50</v>
      </c>
      <c r="F215" t="s">
        <v>25</v>
      </c>
      <c r="G215" t="s">
        <v>26</v>
      </c>
      <c r="H215" t="s">
        <v>35</v>
      </c>
      <c r="I215" t="s">
        <v>36</v>
      </c>
      <c r="J215" t="s">
        <v>58</v>
      </c>
      <c r="K215" t="s">
        <v>68</v>
      </c>
      <c r="L215" s="3">
        <v>62</v>
      </c>
      <c r="M215" s="3">
        <v>4</v>
      </c>
      <c r="N215">
        <v>1</v>
      </c>
      <c r="O215">
        <v>11</v>
      </c>
      <c r="P215" t="s">
        <v>31</v>
      </c>
    </row>
    <row r="216" spans="1:16">
      <c r="A216" t="s">
        <v>318</v>
      </c>
      <c r="B216" s="6">
        <v>46140.945138888892</v>
      </c>
      <c r="C216" s="2">
        <v>46141.847430127316</v>
      </c>
      <c r="D216" t="s">
        <v>23</v>
      </c>
      <c r="E216" t="s">
        <v>40</v>
      </c>
      <c r="F216" t="s">
        <v>51</v>
      </c>
      <c r="G216" t="s">
        <v>66</v>
      </c>
      <c r="H216" t="s">
        <v>42</v>
      </c>
      <c r="I216" t="s">
        <v>28</v>
      </c>
      <c r="J216" t="s">
        <v>67</v>
      </c>
      <c r="K216" t="s">
        <v>44</v>
      </c>
      <c r="L216" s="3">
        <v>17</v>
      </c>
      <c r="M216" s="3">
        <v>4</v>
      </c>
      <c r="N216">
        <v>0</v>
      </c>
      <c r="O216">
        <v>5</v>
      </c>
      <c r="P216" t="s">
        <v>31</v>
      </c>
    </row>
    <row r="217" spans="1:16">
      <c r="A217" t="s">
        <v>319</v>
      </c>
      <c r="B217" s="6">
        <v>46065.241666666669</v>
      </c>
      <c r="C217" s="2">
        <v>46066.357154490739</v>
      </c>
      <c r="D217" t="s">
        <v>23</v>
      </c>
      <c r="E217" t="s">
        <v>50</v>
      </c>
      <c r="F217" t="s">
        <v>65</v>
      </c>
      <c r="G217" t="s">
        <v>75</v>
      </c>
      <c r="H217" t="s">
        <v>42</v>
      </c>
      <c r="I217" t="s">
        <v>36</v>
      </c>
      <c r="J217" t="s">
        <v>58</v>
      </c>
      <c r="K217" t="s">
        <v>68</v>
      </c>
      <c r="L217" s="3">
        <v>136</v>
      </c>
      <c r="M217" s="3">
        <v>4</v>
      </c>
      <c r="N217">
        <v>0</v>
      </c>
      <c r="O217">
        <v>7</v>
      </c>
      <c r="P217" t="s">
        <v>31</v>
      </c>
    </row>
    <row r="218" spans="1:16">
      <c r="A218" t="s">
        <v>320</v>
      </c>
      <c r="B218" s="6">
        <v>46047.932638888888</v>
      </c>
      <c r="C218" s="2">
        <v>46049.121018055557</v>
      </c>
      <c r="D218" t="s">
        <v>23</v>
      </c>
      <c r="E218" t="s">
        <v>33</v>
      </c>
      <c r="F218" t="s">
        <v>51</v>
      </c>
      <c r="G218" t="s">
        <v>212</v>
      </c>
      <c r="H218" t="s">
        <v>35</v>
      </c>
      <c r="I218" t="s">
        <v>28</v>
      </c>
      <c r="J218" t="s">
        <v>251</v>
      </c>
      <c r="K218" t="s">
        <v>44</v>
      </c>
      <c r="L218" s="3">
        <v>191</v>
      </c>
      <c r="M218" s="3">
        <v>3</v>
      </c>
      <c r="N218">
        <v>0</v>
      </c>
      <c r="O218">
        <v>11</v>
      </c>
      <c r="P218" t="s">
        <v>63</v>
      </c>
    </row>
    <row r="219" spans="1:16">
      <c r="A219" t="s">
        <v>321</v>
      </c>
      <c r="B219" s="6">
        <v>46225.693749999999</v>
      </c>
      <c r="C219" s="2">
        <v>46226.471882129626</v>
      </c>
      <c r="D219" t="s">
        <v>23</v>
      </c>
      <c r="E219" t="s">
        <v>50</v>
      </c>
      <c r="F219" t="s">
        <v>65</v>
      </c>
      <c r="G219" t="s">
        <v>34</v>
      </c>
      <c r="H219" t="s">
        <v>27</v>
      </c>
      <c r="I219" t="s">
        <v>36</v>
      </c>
      <c r="J219" t="s">
        <v>29</v>
      </c>
      <c r="K219" t="s">
        <v>85</v>
      </c>
      <c r="L219" s="3">
        <v>110</v>
      </c>
      <c r="M219" s="3">
        <v>4</v>
      </c>
      <c r="N219">
        <v>0</v>
      </c>
      <c r="O219">
        <v>2</v>
      </c>
      <c r="P219" t="s">
        <v>31</v>
      </c>
    </row>
    <row r="220" spans="1:16">
      <c r="A220" t="s">
        <v>322</v>
      </c>
      <c r="B220" s="6">
        <v>46151.107638888891</v>
      </c>
      <c r="C220" s="2">
        <v>46151.482319930554</v>
      </c>
      <c r="D220" t="s">
        <v>23</v>
      </c>
      <c r="E220" t="s">
        <v>40</v>
      </c>
      <c r="F220" t="s">
        <v>25</v>
      </c>
      <c r="G220" t="s">
        <v>54</v>
      </c>
      <c r="H220" t="s">
        <v>35</v>
      </c>
      <c r="I220" t="s">
        <v>36</v>
      </c>
      <c r="J220" t="s">
        <v>52</v>
      </c>
      <c r="K220" t="s">
        <v>71</v>
      </c>
      <c r="L220" s="3">
        <v>47</v>
      </c>
      <c r="M220" s="3">
        <v>4</v>
      </c>
      <c r="N220">
        <v>0</v>
      </c>
      <c r="O220">
        <v>2</v>
      </c>
      <c r="P220" t="s">
        <v>31</v>
      </c>
    </row>
    <row r="221" spans="1:16">
      <c r="A221" t="s">
        <v>323</v>
      </c>
      <c r="B221" s="6">
        <v>46145.220833333333</v>
      </c>
      <c r="C221" s="2">
        <v>46147.488023993057</v>
      </c>
      <c r="D221" t="s">
        <v>23</v>
      </c>
      <c r="E221" t="s">
        <v>50</v>
      </c>
      <c r="F221" t="s">
        <v>25</v>
      </c>
      <c r="G221" t="s">
        <v>26</v>
      </c>
      <c r="H221" t="s">
        <v>35</v>
      </c>
      <c r="I221" t="s">
        <v>28</v>
      </c>
      <c r="J221" t="s">
        <v>58</v>
      </c>
      <c r="K221" t="s">
        <v>93</v>
      </c>
      <c r="L221" s="3">
        <v>116</v>
      </c>
      <c r="M221" s="3">
        <v>3</v>
      </c>
      <c r="N221">
        <v>0</v>
      </c>
      <c r="O221">
        <v>5</v>
      </c>
      <c r="P221" t="s">
        <v>31</v>
      </c>
    </row>
    <row r="222" spans="1:16">
      <c r="A222" t="s">
        <v>324</v>
      </c>
      <c r="B222" s="6" t="s">
        <v>325</v>
      </c>
      <c r="C222" s="2">
        <v>46060.599844178243</v>
      </c>
      <c r="D222" t="s">
        <v>23</v>
      </c>
      <c r="E222" t="s">
        <v>50</v>
      </c>
      <c r="F222" t="s">
        <v>25</v>
      </c>
      <c r="G222" t="s">
        <v>54</v>
      </c>
      <c r="H222" t="s">
        <v>42</v>
      </c>
      <c r="I222" t="s">
        <v>48</v>
      </c>
      <c r="J222" t="s">
        <v>29</v>
      </c>
      <c r="K222" t="s">
        <v>55</v>
      </c>
      <c r="L222" s="3">
        <v>77</v>
      </c>
      <c r="M222" s="3">
        <v>4</v>
      </c>
      <c r="N222">
        <v>0</v>
      </c>
      <c r="O222">
        <v>7</v>
      </c>
      <c r="P222" t="s">
        <v>31</v>
      </c>
    </row>
    <row r="223" spans="1:16">
      <c r="A223" t="s">
        <v>326</v>
      </c>
      <c r="B223" s="6">
        <v>46096.844444444447</v>
      </c>
      <c r="C223" s="2">
        <v>46099.135066539355</v>
      </c>
      <c r="D223" t="s">
        <v>23</v>
      </c>
      <c r="E223" t="s">
        <v>33</v>
      </c>
      <c r="F223" t="s">
        <v>65</v>
      </c>
      <c r="G223" t="s">
        <v>26</v>
      </c>
      <c r="H223" t="s">
        <v>42</v>
      </c>
      <c r="I223" t="s">
        <v>48</v>
      </c>
      <c r="J223" t="s">
        <v>37</v>
      </c>
      <c r="K223" t="s">
        <v>62</v>
      </c>
      <c r="L223" s="3">
        <v>126</v>
      </c>
      <c r="M223" s="3">
        <v>4</v>
      </c>
      <c r="N223">
        <v>0</v>
      </c>
      <c r="O223">
        <v>2</v>
      </c>
      <c r="P223" t="s">
        <v>31</v>
      </c>
    </row>
    <row r="224" spans="1:16">
      <c r="A224" t="s">
        <v>327</v>
      </c>
      <c r="B224" s="6">
        <v>46252.217361111114</v>
      </c>
      <c r="C224" s="2">
        <v>46253.54680611111</v>
      </c>
      <c r="D224" t="s">
        <v>23</v>
      </c>
      <c r="E224" t="s">
        <v>50</v>
      </c>
      <c r="F224" t="s">
        <v>51</v>
      </c>
      <c r="G224" t="s">
        <v>26</v>
      </c>
      <c r="H224" t="s">
        <v>42</v>
      </c>
      <c r="I224" t="s">
        <v>28</v>
      </c>
      <c r="J224" t="s">
        <v>58</v>
      </c>
      <c r="K224" t="s">
        <v>55</v>
      </c>
      <c r="L224" s="3">
        <v>109</v>
      </c>
      <c r="M224" s="3">
        <v>4</v>
      </c>
      <c r="N224">
        <v>0</v>
      </c>
      <c r="O224">
        <v>7</v>
      </c>
      <c r="P224" t="s">
        <v>31</v>
      </c>
    </row>
    <row r="225" spans="1:16">
      <c r="A225" t="s">
        <v>328</v>
      </c>
      <c r="B225" s="6">
        <v>46247.117361111108</v>
      </c>
      <c r="C225" s="2">
        <v>46251.636383194447</v>
      </c>
      <c r="D225" t="s">
        <v>23</v>
      </c>
      <c r="E225" t="s">
        <v>33</v>
      </c>
      <c r="F225" t="s">
        <v>65</v>
      </c>
      <c r="G225" t="s">
        <v>26</v>
      </c>
      <c r="H225" t="s">
        <v>42</v>
      </c>
      <c r="I225" t="s">
        <v>36</v>
      </c>
      <c r="J225" t="s">
        <v>67</v>
      </c>
      <c r="K225" t="s">
        <v>38</v>
      </c>
      <c r="L225" s="3">
        <v>106</v>
      </c>
      <c r="M225" s="3">
        <v>4</v>
      </c>
      <c r="N225">
        <v>0</v>
      </c>
      <c r="O225">
        <v>3</v>
      </c>
      <c r="P225" t="s">
        <v>31</v>
      </c>
    </row>
    <row r="226" spans="1:16">
      <c r="A226" t="s">
        <v>329</v>
      </c>
      <c r="B226" s="6">
        <v>46056.369444444441</v>
      </c>
      <c r="C226" s="2">
        <v>46056.736414837964</v>
      </c>
      <c r="D226" t="s">
        <v>23</v>
      </c>
      <c r="E226" t="s">
        <v>40</v>
      </c>
      <c r="F226" t="s">
        <v>51</v>
      </c>
      <c r="G226" t="s">
        <v>26</v>
      </c>
      <c r="H226" t="s">
        <v>35</v>
      </c>
      <c r="I226" t="s">
        <v>43</v>
      </c>
      <c r="J226" t="s">
        <v>37</v>
      </c>
      <c r="K226" t="s">
        <v>55</v>
      </c>
      <c r="L226" s="3">
        <v>16</v>
      </c>
      <c r="M226" s="3">
        <v>5</v>
      </c>
      <c r="N226">
        <v>0</v>
      </c>
      <c r="O226">
        <v>6</v>
      </c>
      <c r="P226" t="s">
        <v>31</v>
      </c>
    </row>
    <row r="227" spans="1:16">
      <c r="A227" t="s">
        <v>330</v>
      </c>
      <c r="B227" s="6">
        <v>46252.530555555553</v>
      </c>
      <c r="C227" s="2">
        <v>46253.747471631941</v>
      </c>
      <c r="D227" t="s">
        <v>23</v>
      </c>
      <c r="E227" t="s">
        <v>50</v>
      </c>
      <c r="F227" t="s">
        <v>51</v>
      </c>
      <c r="G227" t="s">
        <v>34</v>
      </c>
      <c r="H227" t="s">
        <v>35</v>
      </c>
      <c r="I227" t="s">
        <v>36</v>
      </c>
      <c r="J227" t="s">
        <v>37</v>
      </c>
      <c r="K227" t="s">
        <v>55</v>
      </c>
      <c r="L227" s="3">
        <v>179</v>
      </c>
      <c r="M227" s="3">
        <v>4</v>
      </c>
      <c r="N227">
        <v>0</v>
      </c>
      <c r="O227">
        <v>7</v>
      </c>
      <c r="P227" t="s">
        <v>31</v>
      </c>
    </row>
    <row r="228" spans="1:16">
      <c r="A228" t="s">
        <v>331</v>
      </c>
      <c r="B228" s="6">
        <v>46065.172222222223</v>
      </c>
      <c r="C228" s="2">
        <v>46065.947013888886</v>
      </c>
      <c r="D228" t="s">
        <v>23</v>
      </c>
      <c r="E228" t="s">
        <v>33</v>
      </c>
      <c r="F228" t="s">
        <v>332</v>
      </c>
      <c r="G228" t="s">
        <v>26</v>
      </c>
      <c r="H228" t="s">
        <v>42</v>
      </c>
      <c r="I228" t="s">
        <v>43</v>
      </c>
      <c r="J228" t="s">
        <v>52</v>
      </c>
      <c r="K228" t="s">
        <v>38</v>
      </c>
      <c r="L228" s="3">
        <v>359</v>
      </c>
      <c r="M228" s="3">
        <v>3</v>
      </c>
      <c r="N228">
        <v>0</v>
      </c>
      <c r="O228">
        <v>3</v>
      </c>
      <c r="P228" t="s">
        <v>31</v>
      </c>
    </row>
    <row r="229" spans="1:16">
      <c r="A229" t="s">
        <v>333</v>
      </c>
      <c r="B229" s="6">
        <v>46230.43472222222</v>
      </c>
      <c r="C229" s="2">
        <v>46231.167521435185</v>
      </c>
      <c r="D229" t="s">
        <v>23</v>
      </c>
      <c r="E229" t="s">
        <v>40</v>
      </c>
      <c r="F229" t="s">
        <v>25</v>
      </c>
      <c r="G229" t="s">
        <v>26</v>
      </c>
      <c r="H229" t="s">
        <v>35</v>
      </c>
      <c r="I229" t="s">
        <v>28</v>
      </c>
      <c r="J229" t="s">
        <v>76</v>
      </c>
      <c r="K229" t="s">
        <v>85</v>
      </c>
      <c r="L229" s="3">
        <v>28</v>
      </c>
      <c r="M229" s="3">
        <v>4</v>
      </c>
      <c r="N229">
        <v>0</v>
      </c>
      <c r="O229">
        <v>6</v>
      </c>
      <c r="P229" t="s">
        <v>31</v>
      </c>
    </row>
    <row r="230" spans="1:16">
      <c r="A230" t="s">
        <v>334</v>
      </c>
      <c r="B230" s="6">
        <v>46181.883333333331</v>
      </c>
      <c r="C230" s="2">
        <v>46185.862995393516</v>
      </c>
      <c r="D230" t="s">
        <v>23</v>
      </c>
      <c r="E230" t="s">
        <v>33</v>
      </c>
      <c r="F230" t="s">
        <v>51</v>
      </c>
      <c r="G230" t="s">
        <v>26</v>
      </c>
      <c r="H230" t="s">
        <v>35</v>
      </c>
      <c r="I230" t="s">
        <v>48</v>
      </c>
      <c r="J230" t="s">
        <v>76</v>
      </c>
      <c r="K230" t="s">
        <v>44</v>
      </c>
      <c r="L230" s="3">
        <v>516</v>
      </c>
      <c r="M230" s="3">
        <v>3</v>
      </c>
      <c r="N230">
        <v>0</v>
      </c>
      <c r="O230">
        <v>2</v>
      </c>
      <c r="P230" t="s">
        <v>31</v>
      </c>
    </row>
    <row r="231" spans="1:16">
      <c r="A231" t="s">
        <v>335</v>
      </c>
      <c r="B231" s="6">
        <v>46053.900694444441</v>
      </c>
      <c r="C231" s="2">
        <v>46055.772908483799</v>
      </c>
      <c r="D231" t="s">
        <v>23</v>
      </c>
      <c r="E231" t="s">
        <v>50</v>
      </c>
      <c r="F231" t="s">
        <v>65</v>
      </c>
      <c r="G231" t="s">
        <v>34</v>
      </c>
      <c r="H231" t="s">
        <v>35</v>
      </c>
      <c r="I231" t="s">
        <v>48</v>
      </c>
      <c r="J231" t="s">
        <v>58</v>
      </c>
      <c r="K231" t="s">
        <v>38</v>
      </c>
      <c r="L231" s="3">
        <v>115</v>
      </c>
      <c r="M231" s="3">
        <v>4</v>
      </c>
      <c r="N231">
        <v>0</v>
      </c>
      <c r="O231">
        <v>7</v>
      </c>
      <c r="P231" t="s">
        <v>31</v>
      </c>
    </row>
    <row r="232" spans="1:16">
      <c r="A232" t="s">
        <v>336</v>
      </c>
      <c r="B232" s="6">
        <v>46264.667361111111</v>
      </c>
      <c r="C232" s="2">
        <v>46264.955589050929</v>
      </c>
      <c r="D232" t="s">
        <v>23</v>
      </c>
      <c r="E232" t="s">
        <v>40</v>
      </c>
      <c r="F232" t="s">
        <v>65</v>
      </c>
      <c r="G232" t="s">
        <v>75</v>
      </c>
      <c r="H232" t="s">
        <v>35</v>
      </c>
      <c r="I232" t="s">
        <v>48</v>
      </c>
      <c r="J232" t="s">
        <v>29</v>
      </c>
      <c r="K232" t="s">
        <v>55</v>
      </c>
      <c r="L232" s="3">
        <v>25</v>
      </c>
      <c r="M232" s="3">
        <v>4</v>
      </c>
      <c r="N232">
        <v>1</v>
      </c>
      <c r="O232">
        <v>8</v>
      </c>
      <c r="P232" t="s">
        <v>31</v>
      </c>
    </row>
    <row r="233" spans="1:16">
      <c r="A233" t="s">
        <v>337</v>
      </c>
      <c r="B233" s="6">
        <v>46261.769444444442</v>
      </c>
      <c r="C233" s="2">
        <v>46262.610242708331</v>
      </c>
      <c r="D233" t="s">
        <v>23</v>
      </c>
      <c r="E233" t="s">
        <v>50</v>
      </c>
      <c r="F233" t="s">
        <v>51</v>
      </c>
      <c r="G233" t="s">
        <v>75</v>
      </c>
      <c r="H233" t="s">
        <v>42</v>
      </c>
      <c r="I233" t="s">
        <v>36</v>
      </c>
      <c r="J233" t="s">
        <v>67</v>
      </c>
      <c r="K233" t="s">
        <v>55</v>
      </c>
      <c r="L233" s="3">
        <v>219</v>
      </c>
      <c r="M233" s="3">
        <v>4</v>
      </c>
      <c r="N233">
        <v>0</v>
      </c>
      <c r="O233">
        <v>2</v>
      </c>
      <c r="P233" t="s">
        <v>31</v>
      </c>
    </row>
    <row r="234" spans="1:16">
      <c r="A234" t="s">
        <v>338</v>
      </c>
      <c r="B234" s="6">
        <v>46047.242361111108</v>
      </c>
      <c r="C234" s="2">
        <v>46047.589963206017</v>
      </c>
      <c r="D234" t="s">
        <v>23</v>
      </c>
      <c r="E234" t="s">
        <v>40</v>
      </c>
      <c r="F234" t="s">
        <v>51</v>
      </c>
      <c r="G234" t="s">
        <v>26</v>
      </c>
      <c r="H234" t="s">
        <v>35</v>
      </c>
      <c r="I234" t="s">
        <v>48</v>
      </c>
      <c r="J234" t="s">
        <v>52</v>
      </c>
      <c r="K234" t="s">
        <v>71</v>
      </c>
      <c r="L234" s="3">
        <v>29</v>
      </c>
      <c r="M234" s="3">
        <v>4</v>
      </c>
      <c r="N234">
        <v>0</v>
      </c>
      <c r="O234">
        <v>5</v>
      </c>
      <c r="P234" t="s">
        <v>31</v>
      </c>
    </row>
    <row r="235" spans="1:16">
      <c r="A235" t="s">
        <v>339</v>
      </c>
      <c r="B235" s="6" t="s">
        <v>340</v>
      </c>
      <c r="C235" s="2"/>
      <c r="D235" t="s">
        <v>74</v>
      </c>
      <c r="E235" t="s">
        <v>40</v>
      </c>
      <c r="F235" t="s">
        <v>41</v>
      </c>
      <c r="G235" t="s">
        <v>26</v>
      </c>
      <c r="H235" t="s">
        <v>42</v>
      </c>
      <c r="I235" t="s">
        <v>48</v>
      </c>
      <c r="J235" t="s">
        <v>58</v>
      </c>
      <c r="K235" t="s">
        <v>55</v>
      </c>
      <c r="L235" s="3">
        <v>40</v>
      </c>
      <c r="M235" s="3"/>
      <c r="N235">
        <v>0</v>
      </c>
      <c r="O235">
        <v>2</v>
      </c>
      <c r="P235" t="s">
        <v>31</v>
      </c>
    </row>
    <row r="236" spans="1:16">
      <c r="A236" t="s">
        <v>341</v>
      </c>
      <c r="B236" s="6">
        <v>46121.615972222222</v>
      </c>
      <c r="C236" s="2">
        <v>46122.726489305554</v>
      </c>
      <c r="D236" t="s">
        <v>23</v>
      </c>
      <c r="E236" t="s">
        <v>50</v>
      </c>
      <c r="F236" t="s">
        <v>41</v>
      </c>
      <c r="G236" t="s">
        <v>26</v>
      </c>
      <c r="H236" t="s">
        <v>27</v>
      </c>
      <c r="I236" t="s">
        <v>48</v>
      </c>
      <c r="J236" t="s">
        <v>67</v>
      </c>
      <c r="K236" t="s">
        <v>62</v>
      </c>
      <c r="L236" s="3">
        <v>173</v>
      </c>
      <c r="M236" s="3">
        <v>4</v>
      </c>
      <c r="N236">
        <v>0</v>
      </c>
      <c r="O236">
        <v>6</v>
      </c>
      <c r="P236" t="s">
        <v>31</v>
      </c>
    </row>
    <row r="237" spans="1:16">
      <c r="A237" t="s">
        <v>342</v>
      </c>
      <c r="B237" s="6">
        <v>46088.036111111112</v>
      </c>
      <c r="C237" s="2">
        <v>46088.682340127314</v>
      </c>
      <c r="D237" t="s">
        <v>23</v>
      </c>
      <c r="E237" t="s">
        <v>40</v>
      </c>
      <c r="F237" t="s">
        <v>25</v>
      </c>
      <c r="G237" t="s">
        <v>26</v>
      </c>
      <c r="H237" t="s">
        <v>27</v>
      </c>
      <c r="I237" t="s">
        <v>28</v>
      </c>
      <c r="J237" t="s">
        <v>37</v>
      </c>
      <c r="K237" t="s">
        <v>101</v>
      </c>
      <c r="L237" s="3">
        <v>41</v>
      </c>
      <c r="M237" s="3">
        <v>4</v>
      </c>
      <c r="N237">
        <v>0</v>
      </c>
      <c r="O237">
        <v>7</v>
      </c>
      <c r="P237" t="s">
        <v>31</v>
      </c>
    </row>
    <row r="238" spans="1:16">
      <c r="A238" t="s">
        <v>343</v>
      </c>
      <c r="B238" s="6">
        <v>46147.00277777778</v>
      </c>
      <c r="C238" s="2">
        <v>46147.500668078705</v>
      </c>
      <c r="D238" t="s">
        <v>23</v>
      </c>
      <c r="E238" t="s">
        <v>40</v>
      </c>
      <c r="F238" t="s">
        <v>65</v>
      </c>
      <c r="G238" t="s">
        <v>26</v>
      </c>
      <c r="H238" t="s">
        <v>35</v>
      </c>
      <c r="I238" t="s">
        <v>43</v>
      </c>
      <c r="J238" t="s">
        <v>37</v>
      </c>
      <c r="K238" t="s">
        <v>55</v>
      </c>
      <c r="L238" s="3">
        <v>38</v>
      </c>
      <c r="M238" s="3">
        <v>4</v>
      </c>
      <c r="N238">
        <v>0</v>
      </c>
      <c r="O238">
        <v>5</v>
      </c>
      <c r="P238" t="s">
        <v>31</v>
      </c>
    </row>
    <row r="239" spans="1:16">
      <c r="A239" t="s">
        <v>344</v>
      </c>
      <c r="B239" s="6">
        <v>46137.42083333333</v>
      </c>
      <c r="C239" s="2">
        <v>46138.521894143516</v>
      </c>
      <c r="D239" t="s">
        <v>23</v>
      </c>
      <c r="E239" t="s">
        <v>50</v>
      </c>
      <c r="F239" t="s">
        <v>51</v>
      </c>
      <c r="G239" t="s">
        <v>66</v>
      </c>
      <c r="H239" t="s">
        <v>35</v>
      </c>
      <c r="I239" t="s">
        <v>48</v>
      </c>
      <c r="J239" t="s">
        <v>37</v>
      </c>
      <c r="K239" t="s">
        <v>62</v>
      </c>
      <c r="L239" s="3">
        <v>123</v>
      </c>
      <c r="M239" s="3">
        <v>4</v>
      </c>
      <c r="N239">
        <v>1</v>
      </c>
      <c r="O239">
        <v>10</v>
      </c>
      <c r="P239" t="s">
        <v>31</v>
      </c>
    </row>
    <row r="240" spans="1:16">
      <c r="A240" t="s">
        <v>345</v>
      </c>
      <c r="B240" s="6">
        <v>46231.304166666669</v>
      </c>
      <c r="C240" s="2">
        <v>46233.658265115744</v>
      </c>
      <c r="D240" t="s">
        <v>23</v>
      </c>
      <c r="E240" t="s">
        <v>33</v>
      </c>
      <c r="F240" t="s">
        <v>65</v>
      </c>
      <c r="G240" t="s">
        <v>75</v>
      </c>
      <c r="H240" t="s">
        <v>42</v>
      </c>
      <c r="I240" t="s">
        <v>43</v>
      </c>
      <c r="J240" t="s">
        <v>58</v>
      </c>
      <c r="K240" t="s">
        <v>93</v>
      </c>
      <c r="L240" s="3">
        <v>167</v>
      </c>
      <c r="M240" s="3">
        <v>3</v>
      </c>
      <c r="N240">
        <v>0</v>
      </c>
      <c r="O240">
        <v>3</v>
      </c>
      <c r="P240" t="s">
        <v>31</v>
      </c>
    </row>
    <row r="241" spans="1:16">
      <c r="A241" t="s">
        <v>346</v>
      </c>
      <c r="B241" s="6">
        <v>46164.46597222222</v>
      </c>
      <c r="C241" s="2">
        <v>46165.981235578707</v>
      </c>
      <c r="D241" t="s">
        <v>23</v>
      </c>
      <c r="E241" t="s">
        <v>33</v>
      </c>
      <c r="F241" t="s">
        <v>41</v>
      </c>
      <c r="G241" t="s">
        <v>54</v>
      </c>
      <c r="H241" t="s">
        <v>42</v>
      </c>
      <c r="I241" t="s">
        <v>48</v>
      </c>
      <c r="J241" t="s">
        <v>52</v>
      </c>
      <c r="K241" t="s">
        <v>71</v>
      </c>
      <c r="L241" s="3">
        <v>251</v>
      </c>
      <c r="M241" s="3">
        <v>4</v>
      </c>
      <c r="N241">
        <v>0</v>
      </c>
      <c r="O241">
        <v>3</v>
      </c>
      <c r="P241" t="s">
        <v>31</v>
      </c>
    </row>
    <row r="242" spans="1:16">
      <c r="A242" t="s">
        <v>347</v>
      </c>
      <c r="B242" s="6">
        <v>46085.666666666664</v>
      </c>
      <c r="C242" s="2">
        <v>46086.708391099535</v>
      </c>
      <c r="D242" t="s">
        <v>23</v>
      </c>
      <c r="E242" t="s">
        <v>50</v>
      </c>
      <c r="F242" t="s">
        <v>25</v>
      </c>
      <c r="G242" t="s">
        <v>34</v>
      </c>
      <c r="H242" t="s">
        <v>35</v>
      </c>
      <c r="I242" t="s">
        <v>43</v>
      </c>
      <c r="J242" t="s">
        <v>37</v>
      </c>
      <c r="K242" t="s">
        <v>71</v>
      </c>
      <c r="L242" s="3">
        <v>61</v>
      </c>
      <c r="M242" s="3">
        <v>4</v>
      </c>
      <c r="N242">
        <v>0</v>
      </c>
      <c r="O242">
        <v>2</v>
      </c>
      <c r="P242" t="s">
        <v>31</v>
      </c>
    </row>
    <row r="243" spans="1:16">
      <c r="A243" t="s">
        <v>348</v>
      </c>
      <c r="B243" s="6">
        <v>46113.484722222223</v>
      </c>
      <c r="C243" s="2">
        <v>46114.215670937498</v>
      </c>
      <c r="D243" t="s">
        <v>23</v>
      </c>
      <c r="E243" t="s">
        <v>33</v>
      </c>
      <c r="F243" t="s">
        <v>25</v>
      </c>
      <c r="G243" t="s">
        <v>34</v>
      </c>
      <c r="H243" t="s">
        <v>42</v>
      </c>
      <c r="I243" t="s">
        <v>43</v>
      </c>
      <c r="J243" t="s">
        <v>29</v>
      </c>
      <c r="K243" t="s">
        <v>62</v>
      </c>
      <c r="L243" s="3">
        <v>449</v>
      </c>
      <c r="M243" s="3">
        <v>3</v>
      </c>
      <c r="N243">
        <v>1</v>
      </c>
      <c r="O243">
        <v>4</v>
      </c>
      <c r="P243" t="s">
        <v>31</v>
      </c>
    </row>
    <row r="244" spans="1:16">
      <c r="A244" t="s">
        <v>349</v>
      </c>
      <c r="B244" s="6">
        <v>46228.503472222219</v>
      </c>
      <c r="C244" s="2">
        <v>46229.310318611111</v>
      </c>
      <c r="D244" t="s">
        <v>23</v>
      </c>
      <c r="E244" t="s">
        <v>40</v>
      </c>
      <c r="F244" t="s">
        <v>41</v>
      </c>
      <c r="G244" t="s">
        <v>26</v>
      </c>
      <c r="H244" t="s">
        <v>42</v>
      </c>
      <c r="I244" t="s">
        <v>36</v>
      </c>
      <c r="J244" t="s">
        <v>58</v>
      </c>
      <c r="K244" t="s">
        <v>68</v>
      </c>
      <c r="L244" s="3">
        <v>58</v>
      </c>
      <c r="M244" s="3">
        <v>4</v>
      </c>
      <c r="N244">
        <v>1</v>
      </c>
      <c r="O244">
        <v>7</v>
      </c>
      <c r="P244" t="s">
        <v>31</v>
      </c>
    </row>
    <row r="245" spans="1:16">
      <c r="A245" t="s">
        <v>350</v>
      </c>
      <c r="B245" s="6">
        <v>46027.536805555559</v>
      </c>
      <c r="C245" s="2">
        <v>46029.544443460647</v>
      </c>
      <c r="D245" t="s">
        <v>23</v>
      </c>
      <c r="E245" t="s">
        <v>33</v>
      </c>
      <c r="F245" t="s">
        <v>25</v>
      </c>
      <c r="G245" t="s">
        <v>54</v>
      </c>
      <c r="H245" t="s">
        <v>35</v>
      </c>
      <c r="I245" t="s">
        <v>36</v>
      </c>
      <c r="J245" t="s">
        <v>67</v>
      </c>
      <c r="K245" t="s">
        <v>71</v>
      </c>
      <c r="L245" s="3">
        <v>231</v>
      </c>
      <c r="M245" s="3">
        <v>3</v>
      </c>
      <c r="N245">
        <v>0</v>
      </c>
      <c r="O245">
        <v>5</v>
      </c>
      <c r="P245" t="s">
        <v>31</v>
      </c>
    </row>
    <row r="246" spans="1:16">
      <c r="A246" t="s">
        <v>351</v>
      </c>
      <c r="B246" s="6">
        <v>46203.527777777781</v>
      </c>
      <c r="C246" s="2">
        <v>46204.067843784724</v>
      </c>
      <c r="D246" t="s">
        <v>23</v>
      </c>
      <c r="E246" t="s">
        <v>40</v>
      </c>
      <c r="F246" t="s">
        <v>25</v>
      </c>
      <c r="G246" t="s">
        <v>34</v>
      </c>
      <c r="H246" t="s">
        <v>27</v>
      </c>
      <c r="I246" t="s">
        <v>36</v>
      </c>
      <c r="J246" t="s">
        <v>76</v>
      </c>
      <c r="K246" t="s">
        <v>38</v>
      </c>
      <c r="L246" s="3">
        <v>49</v>
      </c>
      <c r="M246" s="3">
        <v>5</v>
      </c>
      <c r="N246">
        <v>0</v>
      </c>
      <c r="O246">
        <v>6</v>
      </c>
      <c r="P246" t="s">
        <v>31</v>
      </c>
    </row>
    <row r="247" spans="1:16">
      <c r="A247" t="s">
        <v>352</v>
      </c>
      <c r="B247" s="6">
        <v>46171.722916666666</v>
      </c>
      <c r="C247" s="2">
        <v>46172.959933171296</v>
      </c>
      <c r="D247" t="s">
        <v>23</v>
      </c>
      <c r="E247" t="s">
        <v>33</v>
      </c>
      <c r="F247" t="s">
        <v>51</v>
      </c>
      <c r="G247" t="s">
        <v>26</v>
      </c>
      <c r="H247" t="s">
        <v>42</v>
      </c>
      <c r="I247" t="s">
        <v>43</v>
      </c>
      <c r="J247" t="s">
        <v>37</v>
      </c>
      <c r="K247" t="s">
        <v>85</v>
      </c>
      <c r="L247" s="3">
        <v>229</v>
      </c>
      <c r="M247" s="3">
        <v>4</v>
      </c>
      <c r="N247">
        <v>0</v>
      </c>
      <c r="O247">
        <v>6</v>
      </c>
      <c r="P247" t="s">
        <v>31</v>
      </c>
    </row>
    <row r="248" spans="1:16">
      <c r="A248" t="s">
        <v>353</v>
      </c>
      <c r="B248" s="6">
        <v>46204.261111111111</v>
      </c>
      <c r="C248" s="2">
        <v>46207.002091828705</v>
      </c>
      <c r="D248" t="s">
        <v>23</v>
      </c>
      <c r="E248" t="s">
        <v>33</v>
      </c>
      <c r="F248" t="s">
        <v>51</v>
      </c>
      <c r="G248" t="s">
        <v>26</v>
      </c>
      <c r="H248" t="s">
        <v>42</v>
      </c>
      <c r="I248" t="s">
        <v>43</v>
      </c>
      <c r="J248" t="s">
        <v>37</v>
      </c>
      <c r="K248" t="s">
        <v>30</v>
      </c>
      <c r="L248" s="3">
        <v>123</v>
      </c>
      <c r="M248" s="3">
        <v>3</v>
      </c>
      <c r="N248">
        <v>0</v>
      </c>
      <c r="O248">
        <v>3</v>
      </c>
      <c r="P248" t="s">
        <v>31</v>
      </c>
    </row>
    <row r="249" spans="1:16">
      <c r="A249" t="s">
        <v>354</v>
      </c>
      <c r="B249" s="6">
        <v>46177.847222222219</v>
      </c>
      <c r="C249" s="2">
        <v>46178.230448634262</v>
      </c>
      <c r="D249" t="s">
        <v>23</v>
      </c>
      <c r="E249" t="s">
        <v>40</v>
      </c>
      <c r="F249" t="s">
        <v>51</v>
      </c>
      <c r="G249" t="s">
        <v>34</v>
      </c>
      <c r="H249" t="s">
        <v>27</v>
      </c>
      <c r="I249" t="s">
        <v>28</v>
      </c>
      <c r="J249" t="s">
        <v>37</v>
      </c>
      <c r="K249" t="s">
        <v>38</v>
      </c>
      <c r="L249" s="3">
        <v>23</v>
      </c>
      <c r="M249" s="3">
        <v>4</v>
      </c>
      <c r="N249">
        <v>1</v>
      </c>
      <c r="O249">
        <v>5</v>
      </c>
      <c r="P249" t="s">
        <v>31</v>
      </c>
    </row>
    <row r="250" spans="1:16">
      <c r="A250" t="s">
        <v>355</v>
      </c>
      <c r="B250" s="6">
        <v>46028.224305555559</v>
      </c>
      <c r="C250" s="2">
        <v>46029.407885312503</v>
      </c>
      <c r="D250" t="s">
        <v>23</v>
      </c>
      <c r="E250" t="s">
        <v>40</v>
      </c>
      <c r="F250" t="s">
        <v>51</v>
      </c>
      <c r="G250" t="s">
        <v>54</v>
      </c>
      <c r="H250" t="s">
        <v>42</v>
      </c>
      <c r="I250" t="s">
        <v>43</v>
      </c>
      <c r="J250" t="s">
        <v>67</v>
      </c>
      <c r="K250" t="s">
        <v>44</v>
      </c>
      <c r="L250" s="3">
        <v>33</v>
      </c>
      <c r="M250" s="3">
        <v>4</v>
      </c>
      <c r="N250">
        <v>0</v>
      </c>
      <c r="O250">
        <v>9</v>
      </c>
      <c r="P250" t="s">
        <v>63</v>
      </c>
    </row>
    <row r="251" spans="1:16">
      <c r="A251" t="s">
        <v>356</v>
      </c>
      <c r="B251" s="6">
        <v>46232.395138888889</v>
      </c>
      <c r="C251" s="2">
        <v>46236.306749363423</v>
      </c>
      <c r="D251" t="s">
        <v>23</v>
      </c>
      <c r="E251" t="s">
        <v>33</v>
      </c>
      <c r="F251" t="s">
        <v>65</v>
      </c>
      <c r="G251" t="s">
        <v>54</v>
      </c>
      <c r="H251" t="s">
        <v>42</v>
      </c>
      <c r="I251" t="s">
        <v>43</v>
      </c>
      <c r="J251" t="s">
        <v>58</v>
      </c>
      <c r="K251" t="s">
        <v>30</v>
      </c>
      <c r="L251" s="3">
        <v>209</v>
      </c>
      <c r="M251" s="3">
        <v>2</v>
      </c>
      <c r="N251">
        <v>2</v>
      </c>
      <c r="O251">
        <v>11</v>
      </c>
      <c r="P251" t="s">
        <v>31</v>
      </c>
    </row>
    <row r="252" spans="1:16">
      <c r="A252" t="s">
        <v>357</v>
      </c>
      <c r="B252" s="6">
        <v>46123.413194444445</v>
      </c>
      <c r="C252" s="2">
        <v>46124.987380682869</v>
      </c>
      <c r="D252" t="s">
        <v>23</v>
      </c>
      <c r="E252" t="s">
        <v>33</v>
      </c>
      <c r="F252" t="s">
        <v>51</v>
      </c>
      <c r="G252" t="s">
        <v>358</v>
      </c>
      <c r="H252" t="s">
        <v>35</v>
      </c>
      <c r="I252" t="s">
        <v>43</v>
      </c>
      <c r="J252" t="s">
        <v>37</v>
      </c>
      <c r="K252" t="s">
        <v>30</v>
      </c>
      <c r="L252" s="3" t="s">
        <v>359</v>
      </c>
      <c r="M252" s="3">
        <v>4</v>
      </c>
      <c r="N252">
        <v>0</v>
      </c>
      <c r="O252">
        <v>5</v>
      </c>
      <c r="P252" t="s">
        <v>31</v>
      </c>
    </row>
    <row r="253" spans="1:16">
      <c r="A253" t="s">
        <v>360</v>
      </c>
      <c r="B253" s="6">
        <v>46255.472222222219</v>
      </c>
      <c r="C253" s="2">
        <v>46258.301900115737</v>
      </c>
      <c r="D253" t="s">
        <v>23</v>
      </c>
      <c r="E253" t="s">
        <v>50</v>
      </c>
      <c r="F253" t="s">
        <v>51</v>
      </c>
      <c r="G253" t="s">
        <v>75</v>
      </c>
      <c r="H253" t="s">
        <v>35</v>
      </c>
      <c r="I253" t="s">
        <v>48</v>
      </c>
      <c r="J253" t="s">
        <v>58</v>
      </c>
      <c r="K253" t="s">
        <v>68</v>
      </c>
      <c r="L253" s="3">
        <v>148</v>
      </c>
      <c r="M253" s="3">
        <v>3</v>
      </c>
      <c r="N253">
        <v>0</v>
      </c>
      <c r="O253">
        <v>5</v>
      </c>
      <c r="P253" t="s">
        <v>31</v>
      </c>
    </row>
    <row r="254" spans="1:16">
      <c r="A254" t="s">
        <v>361</v>
      </c>
      <c r="B254" s="6" t="s">
        <v>362</v>
      </c>
      <c r="C254" s="2">
        <v>46039.041723518516</v>
      </c>
      <c r="D254" t="s">
        <v>23</v>
      </c>
      <c r="E254" t="s">
        <v>33</v>
      </c>
      <c r="F254" t="s">
        <v>51</v>
      </c>
      <c r="G254" t="s">
        <v>26</v>
      </c>
      <c r="H254" t="s">
        <v>42</v>
      </c>
      <c r="I254" t="s">
        <v>36</v>
      </c>
      <c r="J254" t="s">
        <v>76</v>
      </c>
      <c r="K254" t="s">
        <v>44</v>
      </c>
      <c r="L254" s="3">
        <v>178</v>
      </c>
      <c r="M254" s="3">
        <v>3</v>
      </c>
      <c r="N254">
        <v>0</v>
      </c>
      <c r="O254">
        <v>2</v>
      </c>
      <c r="P254" t="s">
        <v>31</v>
      </c>
    </row>
    <row r="255" spans="1:16">
      <c r="A255" t="s">
        <v>363</v>
      </c>
      <c r="B255" s="6">
        <v>46261.679166666669</v>
      </c>
      <c r="C255" s="2">
        <v>46263.582231932873</v>
      </c>
      <c r="D255" t="s">
        <v>23</v>
      </c>
      <c r="E255" t="s">
        <v>50</v>
      </c>
      <c r="F255" t="s">
        <v>25</v>
      </c>
      <c r="G255" t="s">
        <v>66</v>
      </c>
      <c r="H255" t="s">
        <v>35</v>
      </c>
      <c r="I255" t="s">
        <v>28</v>
      </c>
      <c r="J255" t="s">
        <v>163</v>
      </c>
      <c r="K255" t="s">
        <v>55</v>
      </c>
      <c r="L255" s="3">
        <v>92</v>
      </c>
      <c r="M255" s="3">
        <v>4</v>
      </c>
      <c r="N255">
        <v>0</v>
      </c>
      <c r="O255">
        <v>7</v>
      </c>
      <c r="P255" t="s">
        <v>31</v>
      </c>
    </row>
    <row r="256" spans="1:16">
      <c r="A256" t="s">
        <v>364</v>
      </c>
      <c r="B256" s="6">
        <v>46154.497916666667</v>
      </c>
      <c r="C256" s="2">
        <v>46156.271658101854</v>
      </c>
      <c r="D256" t="s">
        <v>23</v>
      </c>
      <c r="E256" t="s">
        <v>33</v>
      </c>
      <c r="F256" t="s">
        <v>65</v>
      </c>
      <c r="G256" t="s">
        <v>66</v>
      </c>
      <c r="H256" t="s">
        <v>42</v>
      </c>
      <c r="I256" t="s">
        <v>36</v>
      </c>
      <c r="J256" t="s">
        <v>37</v>
      </c>
      <c r="K256" t="s">
        <v>30</v>
      </c>
      <c r="L256" s="3">
        <v>220</v>
      </c>
      <c r="M256" s="3">
        <v>3</v>
      </c>
      <c r="N256">
        <v>1</v>
      </c>
      <c r="O256">
        <v>9</v>
      </c>
      <c r="P256" t="s">
        <v>31</v>
      </c>
    </row>
    <row r="257" spans="1:16">
      <c r="A257" t="s">
        <v>365</v>
      </c>
      <c r="B257" s="6">
        <v>46195.018055555556</v>
      </c>
      <c r="C257" s="2">
        <v>46196.814066979168</v>
      </c>
      <c r="D257" t="s">
        <v>23</v>
      </c>
      <c r="E257" t="s">
        <v>50</v>
      </c>
      <c r="F257" t="s">
        <v>51</v>
      </c>
      <c r="G257" t="s">
        <v>26</v>
      </c>
      <c r="H257" t="s">
        <v>42</v>
      </c>
      <c r="I257" t="s">
        <v>36</v>
      </c>
      <c r="J257" t="s">
        <v>67</v>
      </c>
      <c r="K257" t="s">
        <v>62</v>
      </c>
      <c r="L257" s="3">
        <v>158</v>
      </c>
      <c r="M257" s="3">
        <v>4</v>
      </c>
      <c r="N257">
        <v>0</v>
      </c>
      <c r="O257">
        <v>4</v>
      </c>
      <c r="P257" t="s">
        <v>31</v>
      </c>
    </row>
    <row r="258" spans="1:16">
      <c r="A258" t="s">
        <v>366</v>
      </c>
      <c r="B258" s="6">
        <v>46214.808333333334</v>
      </c>
      <c r="C258" s="2">
        <v>46215.638300243052</v>
      </c>
      <c r="D258" t="s">
        <v>23</v>
      </c>
      <c r="E258" t="s">
        <v>33</v>
      </c>
      <c r="F258" t="s">
        <v>65</v>
      </c>
      <c r="G258" t="s">
        <v>66</v>
      </c>
      <c r="H258" t="s">
        <v>35</v>
      </c>
      <c r="I258" t="s">
        <v>28</v>
      </c>
      <c r="J258" t="s">
        <v>29</v>
      </c>
      <c r="K258" t="s">
        <v>101</v>
      </c>
      <c r="L258" s="3">
        <v>161</v>
      </c>
      <c r="M258" s="3">
        <v>3</v>
      </c>
      <c r="N258">
        <v>1</v>
      </c>
      <c r="O258">
        <v>9</v>
      </c>
      <c r="P258" t="s">
        <v>31</v>
      </c>
    </row>
    <row r="259" spans="1:16">
      <c r="A259" t="s">
        <v>367</v>
      </c>
      <c r="B259" s="6">
        <v>46042.181944444441</v>
      </c>
      <c r="C259" s="2">
        <v>46043.567686909722</v>
      </c>
      <c r="D259" t="s">
        <v>23</v>
      </c>
      <c r="E259" t="s">
        <v>50</v>
      </c>
      <c r="F259" t="s">
        <v>41</v>
      </c>
      <c r="G259" t="s">
        <v>54</v>
      </c>
      <c r="H259" t="s">
        <v>42</v>
      </c>
      <c r="I259" t="s">
        <v>28</v>
      </c>
      <c r="J259" t="s">
        <v>58</v>
      </c>
      <c r="K259" t="s">
        <v>68</v>
      </c>
      <c r="L259" s="3">
        <v>112</v>
      </c>
      <c r="M259" s="3">
        <v>4</v>
      </c>
      <c r="N259">
        <v>0</v>
      </c>
      <c r="O259">
        <v>4</v>
      </c>
      <c r="P259" t="s">
        <v>31</v>
      </c>
    </row>
    <row r="260" spans="1:16">
      <c r="A260" t="s">
        <v>368</v>
      </c>
      <c r="B260" s="6">
        <v>46034.476388888892</v>
      </c>
      <c r="C260" s="2">
        <v>46035.637547337959</v>
      </c>
      <c r="D260" t="s">
        <v>23</v>
      </c>
      <c r="E260" t="s">
        <v>50</v>
      </c>
      <c r="F260" t="s">
        <v>51</v>
      </c>
      <c r="G260" t="s">
        <v>26</v>
      </c>
      <c r="H260" t="s">
        <v>35</v>
      </c>
      <c r="I260" t="s">
        <v>48</v>
      </c>
      <c r="J260" t="s">
        <v>67</v>
      </c>
      <c r="K260" t="s">
        <v>71</v>
      </c>
      <c r="L260" s="3">
        <v>113</v>
      </c>
      <c r="M260" s="3">
        <v>4</v>
      </c>
      <c r="N260">
        <v>0</v>
      </c>
      <c r="O260">
        <v>2</v>
      </c>
      <c r="P260" t="s">
        <v>31</v>
      </c>
    </row>
    <row r="261" spans="1:16">
      <c r="A261" t="s">
        <v>369</v>
      </c>
      <c r="B261" s="6">
        <v>46194.84097222222</v>
      </c>
      <c r="C261" s="2">
        <v>46196.988207407405</v>
      </c>
      <c r="D261" t="s">
        <v>23</v>
      </c>
      <c r="E261" t="s">
        <v>33</v>
      </c>
      <c r="F261" t="s">
        <v>51</v>
      </c>
      <c r="G261" t="s">
        <v>26</v>
      </c>
      <c r="H261" t="s">
        <v>27</v>
      </c>
      <c r="I261" t="s">
        <v>36</v>
      </c>
      <c r="J261" t="s">
        <v>37</v>
      </c>
      <c r="K261" t="s">
        <v>38</v>
      </c>
      <c r="L261" s="3">
        <v>143</v>
      </c>
      <c r="M261" s="3">
        <v>4</v>
      </c>
      <c r="N261">
        <v>0</v>
      </c>
      <c r="O261">
        <v>4</v>
      </c>
      <c r="P261" t="s">
        <v>31</v>
      </c>
    </row>
    <row r="262" spans="1:16">
      <c r="A262" t="s">
        <v>370</v>
      </c>
      <c r="B262" s="6">
        <v>46253.482638888891</v>
      </c>
      <c r="C262" s="2">
        <v>46254.416921516204</v>
      </c>
      <c r="D262" t="s">
        <v>23</v>
      </c>
      <c r="E262" t="s">
        <v>50</v>
      </c>
      <c r="F262" t="s">
        <v>51</v>
      </c>
      <c r="G262" t="s">
        <v>54</v>
      </c>
      <c r="H262" t="s">
        <v>35</v>
      </c>
      <c r="I262" t="s">
        <v>28</v>
      </c>
      <c r="J262" t="s">
        <v>37</v>
      </c>
      <c r="K262" t="s">
        <v>85</v>
      </c>
      <c r="L262" s="3">
        <v>111</v>
      </c>
      <c r="M262" s="3">
        <v>4</v>
      </c>
      <c r="N262">
        <v>0</v>
      </c>
      <c r="O262">
        <v>5</v>
      </c>
      <c r="P262" t="s">
        <v>31</v>
      </c>
    </row>
    <row r="263" spans="1:16">
      <c r="A263" t="s">
        <v>371</v>
      </c>
      <c r="B263" s="6">
        <v>46256.693055555559</v>
      </c>
      <c r="C263" s="2">
        <v>46257.616213032408</v>
      </c>
      <c r="D263" t="s">
        <v>23</v>
      </c>
      <c r="E263" t="s">
        <v>50</v>
      </c>
      <c r="F263" t="s">
        <v>25</v>
      </c>
      <c r="G263" t="s">
        <v>66</v>
      </c>
      <c r="H263" t="s">
        <v>27</v>
      </c>
      <c r="I263" t="s">
        <v>48</v>
      </c>
      <c r="J263" t="s">
        <v>37</v>
      </c>
      <c r="K263" t="s">
        <v>85</v>
      </c>
      <c r="L263" s="3">
        <v>204</v>
      </c>
      <c r="M263" s="3">
        <v>4</v>
      </c>
      <c r="N263">
        <v>0</v>
      </c>
      <c r="O263">
        <v>4</v>
      </c>
      <c r="P263" t="s">
        <v>31</v>
      </c>
    </row>
    <row r="264" spans="1:16">
      <c r="A264" t="s">
        <v>372</v>
      </c>
      <c r="B264" s="6">
        <v>46073.922222222223</v>
      </c>
      <c r="C264" s="2">
        <v>46074.374359074071</v>
      </c>
      <c r="D264" t="s">
        <v>23</v>
      </c>
      <c r="E264" t="s">
        <v>40</v>
      </c>
      <c r="F264" t="s">
        <v>51</v>
      </c>
      <c r="G264" t="s">
        <v>26</v>
      </c>
      <c r="H264" t="s">
        <v>35</v>
      </c>
      <c r="I264" t="s">
        <v>36</v>
      </c>
      <c r="J264" t="s">
        <v>76</v>
      </c>
      <c r="K264" t="s">
        <v>68</v>
      </c>
      <c r="L264" s="3">
        <v>29</v>
      </c>
      <c r="M264" s="3">
        <v>4</v>
      </c>
      <c r="N264">
        <v>1</v>
      </c>
      <c r="O264">
        <v>8</v>
      </c>
      <c r="P264" t="s">
        <v>31</v>
      </c>
    </row>
    <row r="265" spans="1:16">
      <c r="A265" t="s">
        <v>373</v>
      </c>
      <c r="B265" s="6">
        <v>46243.883333333331</v>
      </c>
      <c r="C265" s="2">
        <v>46245.556420891204</v>
      </c>
      <c r="D265" t="s">
        <v>23</v>
      </c>
      <c r="E265" t="s">
        <v>33</v>
      </c>
      <c r="F265" t="s">
        <v>51</v>
      </c>
      <c r="G265" t="s">
        <v>54</v>
      </c>
      <c r="H265" t="s">
        <v>35</v>
      </c>
      <c r="I265" t="s">
        <v>43</v>
      </c>
      <c r="J265" t="s">
        <v>52</v>
      </c>
      <c r="K265" t="s">
        <v>44</v>
      </c>
      <c r="L265" s="3">
        <v>209</v>
      </c>
      <c r="M265" s="3">
        <v>3</v>
      </c>
      <c r="N265">
        <v>0</v>
      </c>
      <c r="O265">
        <v>5</v>
      </c>
      <c r="P265" t="s">
        <v>31</v>
      </c>
    </row>
    <row r="266" spans="1:16">
      <c r="A266" t="s">
        <v>374</v>
      </c>
      <c r="B266" s="6">
        <v>46213.871527777781</v>
      </c>
      <c r="C266" s="2">
        <v>46215.325222766201</v>
      </c>
      <c r="D266" t="s">
        <v>23</v>
      </c>
      <c r="E266" t="s">
        <v>50</v>
      </c>
      <c r="F266" t="s">
        <v>41</v>
      </c>
      <c r="G266" t="s">
        <v>26</v>
      </c>
      <c r="H266" t="s">
        <v>27</v>
      </c>
      <c r="I266" t="s">
        <v>28</v>
      </c>
      <c r="J266" t="s">
        <v>58</v>
      </c>
      <c r="K266" t="s">
        <v>55</v>
      </c>
      <c r="L266" s="3">
        <v>72</v>
      </c>
      <c r="M266" s="3">
        <v>3</v>
      </c>
      <c r="N266">
        <v>2</v>
      </c>
      <c r="O266">
        <v>10</v>
      </c>
      <c r="P266" t="s">
        <v>31</v>
      </c>
    </row>
    <row r="267" spans="1:16">
      <c r="A267" t="s">
        <v>375</v>
      </c>
      <c r="B267" s="6">
        <v>46138.760416666664</v>
      </c>
      <c r="C267" s="2">
        <v>46139.533149178242</v>
      </c>
      <c r="D267" t="s">
        <v>23</v>
      </c>
      <c r="E267" t="s">
        <v>50</v>
      </c>
      <c r="F267" t="s">
        <v>51</v>
      </c>
      <c r="G267" t="s">
        <v>75</v>
      </c>
      <c r="H267" t="s">
        <v>35</v>
      </c>
      <c r="I267" t="s">
        <v>28</v>
      </c>
      <c r="J267" t="s">
        <v>29</v>
      </c>
      <c r="K267" t="s">
        <v>38</v>
      </c>
      <c r="L267" s="3">
        <v>336</v>
      </c>
      <c r="M267" s="3">
        <v>3</v>
      </c>
      <c r="N267">
        <v>0</v>
      </c>
      <c r="O267">
        <v>4</v>
      </c>
      <c r="P267" t="s">
        <v>31</v>
      </c>
    </row>
    <row r="268" spans="1:16">
      <c r="A268" t="s">
        <v>376</v>
      </c>
      <c r="B268" s="6">
        <v>46111.834722222222</v>
      </c>
      <c r="C268" s="2">
        <v>46114.056731793979</v>
      </c>
      <c r="D268" t="s">
        <v>23</v>
      </c>
      <c r="E268" t="s">
        <v>33</v>
      </c>
      <c r="F268" t="s">
        <v>25</v>
      </c>
      <c r="G268" t="s">
        <v>54</v>
      </c>
      <c r="H268" t="s">
        <v>42</v>
      </c>
      <c r="I268" t="s">
        <v>43</v>
      </c>
      <c r="J268" t="s">
        <v>58</v>
      </c>
      <c r="K268" t="s">
        <v>101</v>
      </c>
      <c r="L268" s="3">
        <v>313</v>
      </c>
      <c r="M268" s="3">
        <v>3</v>
      </c>
      <c r="N268">
        <v>0</v>
      </c>
      <c r="O268">
        <v>6</v>
      </c>
      <c r="P268" t="s">
        <v>31</v>
      </c>
    </row>
    <row r="269" spans="1:16">
      <c r="A269" t="s">
        <v>377</v>
      </c>
      <c r="B269" s="6">
        <v>46218.336805555555</v>
      </c>
      <c r="C269" s="2">
        <v>46219.709843923614</v>
      </c>
      <c r="D269" t="s">
        <v>23</v>
      </c>
      <c r="E269" t="s">
        <v>50</v>
      </c>
      <c r="F269" t="s">
        <v>51</v>
      </c>
      <c r="G269" t="s">
        <v>66</v>
      </c>
      <c r="H269" t="s">
        <v>42</v>
      </c>
      <c r="I269" t="s">
        <v>28</v>
      </c>
      <c r="J269" t="s">
        <v>67</v>
      </c>
      <c r="K269" t="s">
        <v>71</v>
      </c>
      <c r="L269" s="3">
        <v>156</v>
      </c>
      <c r="M269" s="3">
        <v>4</v>
      </c>
      <c r="N269">
        <v>0</v>
      </c>
      <c r="O269">
        <v>7</v>
      </c>
      <c r="P269" t="s">
        <v>31</v>
      </c>
    </row>
    <row r="270" spans="1:16">
      <c r="A270" t="s">
        <v>378</v>
      </c>
      <c r="B270" s="6">
        <v>46217.246527777781</v>
      </c>
      <c r="C270" s="2" t="s">
        <v>379</v>
      </c>
      <c r="D270" t="s">
        <v>23</v>
      </c>
      <c r="E270" t="s">
        <v>50</v>
      </c>
      <c r="F270" t="s">
        <v>51</v>
      </c>
      <c r="G270" t="s">
        <v>26</v>
      </c>
      <c r="H270" t="s">
        <v>35</v>
      </c>
      <c r="I270" t="s">
        <v>48</v>
      </c>
      <c r="J270" t="s">
        <v>76</v>
      </c>
      <c r="K270" t="s">
        <v>101</v>
      </c>
      <c r="L270" s="3">
        <v>40</v>
      </c>
      <c r="M270" s="3">
        <v>4</v>
      </c>
      <c r="N270">
        <v>0</v>
      </c>
      <c r="O270">
        <v>3</v>
      </c>
      <c r="P270" t="s">
        <v>31</v>
      </c>
    </row>
    <row r="271" spans="1:16">
      <c r="A271" t="s">
        <v>380</v>
      </c>
      <c r="B271" s="6">
        <v>46097.997916666667</v>
      </c>
      <c r="C271" s="2">
        <v>46098.276324456019</v>
      </c>
      <c r="D271" t="s">
        <v>23</v>
      </c>
      <c r="E271" t="s">
        <v>40</v>
      </c>
      <c r="F271" t="s">
        <v>25</v>
      </c>
      <c r="G271" t="s">
        <v>34</v>
      </c>
      <c r="H271" t="s">
        <v>35</v>
      </c>
      <c r="I271" t="s">
        <v>48</v>
      </c>
      <c r="J271" t="s">
        <v>37</v>
      </c>
      <c r="K271" t="s">
        <v>85</v>
      </c>
      <c r="L271" s="3">
        <v>99</v>
      </c>
      <c r="M271" s="3">
        <v>4</v>
      </c>
      <c r="N271">
        <v>0</v>
      </c>
      <c r="O271">
        <v>6</v>
      </c>
      <c r="P271" t="s">
        <v>31</v>
      </c>
    </row>
    <row r="272" spans="1:16">
      <c r="A272" t="s">
        <v>381</v>
      </c>
      <c r="B272" s="6">
        <v>46099.010416666664</v>
      </c>
      <c r="C272" s="2">
        <v>46099.557449305554</v>
      </c>
      <c r="D272" t="s">
        <v>23</v>
      </c>
      <c r="E272" t="s">
        <v>50</v>
      </c>
      <c r="F272" t="s">
        <v>41</v>
      </c>
      <c r="G272" t="s">
        <v>26</v>
      </c>
      <c r="H272" t="s">
        <v>35</v>
      </c>
      <c r="I272" t="s">
        <v>28</v>
      </c>
      <c r="J272" t="s">
        <v>29</v>
      </c>
      <c r="K272" t="s">
        <v>101</v>
      </c>
      <c r="L272" s="3">
        <v>195</v>
      </c>
      <c r="M272" s="3">
        <v>3</v>
      </c>
      <c r="N272">
        <v>1</v>
      </c>
      <c r="O272">
        <v>10</v>
      </c>
      <c r="P272" t="s">
        <v>31</v>
      </c>
    </row>
    <row r="273" spans="1:16">
      <c r="A273" t="s">
        <v>382</v>
      </c>
      <c r="B273" s="6">
        <v>46039.127083333333</v>
      </c>
      <c r="C273" s="2">
        <v>46040.210862129628</v>
      </c>
      <c r="D273" t="s">
        <v>23</v>
      </c>
      <c r="E273" t="s">
        <v>33</v>
      </c>
      <c r="F273" t="s">
        <v>125</v>
      </c>
      <c r="G273" t="s">
        <v>259</v>
      </c>
      <c r="H273" t="s">
        <v>35</v>
      </c>
      <c r="I273" t="s">
        <v>36</v>
      </c>
      <c r="J273" t="s">
        <v>52</v>
      </c>
      <c r="K273" t="s">
        <v>55</v>
      </c>
      <c r="L273" s="3">
        <v>119</v>
      </c>
      <c r="M273" s="3">
        <v>4</v>
      </c>
      <c r="N273">
        <v>0</v>
      </c>
      <c r="O273">
        <v>6</v>
      </c>
      <c r="P273" t="s">
        <v>31</v>
      </c>
    </row>
    <row r="274" spans="1:16">
      <c r="A274" t="s">
        <v>383</v>
      </c>
      <c r="B274" s="6">
        <v>46105.600694444445</v>
      </c>
      <c r="C274" s="2">
        <v>46105.756115983793</v>
      </c>
      <c r="D274" t="s">
        <v>23</v>
      </c>
      <c r="E274" t="s">
        <v>24</v>
      </c>
      <c r="F274" t="s">
        <v>25</v>
      </c>
      <c r="G274" t="s">
        <v>26</v>
      </c>
      <c r="H274" t="s">
        <v>35</v>
      </c>
      <c r="I274" t="s">
        <v>28</v>
      </c>
      <c r="J274" t="s">
        <v>52</v>
      </c>
      <c r="K274" t="s">
        <v>85</v>
      </c>
      <c r="L274" s="3">
        <v>14</v>
      </c>
      <c r="M274" s="3">
        <v>4</v>
      </c>
      <c r="N274">
        <v>0</v>
      </c>
      <c r="O274">
        <v>2</v>
      </c>
      <c r="P274" t="s">
        <v>31</v>
      </c>
    </row>
    <row r="275" spans="1:16">
      <c r="A275" t="s">
        <v>384</v>
      </c>
      <c r="B275" s="6">
        <v>46091.981249999997</v>
      </c>
      <c r="C275" s="2">
        <v>46094.143851666668</v>
      </c>
      <c r="D275" t="s">
        <v>23</v>
      </c>
      <c r="E275" t="s">
        <v>33</v>
      </c>
      <c r="F275" t="s">
        <v>25</v>
      </c>
      <c r="G275" t="s">
        <v>54</v>
      </c>
      <c r="H275" t="s">
        <v>42</v>
      </c>
      <c r="I275" t="s">
        <v>36</v>
      </c>
      <c r="J275" t="s">
        <v>76</v>
      </c>
      <c r="K275" t="s">
        <v>44</v>
      </c>
      <c r="L275" s="3">
        <v>369</v>
      </c>
      <c r="M275" s="3">
        <v>3</v>
      </c>
      <c r="N275">
        <v>0</v>
      </c>
      <c r="O275">
        <v>7</v>
      </c>
      <c r="P275" t="s">
        <v>31</v>
      </c>
    </row>
    <row r="276" spans="1:16">
      <c r="A276" t="s">
        <v>385</v>
      </c>
      <c r="B276" s="6">
        <v>46222.029861111114</v>
      </c>
      <c r="C276" s="2">
        <v>46223.296310752317</v>
      </c>
      <c r="D276" t="s">
        <v>23</v>
      </c>
      <c r="E276" t="s">
        <v>50</v>
      </c>
      <c r="F276" t="s">
        <v>25</v>
      </c>
      <c r="G276" t="s">
        <v>26</v>
      </c>
      <c r="H276" t="s">
        <v>35</v>
      </c>
      <c r="I276" t="s">
        <v>28</v>
      </c>
      <c r="J276" t="s">
        <v>76</v>
      </c>
      <c r="K276" t="s">
        <v>55</v>
      </c>
      <c r="L276" s="3">
        <v>149</v>
      </c>
      <c r="M276" s="3">
        <v>4</v>
      </c>
      <c r="N276">
        <v>0</v>
      </c>
      <c r="O276">
        <v>7</v>
      </c>
      <c r="P276" t="s">
        <v>31</v>
      </c>
    </row>
    <row r="277" spans="1:16">
      <c r="A277" t="s">
        <v>386</v>
      </c>
      <c r="B277" s="6">
        <v>46220.209027777775</v>
      </c>
      <c r="C277" s="2">
        <v>46221.725096331022</v>
      </c>
      <c r="D277" t="s">
        <v>23</v>
      </c>
      <c r="E277" t="s">
        <v>33</v>
      </c>
      <c r="F277" t="s">
        <v>51</v>
      </c>
      <c r="G277" t="s">
        <v>26</v>
      </c>
      <c r="H277" t="s">
        <v>35</v>
      </c>
      <c r="I277" t="s">
        <v>43</v>
      </c>
      <c r="J277" t="s">
        <v>37</v>
      </c>
      <c r="K277" t="s">
        <v>44</v>
      </c>
      <c r="L277" s="3">
        <v>48</v>
      </c>
      <c r="M277" s="3">
        <v>4</v>
      </c>
      <c r="N277">
        <v>0</v>
      </c>
      <c r="O277">
        <v>5</v>
      </c>
      <c r="P277" t="s">
        <v>31</v>
      </c>
    </row>
    <row r="278" spans="1:16">
      <c r="A278" t="s">
        <v>387</v>
      </c>
      <c r="B278" s="6">
        <v>46050.452777777777</v>
      </c>
      <c r="C278" s="2">
        <v>46050.792060659725</v>
      </c>
      <c r="D278" t="s">
        <v>23</v>
      </c>
      <c r="E278" t="s">
        <v>50</v>
      </c>
      <c r="F278" t="s">
        <v>234</v>
      </c>
      <c r="G278" t="s">
        <v>66</v>
      </c>
      <c r="H278" t="s">
        <v>35</v>
      </c>
      <c r="I278" t="s">
        <v>36</v>
      </c>
      <c r="J278" t="s">
        <v>37</v>
      </c>
      <c r="K278" t="s">
        <v>44</v>
      </c>
      <c r="L278" s="3">
        <v>111</v>
      </c>
      <c r="M278" s="3">
        <v>5</v>
      </c>
      <c r="N278">
        <v>0</v>
      </c>
      <c r="O278">
        <v>3</v>
      </c>
      <c r="P278" t="s">
        <v>31</v>
      </c>
    </row>
    <row r="279" spans="1:16">
      <c r="A279" t="s">
        <v>388</v>
      </c>
      <c r="B279" s="6">
        <v>46066.543055555558</v>
      </c>
      <c r="C279" s="2">
        <v>46067.567813368056</v>
      </c>
      <c r="D279" t="s">
        <v>23</v>
      </c>
      <c r="E279" t="s">
        <v>33</v>
      </c>
      <c r="F279" t="s">
        <v>41</v>
      </c>
      <c r="G279" t="s">
        <v>54</v>
      </c>
      <c r="H279" t="s">
        <v>35</v>
      </c>
      <c r="I279" t="s">
        <v>43</v>
      </c>
      <c r="J279" t="s">
        <v>58</v>
      </c>
      <c r="K279" t="s">
        <v>85</v>
      </c>
      <c r="L279" s="3">
        <v>424</v>
      </c>
      <c r="M279" s="3">
        <v>3</v>
      </c>
      <c r="N279">
        <v>0</v>
      </c>
      <c r="O279">
        <v>6</v>
      </c>
      <c r="P279" t="s">
        <v>31</v>
      </c>
    </row>
    <row r="280" spans="1:16">
      <c r="A280" t="s">
        <v>389</v>
      </c>
      <c r="B280" s="6">
        <v>46190.400000000001</v>
      </c>
      <c r="C280" s="2">
        <v>46191.516686273149</v>
      </c>
      <c r="D280" t="s">
        <v>23</v>
      </c>
      <c r="E280" t="s">
        <v>40</v>
      </c>
      <c r="F280" t="s">
        <v>41</v>
      </c>
      <c r="G280" t="s">
        <v>75</v>
      </c>
      <c r="H280" t="s">
        <v>27</v>
      </c>
      <c r="I280" t="s">
        <v>28</v>
      </c>
      <c r="J280" t="s">
        <v>37</v>
      </c>
      <c r="L280" s="3">
        <v>64</v>
      </c>
      <c r="M280" s="3">
        <v>4</v>
      </c>
      <c r="N280">
        <v>0</v>
      </c>
      <c r="O280">
        <v>2</v>
      </c>
      <c r="P280" t="s">
        <v>31</v>
      </c>
    </row>
    <row r="281" spans="1:16">
      <c r="A281" t="s">
        <v>390</v>
      </c>
      <c r="B281" s="6">
        <v>46086.615277777775</v>
      </c>
      <c r="C281" s="2">
        <v>46086.74928167824</v>
      </c>
      <c r="D281" t="s">
        <v>23</v>
      </c>
      <c r="E281" t="s">
        <v>24</v>
      </c>
      <c r="F281" t="s">
        <v>41</v>
      </c>
      <c r="G281" t="s">
        <v>54</v>
      </c>
      <c r="H281" t="s">
        <v>42</v>
      </c>
      <c r="I281" t="s">
        <v>48</v>
      </c>
      <c r="J281" t="s">
        <v>29</v>
      </c>
      <c r="K281" t="s">
        <v>62</v>
      </c>
      <c r="L281" s="3">
        <v>10</v>
      </c>
      <c r="M281" s="3">
        <v>5</v>
      </c>
      <c r="N281">
        <v>0</v>
      </c>
      <c r="O281">
        <v>3</v>
      </c>
      <c r="P281" t="s">
        <v>31</v>
      </c>
    </row>
    <row r="282" spans="1:16">
      <c r="A282" t="s">
        <v>391</v>
      </c>
      <c r="B282" s="6">
        <v>46150.740277777775</v>
      </c>
      <c r="C282" s="2">
        <v>46151.286361284721</v>
      </c>
      <c r="D282" t="s">
        <v>23</v>
      </c>
      <c r="E282" t="s">
        <v>40</v>
      </c>
      <c r="F282" t="s">
        <v>65</v>
      </c>
      <c r="G282" t="s">
        <v>34</v>
      </c>
      <c r="H282" t="s">
        <v>27</v>
      </c>
      <c r="I282" t="s">
        <v>43</v>
      </c>
      <c r="J282" t="s">
        <v>76</v>
      </c>
      <c r="K282" t="s">
        <v>68</v>
      </c>
      <c r="L282" s="3">
        <v>29</v>
      </c>
      <c r="M282" s="3">
        <v>4</v>
      </c>
      <c r="N282">
        <v>0</v>
      </c>
      <c r="O282">
        <v>5</v>
      </c>
      <c r="P282" t="s">
        <v>63</v>
      </c>
    </row>
    <row r="283" spans="1:16">
      <c r="A283" t="s">
        <v>392</v>
      </c>
      <c r="B283" s="6">
        <v>46120.677083333336</v>
      </c>
      <c r="C283" s="2">
        <v>46120.988644004632</v>
      </c>
      <c r="D283" t="s">
        <v>23</v>
      </c>
      <c r="E283" t="s">
        <v>50</v>
      </c>
      <c r="F283" t="s">
        <v>51</v>
      </c>
      <c r="G283" t="s">
        <v>34</v>
      </c>
      <c r="H283" t="s">
        <v>35</v>
      </c>
      <c r="I283" t="s">
        <v>43</v>
      </c>
      <c r="J283" t="s">
        <v>29</v>
      </c>
      <c r="K283" t="s">
        <v>71</v>
      </c>
      <c r="L283" s="3">
        <v>167</v>
      </c>
      <c r="M283" s="3">
        <v>4</v>
      </c>
      <c r="N283">
        <v>0</v>
      </c>
      <c r="O283">
        <v>10</v>
      </c>
      <c r="P283" t="s">
        <v>63</v>
      </c>
    </row>
    <row r="284" spans="1:16">
      <c r="A284" t="s">
        <v>393</v>
      </c>
      <c r="B284" s="6">
        <v>46120.050694444442</v>
      </c>
      <c r="C284" s="2">
        <v>46121.006263344905</v>
      </c>
      <c r="D284" t="s">
        <v>23</v>
      </c>
      <c r="E284" t="s">
        <v>50</v>
      </c>
      <c r="F284" t="s">
        <v>41</v>
      </c>
      <c r="G284" t="s">
        <v>26</v>
      </c>
      <c r="H284" t="s">
        <v>42</v>
      </c>
      <c r="I284" t="s">
        <v>28</v>
      </c>
      <c r="J284" t="s">
        <v>58</v>
      </c>
      <c r="K284" t="s">
        <v>68</v>
      </c>
      <c r="L284" s="3">
        <v>259</v>
      </c>
      <c r="M284" s="3">
        <v>4</v>
      </c>
      <c r="N284">
        <v>0</v>
      </c>
      <c r="O284">
        <v>5</v>
      </c>
      <c r="P284" t="s">
        <v>31</v>
      </c>
    </row>
    <row r="285" spans="1:16">
      <c r="A285" t="s">
        <v>394</v>
      </c>
      <c r="B285" s="6">
        <v>46129.854861111111</v>
      </c>
      <c r="C285" s="2">
        <v>46130.121289340277</v>
      </c>
      <c r="D285" t="s">
        <v>23</v>
      </c>
      <c r="E285" t="s">
        <v>24</v>
      </c>
      <c r="F285" t="s">
        <v>41</v>
      </c>
      <c r="G285" t="s">
        <v>34</v>
      </c>
      <c r="H285" t="s">
        <v>42</v>
      </c>
      <c r="I285" t="s">
        <v>48</v>
      </c>
      <c r="J285" t="s">
        <v>52</v>
      </c>
      <c r="K285" t="s">
        <v>44</v>
      </c>
      <c r="L285" s="3">
        <v>35</v>
      </c>
      <c r="M285" s="3">
        <v>4</v>
      </c>
      <c r="N285">
        <v>0</v>
      </c>
      <c r="O285">
        <v>7</v>
      </c>
      <c r="P285" t="s">
        <v>31</v>
      </c>
    </row>
    <row r="286" spans="1:16">
      <c r="A286" t="s">
        <v>395</v>
      </c>
      <c r="B286" s="6">
        <v>46120.694444444445</v>
      </c>
      <c r="C286" s="2">
        <v>46122.250367094908</v>
      </c>
      <c r="D286" t="s">
        <v>23</v>
      </c>
      <c r="E286" t="s">
        <v>112</v>
      </c>
      <c r="F286" t="s">
        <v>65</v>
      </c>
      <c r="G286" t="s">
        <v>75</v>
      </c>
      <c r="H286" t="s">
        <v>35</v>
      </c>
      <c r="I286" t="s">
        <v>28</v>
      </c>
      <c r="J286" t="s">
        <v>37</v>
      </c>
      <c r="K286" t="s">
        <v>44</v>
      </c>
      <c r="L286" s="3">
        <v>199</v>
      </c>
      <c r="M286" s="3"/>
      <c r="N286">
        <v>0</v>
      </c>
      <c r="O286">
        <v>5</v>
      </c>
      <c r="P286" t="s">
        <v>31</v>
      </c>
    </row>
    <row r="287" spans="1:16">
      <c r="A287" t="s">
        <v>396</v>
      </c>
      <c r="B287" s="6">
        <v>46204.080555555556</v>
      </c>
      <c r="C287" s="2">
        <v>46204.841494270833</v>
      </c>
      <c r="D287" t="s">
        <v>23</v>
      </c>
      <c r="E287" t="s">
        <v>50</v>
      </c>
      <c r="F287" t="s">
        <v>51</v>
      </c>
      <c r="G287" t="s">
        <v>259</v>
      </c>
      <c r="H287" t="s">
        <v>35</v>
      </c>
      <c r="I287" t="s">
        <v>48</v>
      </c>
      <c r="J287" t="s">
        <v>29</v>
      </c>
      <c r="K287" t="s">
        <v>93</v>
      </c>
      <c r="L287" s="3">
        <v>60</v>
      </c>
      <c r="M287" s="3">
        <v>4</v>
      </c>
      <c r="N287">
        <v>0</v>
      </c>
      <c r="O287">
        <v>5</v>
      </c>
      <c r="P287" t="s">
        <v>31</v>
      </c>
    </row>
    <row r="288" spans="1:16">
      <c r="A288" t="s">
        <v>397</v>
      </c>
      <c r="B288" s="6">
        <v>46215.532638888886</v>
      </c>
      <c r="C288" s="2">
        <v>46216.493512476853</v>
      </c>
      <c r="D288" t="s">
        <v>23</v>
      </c>
      <c r="E288" t="s">
        <v>50</v>
      </c>
      <c r="F288" t="s">
        <v>25</v>
      </c>
      <c r="G288" t="s">
        <v>54</v>
      </c>
      <c r="H288" t="s">
        <v>35</v>
      </c>
      <c r="I288" t="s">
        <v>36</v>
      </c>
      <c r="J288" t="s">
        <v>76</v>
      </c>
      <c r="K288" t="s">
        <v>30</v>
      </c>
      <c r="L288" s="3">
        <v>46</v>
      </c>
      <c r="M288" s="3">
        <v>4</v>
      </c>
      <c r="N288">
        <v>0</v>
      </c>
      <c r="O288">
        <v>8</v>
      </c>
      <c r="P288" t="s">
        <v>63</v>
      </c>
    </row>
    <row r="289" spans="1:16">
      <c r="A289" t="s">
        <v>398</v>
      </c>
      <c r="B289" s="6">
        <v>46140.242361111108</v>
      </c>
      <c r="C289" s="2" t="s">
        <v>399</v>
      </c>
      <c r="D289" t="s">
        <v>23</v>
      </c>
      <c r="E289" t="s">
        <v>40</v>
      </c>
      <c r="F289" t="s">
        <v>51</v>
      </c>
      <c r="G289" t="s">
        <v>75</v>
      </c>
      <c r="H289" t="s">
        <v>35</v>
      </c>
      <c r="I289" t="s">
        <v>48</v>
      </c>
      <c r="J289" t="s">
        <v>52</v>
      </c>
      <c r="K289" t="s">
        <v>44</v>
      </c>
      <c r="L289" s="3">
        <v>30</v>
      </c>
      <c r="M289" s="3">
        <v>4</v>
      </c>
      <c r="N289">
        <v>0</v>
      </c>
      <c r="O289">
        <v>3</v>
      </c>
      <c r="P289" t="s">
        <v>31</v>
      </c>
    </row>
    <row r="290" spans="1:16">
      <c r="A290" t="s">
        <v>400</v>
      </c>
      <c r="B290" s="6">
        <v>46264.324305555558</v>
      </c>
      <c r="C290" s="2">
        <v>46264.914630162035</v>
      </c>
      <c r="D290" t="s">
        <v>23</v>
      </c>
      <c r="E290" t="s">
        <v>50</v>
      </c>
      <c r="F290" t="s">
        <v>47</v>
      </c>
      <c r="G290" t="s">
        <v>75</v>
      </c>
      <c r="H290" t="s">
        <v>35</v>
      </c>
      <c r="I290" t="s">
        <v>28</v>
      </c>
      <c r="J290" t="s">
        <v>29</v>
      </c>
      <c r="K290" t="s">
        <v>38</v>
      </c>
      <c r="L290" s="3">
        <v>157</v>
      </c>
      <c r="M290" s="3">
        <v>4</v>
      </c>
      <c r="N290">
        <v>0</v>
      </c>
      <c r="O290">
        <v>7</v>
      </c>
      <c r="P290" t="s">
        <v>31</v>
      </c>
    </row>
    <row r="291" spans="1:16">
      <c r="A291" t="s">
        <v>401</v>
      </c>
      <c r="B291" s="6">
        <v>46023.592361111114</v>
      </c>
      <c r="C291" s="2">
        <v>46023.844723668983</v>
      </c>
      <c r="D291" t="s">
        <v>23</v>
      </c>
      <c r="E291" t="s">
        <v>33</v>
      </c>
      <c r="F291" t="s">
        <v>41</v>
      </c>
      <c r="G291" t="s">
        <v>75</v>
      </c>
      <c r="H291" t="s">
        <v>42</v>
      </c>
      <c r="I291" t="s">
        <v>28</v>
      </c>
      <c r="J291" t="s">
        <v>29</v>
      </c>
      <c r="K291" t="s">
        <v>68</v>
      </c>
      <c r="L291" s="3">
        <v>230</v>
      </c>
      <c r="M291" s="3">
        <v>4</v>
      </c>
      <c r="N291">
        <v>0</v>
      </c>
      <c r="O291">
        <v>3</v>
      </c>
      <c r="P291" t="s">
        <v>31</v>
      </c>
    </row>
    <row r="292" spans="1:16">
      <c r="A292" t="s">
        <v>402</v>
      </c>
      <c r="B292" s="6">
        <v>46248.534722222219</v>
      </c>
      <c r="C292" s="2"/>
      <c r="D292" t="s">
        <v>57</v>
      </c>
      <c r="E292" t="s">
        <v>33</v>
      </c>
      <c r="F292" t="s">
        <v>25</v>
      </c>
      <c r="G292" t="s">
        <v>54</v>
      </c>
      <c r="H292" t="s">
        <v>35</v>
      </c>
      <c r="I292" t="s">
        <v>48</v>
      </c>
      <c r="J292" t="s">
        <v>29</v>
      </c>
      <c r="L292" s="3">
        <v>310</v>
      </c>
      <c r="M292" s="3"/>
      <c r="N292">
        <v>0</v>
      </c>
      <c r="O292">
        <v>4</v>
      </c>
      <c r="P292" t="s">
        <v>31</v>
      </c>
    </row>
    <row r="293" spans="1:16">
      <c r="A293" t="s">
        <v>403</v>
      </c>
      <c r="B293" s="6">
        <v>46261.905555555553</v>
      </c>
      <c r="C293" s="2">
        <v>46264.624790902781</v>
      </c>
      <c r="D293" t="s">
        <v>23</v>
      </c>
      <c r="E293" t="s">
        <v>33</v>
      </c>
      <c r="F293" t="s">
        <v>51</v>
      </c>
      <c r="G293" t="s">
        <v>66</v>
      </c>
      <c r="H293" t="s">
        <v>27</v>
      </c>
      <c r="I293" t="s">
        <v>36</v>
      </c>
      <c r="J293" t="s">
        <v>58</v>
      </c>
      <c r="K293" t="s">
        <v>55</v>
      </c>
      <c r="L293" s="3">
        <v>184</v>
      </c>
      <c r="M293" s="3">
        <v>3</v>
      </c>
      <c r="N293">
        <v>0</v>
      </c>
      <c r="O293">
        <v>5</v>
      </c>
      <c r="P293" t="s">
        <v>31</v>
      </c>
    </row>
    <row r="294" spans="1:16">
      <c r="A294" t="s">
        <v>404</v>
      </c>
      <c r="B294" s="6">
        <v>46139.440972222219</v>
      </c>
      <c r="C294" s="2">
        <v>46140.550046157405</v>
      </c>
      <c r="D294" t="s">
        <v>23</v>
      </c>
      <c r="E294" t="s">
        <v>33</v>
      </c>
      <c r="F294" t="s">
        <v>51</v>
      </c>
      <c r="G294" t="s">
        <v>26</v>
      </c>
      <c r="H294" t="s">
        <v>42</v>
      </c>
      <c r="I294" t="s">
        <v>48</v>
      </c>
      <c r="J294" t="s">
        <v>405</v>
      </c>
      <c r="K294" t="s">
        <v>68</v>
      </c>
      <c r="L294" s="3">
        <v>487</v>
      </c>
      <c r="M294" s="3">
        <v>3</v>
      </c>
      <c r="N294">
        <v>0</v>
      </c>
      <c r="O294">
        <v>2</v>
      </c>
      <c r="P294" t="s">
        <v>31</v>
      </c>
    </row>
    <row r="295" spans="1:16">
      <c r="A295" t="s">
        <v>406</v>
      </c>
      <c r="B295" s="6">
        <v>46146.629861111112</v>
      </c>
      <c r="C295" s="2">
        <v>46147.70045074074</v>
      </c>
      <c r="D295" t="s">
        <v>23</v>
      </c>
      <c r="E295" t="s">
        <v>50</v>
      </c>
      <c r="F295" t="s">
        <v>41</v>
      </c>
      <c r="G295" t="s">
        <v>26</v>
      </c>
      <c r="H295" t="s">
        <v>35</v>
      </c>
      <c r="I295" t="s">
        <v>48</v>
      </c>
      <c r="J295" t="s">
        <v>37</v>
      </c>
      <c r="K295" t="s">
        <v>85</v>
      </c>
      <c r="L295" s="3">
        <v>118</v>
      </c>
      <c r="M295" s="3">
        <v>4</v>
      </c>
      <c r="N295">
        <v>0</v>
      </c>
      <c r="O295">
        <v>7</v>
      </c>
      <c r="P295" t="s">
        <v>31</v>
      </c>
    </row>
    <row r="296" spans="1:16">
      <c r="A296" t="s">
        <v>407</v>
      </c>
      <c r="B296" s="6">
        <v>46211.95</v>
      </c>
      <c r="C296" s="2">
        <v>46213.532478935187</v>
      </c>
      <c r="D296" t="s">
        <v>23</v>
      </c>
      <c r="E296" t="s">
        <v>33</v>
      </c>
      <c r="F296" t="s">
        <v>41</v>
      </c>
      <c r="G296" t="s">
        <v>66</v>
      </c>
      <c r="H296" t="s">
        <v>35</v>
      </c>
      <c r="I296" t="s">
        <v>36</v>
      </c>
      <c r="J296" t="s">
        <v>76</v>
      </c>
      <c r="K296" t="s">
        <v>38</v>
      </c>
      <c r="L296" s="3">
        <v>116</v>
      </c>
      <c r="M296" s="3">
        <v>4</v>
      </c>
      <c r="N296">
        <v>0</v>
      </c>
      <c r="O296">
        <v>7</v>
      </c>
      <c r="P296" t="s">
        <v>31</v>
      </c>
    </row>
    <row r="297" spans="1:16">
      <c r="A297" t="s">
        <v>408</v>
      </c>
      <c r="B297" s="6">
        <v>46074.579861111109</v>
      </c>
      <c r="C297" s="2">
        <v>46075.814782372683</v>
      </c>
      <c r="D297" t="s">
        <v>23</v>
      </c>
      <c r="E297" t="s">
        <v>33</v>
      </c>
      <c r="F297" t="s">
        <v>41</v>
      </c>
      <c r="G297" t="s">
        <v>75</v>
      </c>
      <c r="H297" t="s">
        <v>27</v>
      </c>
      <c r="I297" t="s">
        <v>43</v>
      </c>
      <c r="J297" t="s">
        <v>37</v>
      </c>
      <c r="K297" t="s">
        <v>101</v>
      </c>
      <c r="L297" s="3">
        <v>380</v>
      </c>
      <c r="M297" s="3">
        <v>4</v>
      </c>
      <c r="N297">
        <v>0</v>
      </c>
      <c r="O297">
        <v>4</v>
      </c>
      <c r="P297" t="s">
        <v>31</v>
      </c>
    </row>
    <row r="298" spans="1:16">
      <c r="A298" t="s">
        <v>409</v>
      </c>
      <c r="B298" s="6">
        <v>46137.519444444442</v>
      </c>
      <c r="C298" s="2">
        <v>46141.479167430552</v>
      </c>
      <c r="D298" t="s">
        <v>23</v>
      </c>
      <c r="E298" t="s">
        <v>33</v>
      </c>
      <c r="F298" t="s">
        <v>25</v>
      </c>
      <c r="G298" t="s">
        <v>54</v>
      </c>
      <c r="H298" t="s">
        <v>42</v>
      </c>
      <c r="I298" t="s">
        <v>36</v>
      </c>
      <c r="J298" t="s">
        <v>58</v>
      </c>
      <c r="K298" t="s">
        <v>93</v>
      </c>
      <c r="L298" s="3" t="s">
        <v>410</v>
      </c>
      <c r="M298" s="3">
        <v>3</v>
      </c>
      <c r="N298">
        <v>0</v>
      </c>
      <c r="O298">
        <v>4</v>
      </c>
      <c r="P298" t="s">
        <v>31</v>
      </c>
    </row>
    <row r="299" spans="1:16">
      <c r="A299" t="s">
        <v>411</v>
      </c>
      <c r="B299" s="6">
        <v>46144.137499999997</v>
      </c>
      <c r="C299" s="2">
        <v>46145.858546608797</v>
      </c>
      <c r="D299" t="s">
        <v>23</v>
      </c>
      <c r="E299" t="s">
        <v>50</v>
      </c>
      <c r="F299" t="s">
        <v>51</v>
      </c>
      <c r="G299" t="s">
        <v>34</v>
      </c>
      <c r="H299" t="s">
        <v>35</v>
      </c>
      <c r="I299" t="s">
        <v>48</v>
      </c>
      <c r="J299" t="s">
        <v>52</v>
      </c>
      <c r="K299" t="s">
        <v>55</v>
      </c>
      <c r="L299" s="3">
        <v>110</v>
      </c>
      <c r="M299" s="3">
        <v>4</v>
      </c>
      <c r="N299">
        <v>0</v>
      </c>
      <c r="O299">
        <v>4</v>
      </c>
      <c r="P299" t="s">
        <v>31</v>
      </c>
    </row>
    <row r="300" spans="1:16">
      <c r="A300" t="s">
        <v>412</v>
      </c>
      <c r="B300" s="6">
        <v>46068.52847222222</v>
      </c>
      <c r="C300" s="2">
        <v>46070.333100682874</v>
      </c>
      <c r="D300" t="s">
        <v>23</v>
      </c>
      <c r="E300" t="s">
        <v>50</v>
      </c>
      <c r="F300" t="s">
        <v>51</v>
      </c>
      <c r="G300" t="s">
        <v>34</v>
      </c>
      <c r="H300" t="s">
        <v>35</v>
      </c>
      <c r="I300" t="s">
        <v>36</v>
      </c>
      <c r="J300" t="s">
        <v>52</v>
      </c>
      <c r="K300" t="s">
        <v>68</v>
      </c>
      <c r="L300" s="3">
        <v>55</v>
      </c>
      <c r="M300" s="3">
        <v>4</v>
      </c>
      <c r="N300">
        <v>0</v>
      </c>
      <c r="O300">
        <v>6</v>
      </c>
      <c r="P300" t="s">
        <v>31</v>
      </c>
    </row>
    <row r="301" spans="1:16">
      <c r="A301" t="s">
        <v>413</v>
      </c>
      <c r="B301" s="6">
        <v>46136.882638888892</v>
      </c>
      <c r="C301" s="2">
        <v>46138.982300416668</v>
      </c>
      <c r="D301" t="s">
        <v>23</v>
      </c>
      <c r="E301" t="s">
        <v>33</v>
      </c>
      <c r="F301" t="s">
        <v>25</v>
      </c>
      <c r="G301" t="s">
        <v>34</v>
      </c>
      <c r="H301" t="s">
        <v>35</v>
      </c>
      <c r="I301" t="s">
        <v>28</v>
      </c>
      <c r="J301" t="s">
        <v>67</v>
      </c>
      <c r="K301" t="s">
        <v>93</v>
      </c>
      <c r="L301" s="3">
        <v>227</v>
      </c>
      <c r="M301" s="3">
        <v>3</v>
      </c>
      <c r="N301">
        <v>0</v>
      </c>
      <c r="O301">
        <v>4</v>
      </c>
      <c r="P301" t="s">
        <v>31</v>
      </c>
    </row>
    <row r="302" spans="1:16">
      <c r="A302" t="s">
        <v>414</v>
      </c>
      <c r="B302" s="6">
        <v>46128.329861111109</v>
      </c>
      <c r="C302" s="2">
        <v>46129.948041087962</v>
      </c>
      <c r="D302" t="s">
        <v>23</v>
      </c>
      <c r="E302" t="s">
        <v>50</v>
      </c>
      <c r="F302" t="s">
        <v>25</v>
      </c>
      <c r="G302" t="s">
        <v>26</v>
      </c>
      <c r="H302" t="s">
        <v>27</v>
      </c>
      <c r="I302" t="s">
        <v>36</v>
      </c>
      <c r="J302" t="s">
        <v>76</v>
      </c>
      <c r="K302" t="s">
        <v>93</v>
      </c>
      <c r="L302" s="3">
        <v>38</v>
      </c>
      <c r="M302" s="3">
        <v>4</v>
      </c>
      <c r="N302">
        <v>0</v>
      </c>
      <c r="O302">
        <v>4</v>
      </c>
      <c r="P302" t="s">
        <v>31</v>
      </c>
    </row>
    <row r="303" spans="1:16">
      <c r="A303" t="s">
        <v>415</v>
      </c>
      <c r="B303" s="6">
        <v>46205.129861111112</v>
      </c>
      <c r="C303" s="2">
        <v>46205.731944224535</v>
      </c>
      <c r="D303" t="s">
        <v>23</v>
      </c>
      <c r="E303" t="s">
        <v>33</v>
      </c>
      <c r="F303" t="s">
        <v>25</v>
      </c>
      <c r="G303" t="s">
        <v>75</v>
      </c>
      <c r="H303" t="s">
        <v>35</v>
      </c>
      <c r="I303" t="s">
        <v>36</v>
      </c>
      <c r="J303" t="s">
        <v>52</v>
      </c>
      <c r="K303" t="s">
        <v>55</v>
      </c>
      <c r="L303" s="3">
        <v>222</v>
      </c>
      <c r="M303" s="3">
        <v>4</v>
      </c>
      <c r="N303">
        <v>0</v>
      </c>
      <c r="O303">
        <v>2</v>
      </c>
      <c r="P303" t="s">
        <v>31</v>
      </c>
    </row>
    <row r="304" spans="1:16">
      <c r="A304" t="s">
        <v>416</v>
      </c>
      <c r="B304" s="6">
        <v>46131.957638888889</v>
      </c>
      <c r="C304" s="2">
        <v>46132.855249513887</v>
      </c>
      <c r="D304" t="s">
        <v>23</v>
      </c>
      <c r="E304" t="s">
        <v>33</v>
      </c>
      <c r="F304" t="s">
        <v>25</v>
      </c>
      <c r="G304" t="s">
        <v>26</v>
      </c>
      <c r="H304" t="s">
        <v>42</v>
      </c>
      <c r="I304" t="s">
        <v>43</v>
      </c>
      <c r="J304" t="s">
        <v>29</v>
      </c>
      <c r="K304" t="s">
        <v>62</v>
      </c>
      <c r="L304" s="3">
        <v>102</v>
      </c>
      <c r="M304" s="3">
        <v>4</v>
      </c>
      <c r="N304">
        <v>0</v>
      </c>
      <c r="O304">
        <v>5</v>
      </c>
      <c r="P304" t="s">
        <v>31</v>
      </c>
    </row>
    <row r="305" spans="1:16">
      <c r="A305" t="s">
        <v>417</v>
      </c>
      <c r="B305" s="6">
        <v>46202.743750000001</v>
      </c>
      <c r="C305" s="2">
        <v>46204.22698042824</v>
      </c>
      <c r="D305" t="s">
        <v>23</v>
      </c>
      <c r="E305" t="s">
        <v>50</v>
      </c>
      <c r="F305" t="s">
        <v>41</v>
      </c>
      <c r="G305" t="s">
        <v>75</v>
      </c>
      <c r="H305" t="s">
        <v>27</v>
      </c>
      <c r="I305" t="s">
        <v>48</v>
      </c>
      <c r="J305" t="s">
        <v>58</v>
      </c>
      <c r="K305" t="s">
        <v>38</v>
      </c>
      <c r="L305" s="3">
        <v>148</v>
      </c>
      <c r="M305" s="3">
        <v>3</v>
      </c>
      <c r="N305">
        <v>1</v>
      </c>
      <c r="O305">
        <v>7</v>
      </c>
      <c r="P305" t="s">
        <v>31</v>
      </c>
    </row>
    <row r="306" spans="1:16">
      <c r="A306" t="s">
        <v>418</v>
      </c>
      <c r="B306" s="6">
        <v>46144.975694444445</v>
      </c>
      <c r="C306" s="2">
        <v>46146.178243553244</v>
      </c>
      <c r="D306" t="s">
        <v>23</v>
      </c>
      <c r="E306" t="s">
        <v>33</v>
      </c>
      <c r="F306" t="s">
        <v>25</v>
      </c>
      <c r="G306" t="s">
        <v>26</v>
      </c>
      <c r="H306" t="s">
        <v>35</v>
      </c>
      <c r="I306" t="s">
        <v>36</v>
      </c>
      <c r="J306" t="s">
        <v>29</v>
      </c>
      <c r="K306" t="s">
        <v>71</v>
      </c>
      <c r="L306" s="3">
        <v>234</v>
      </c>
      <c r="M306" s="3">
        <v>4</v>
      </c>
      <c r="N306">
        <v>0</v>
      </c>
      <c r="O306">
        <v>5</v>
      </c>
      <c r="P306" t="s">
        <v>31</v>
      </c>
    </row>
    <row r="307" spans="1:16">
      <c r="A307" t="s">
        <v>419</v>
      </c>
      <c r="B307" s="6">
        <v>46151.088194444441</v>
      </c>
      <c r="C307" s="2">
        <v>46153.216902893517</v>
      </c>
      <c r="D307" t="s">
        <v>23</v>
      </c>
      <c r="E307" t="s">
        <v>50</v>
      </c>
      <c r="F307" t="s">
        <v>51</v>
      </c>
      <c r="G307" t="s">
        <v>75</v>
      </c>
      <c r="H307" t="s">
        <v>42</v>
      </c>
      <c r="I307" t="s">
        <v>43</v>
      </c>
      <c r="J307" t="s">
        <v>58</v>
      </c>
      <c r="K307" t="s">
        <v>38</v>
      </c>
      <c r="L307" s="3">
        <v>89</v>
      </c>
      <c r="M307" s="3">
        <v>3</v>
      </c>
      <c r="N307">
        <v>0</v>
      </c>
      <c r="O307">
        <v>4</v>
      </c>
      <c r="P307" t="s">
        <v>31</v>
      </c>
    </row>
    <row r="308" spans="1:16">
      <c r="A308" t="s">
        <v>420</v>
      </c>
      <c r="B308" s="6">
        <v>46240.209722222222</v>
      </c>
      <c r="C308" s="2">
        <v>46241.378696319443</v>
      </c>
      <c r="D308" t="s">
        <v>23</v>
      </c>
      <c r="E308" t="s">
        <v>33</v>
      </c>
      <c r="F308" t="s">
        <v>25</v>
      </c>
      <c r="G308" t="s">
        <v>26</v>
      </c>
      <c r="H308" t="s">
        <v>35</v>
      </c>
      <c r="I308" t="s">
        <v>36</v>
      </c>
      <c r="J308" t="s">
        <v>58</v>
      </c>
      <c r="K308" t="s">
        <v>68</v>
      </c>
      <c r="L308" s="3">
        <v>443</v>
      </c>
      <c r="M308" s="3">
        <v>3</v>
      </c>
      <c r="N308">
        <v>0</v>
      </c>
      <c r="O308">
        <v>4</v>
      </c>
      <c r="P308" t="s">
        <v>31</v>
      </c>
    </row>
    <row r="309" spans="1:16">
      <c r="A309" t="s">
        <v>421</v>
      </c>
      <c r="B309" s="6">
        <v>46224.705555555556</v>
      </c>
      <c r="C309" s="2">
        <v>46225.424177118053</v>
      </c>
      <c r="D309" t="s">
        <v>23</v>
      </c>
      <c r="E309" t="s">
        <v>50</v>
      </c>
      <c r="F309" t="s">
        <v>47</v>
      </c>
      <c r="G309" t="s">
        <v>34</v>
      </c>
      <c r="H309" t="s">
        <v>35</v>
      </c>
      <c r="I309" t="s">
        <v>28</v>
      </c>
      <c r="J309" t="s">
        <v>76</v>
      </c>
      <c r="K309" t="s">
        <v>38</v>
      </c>
      <c r="L309" s="3">
        <v>101</v>
      </c>
      <c r="M309" s="3">
        <v>4</v>
      </c>
      <c r="N309">
        <v>0</v>
      </c>
      <c r="O309">
        <v>2</v>
      </c>
      <c r="P309" t="s">
        <v>31</v>
      </c>
    </row>
    <row r="310" spans="1:16">
      <c r="A310" t="s">
        <v>422</v>
      </c>
      <c r="B310" s="6">
        <v>46157.378472222219</v>
      </c>
      <c r="C310" s="2">
        <v>46158.351631087964</v>
      </c>
      <c r="D310" t="s">
        <v>23</v>
      </c>
      <c r="E310" t="s">
        <v>33</v>
      </c>
      <c r="F310" t="s">
        <v>51</v>
      </c>
      <c r="G310" t="s">
        <v>66</v>
      </c>
      <c r="H310" t="s">
        <v>35</v>
      </c>
      <c r="I310" t="s">
        <v>48</v>
      </c>
      <c r="J310" t="s">
        <v>52</v>
      </c>
      <c r="K310" t="s">
        <v>55</v>
      </c>
      <c r="L310" s="3">
        <v>172</v>
      </c>
      <c r="M310" s="3">
        <v>4</v>
      </c>
      <c r="N310">
        <v>1</v>
      </c>
      <c r="O310">
        <v>12</v>
      </c>
      <c r="P310" t="s">
        <v>31</v>
      </c>
    </row>
    <row r="311" spans="1:16">
      <c r="A311" t="s">
        <v>423</v>
      </c>
      <c r="B311" s="6">
        <v>46161.553472222222</v>
      </c>
      <c r="C311" s="2">
        <v>46162.272076527777</v>
      </c>
      <c r="D311" t="s">
        <v>23</v>
      </c>
      <c r="E311" t="s">
        <v>33</v>
      </c>
      <c r="F311" t="s">
        <v>51</v>
      </c>
      <c r="G311" t="s">
        <v>26</v>
      </c>
      <c r="H311" t="s">
        <v>35</v>
      </c>
      <c r="I311" t="s">
        <v>36</v>
      </c>
      <c r="J311" t="s">
        <v>37</v>
      </c>
      <c r="K311" t="s">
        <v>62</v>
      </c>
      <c r="L311" s="3">
        <v>416</v>
      </c>
      <c r="M311" s="3">
        <v>3</v>
      </c>
      <c r="N311">
        <v>0</v>
      </c>
      <c r="O311">
        <v>6</v>
      </c>
      <c r="P311" t="s">
        <v>31</v>
      </c>
    </row>
    <row r="312" spans="1:16">
      <c r="A312" t="s">
        <v>424</v>
      </c>
      <c r="B312" s="6">
        <v>46047.125</v>
      </c>
      <c r="C312" s="2">
        <v>46047.766928460645</v>
      </c>
      <c r="D312" t="s">
        <v>23</v>
      </c>
      <c r="E312" t="s">
        <v>33</v>
      </c>
      <c r="F312" t="s">
        <v>41</v>
      </c>
      <c r="G312" t="s">
        <v>75</v>
      </c>
      <c r="H312" t="s">
        <v>27</v>
      </c>
      <c r="I312" t="s">
        <v>43</v>
      </c>
      <c r="J312" t="s">
        <v>29</v>
      </c>
      <c r="K312" t="s">
        <v>85</v>
      </c>
      <c r="L312" s="3">
        <v>115</v>
      </c>
      <c r="M312" s="3">
        <v>4</v>
      </c>
      <c r="N312">
        <v>0</v>
      </c>
      <c r="O312">
        <v>7</v>
      </c>
      <c r="P312" t="s">
        <v>31</v>
      </c>
    </row>
    <row r="313" spans="1:16">
      <c r="A313" t="s">
        <v>425</v>
      </c>
      <c r="B313" s="6">
        <v>46236.851388888892</v>
      </c>
      <c r="C313" s="2">
        <v>46237.646346562498</v>
      </c>
      <c r="D313" t="s">
        <v>23</v>
      </c>
      <c r="E313" t="s">
        <v>50</v>
      </c>
      <c r="F313" t="s">
        <v>51</v>
      </c>
      <c r="G313" t="s">
        <v>54</v>
      </c>
      <c r="H313" t="s">
        <v>42</v>
      </c>
      <c r="I313" t="s">
        <v>48</v>
      </c>
      <c r="J313" t="s">
        <v>67</v>
      </c>
      <c r="K313" t="s">
        <v>55</v>
      </c>
      <c r="L313" s="3">
        <v>61</v>
      </c>
      <c r="M313" s="3">
        <v>4</v>
      </c>
      <c r="N313">
        <v>0</v>
      </c>
      <c r="O313">
        <v>5</v>
      </c>
      <c r="P313" t="s">
        <v>31</v>
      </c>
    </row>
    <row r="314" spans="1:16">
      <c r="A314" t="s">
        <v>426</v>
      </c>
      <c r="B314" s="6">
        <v>46187.415277777778</v>
      </c>
      <c r="C314" s="2">
        <v>46188.72598372685</v>
      </c>
      <c r="D314" t="s">
        <v>23</v>
      </c>
      <c r="E314" t="s">
        <v>50</v>
      </c>
      <c r="F314" t="s">
        <v>65</v>
      </c>
      <c r="G314" t="s">
        <v>66</v>
      </c>
      <c r="H314" t="s">
        <v>42</v>
      </c>
      <c r="I314" t="s">
        <v>48</v>
      </c>
      <c r="J314" t="s">
        <v>67</v>
      </c>
      <c r="K314" t="s">
        <v>38</v>
      </c>
      <c r="L314" s="3">
        <v>131</v>
      </c>
      <c r="M314" s="3">
        <v>4</v>
      </c>
      <c r="N314">
        <v>0</v>
      </c>
      <c r="O314">
        <v>7</v>
      </c>
      <c r="P314" t="s">
        <v>31</v>
      </c>
    </row>
    <row r="315" spans="1:16">
      <c r="A315" t="s">
        <v>427</v>
      </c>
      <c r="B315" s="6">
        <v>46176.07916666667</v>
      </c>
      <c r="C315" s="2">
        <v>46178.581148217592</v>
      </c>
      <c r="D315" t="s">
        <v>23</v>
      </c>
      <c r="E315" t="s">
        <v>33</v>
      </c>
      <c r="F315" t="s">
        <v>51</v>
      </c>
      <c r="G315" t="s">
        <v>34</v>
      </c>
      <c r="H315" t="s">
        <v>42</v>
      </c>
      <c r="I315" t="s">
        <v>43</v>
      </c>
      <c r="J315" t="s">
        <v>405</v>
      </c>
      <c r="K315" t="s">
        <v>55</v>
      </c>
      <c r="L315" s="3">
        <v>173</v>
      </c>
      <c r="M315" s="3">
        <v>4</v>
      </c>
      <c r="N315">
        <v>0</v>
      </c>
      <c r="O315">
        <v>5</v>
      </c>
      <c r="P315" t="s">
        <v>31</v>
      </c>
    </row>
    <row r="316" spans="1:16">
      <c r="A316" t="s">
        <v>428</v>
      </c>
      <c r="B316" s="6">
        <v>46151.767361111109</v>
      </c>
      <c r="C316" s="2">
        <v>46154.109797777775</v>
      </c>
      <c r="D316" t="s">
        <v>23</v>
      </c>
      <c r="E316" t="s">
        <v>33</v>
      </c>
      <c r="F316" t="s">
        <v>65</v>
      </c>
      <c r="G316" t="s">
        <v>34</v>
      </c>
      <c r="H316" t="s">
        <v>35</v>
      </c>
      <c r="I316" t="s">
        <v>48</v>
      </c>
      <c r="J316" t="s">
        <v>52</v>
      </c>
      <c r="K316" t="s">
        <v>93</v>
      </c>
      <c r="L316" s="3">
        <v>128</v>
      </c>
      <c r="M316" s="3">
        <v>4</v>
      </c>
      <c r="N316">
        <v>0</v>
      </c>
      <c r="O316">
        <v>2</v>
      </c>
      <c r="P316" t="s">
        <v>31</v>
      </c>
    </row>
    <row r="317" spans="1:16">
      <c r="A317" t="s">
        <v>429</v>
      </c>
      <c r="B317" s="6">
        <v>46118.495833333334</v>
      </c>
      <c r="C317" s="2">
        <v>46119.260041458336</v>
      </c>
      <c r="D317" t="s">
        <v>23</v>
      </c>
      <c r="E317" t="s">
        <v>33</v>
      </c>
      <c r="F317" t="s">
        <v>25</v>
      </c>
      <c r="G317" t="s">
        <v>34</v>
      </c>
      <c r="H317" t="s">
        <v>27</v>
      </c>
      <c r="I317" t="s">
        <v>43</v>
      </c>
      <c r="J317" t="s">
        <v>29</v>
      </c>
      <c r="K317" t="s">
        <v>93</v>
      </c>
      <c r="L317" s="3">
        <v>147</v>
      </c>
      <c r="M317" s="3">
        <v>4</v>
      </c>
      <c r="N317">
        <v>0</v>
      </c>
      <c r="O317">
        <v>3</v>
      </c>
      <c r="P317" t="s">
        <v>31</v>
      </c>
    </row>
    <row r="318" spans="1:16">
      <c r="A318" t="s">
        <v>430</v>
      </c>
      <c r="B318" s="6">
        <v>46234.73333333333</v>
      </c>
      <c r="C318" s="2">
        <v>46235.6697421875</v>
      </c>
      <c r="D318" t="s">
        <v>23</v>
      </c>
      <c r="E318" t="s">
        <v>50</v>
      </c>
      <c r="F318" t="s">
        <v>41</v>
      </c>
      <c r="G318" t="s">
        <v>34</v>
      </c>
      <c r="H318" t="s">
        <v>35</v>
      </c>
      <c r="I318" t="s">
        <v>48</v>
      </c>
      <c r="J318" t="s">
        <v>67</v>
      </c>
      <c r="K318" t="s">
        <v>55</v>
      </c>
      <c r="L318" s="3">
        <v>134</v>
      </c>
      <c r="M318" s="3">
        <v>4</v>
      </c>
      <c r="N318">
        <v>0</v>
      </c>
      <c r="O318">
        <v>4</v>
      </c>
      <c r="P318" t="s">
        <v>31</v>
      </c>
    </row>
    <row r="319" spans="1:16">
      <c r="A319" t="s">
        <v>431</v>
      </c>
      <c r="B319" s="6" t="s">
        <v>432</v>
      </c>
      <c r="C319" s="2">
        <v>46256.727875011573</v>
      </c>
      <c r="D319" t="s">
        <v>23</v>
      </c>
      <c r="E319" t="s">
        <v>50</v>
      </c>
      <c r="F319" t="s">
        <v>51</v>
      </c>
      <c r="G319" t="s">
        <v>54</v>
      </c>
      <c r="H319" t="s">
        <v>35</v>
      </c>
      <c r="I319" t="s">
        <v>36</v>
      </c>
      <c r="J319" t="s">
        <v>67</v>
      </c>
      <c r="K319" t="s">
        <v>62</v>
      </c>
      <c r="L319" s="3">
        <v>132</v>
      </c>
      <c r="M319" s="3">
        <v>4</v>
      </c>
      <c r="N319">
        <v>0</v>
      </c>
      <c r="O319">
        <v>4</v>
      </c>
      <c r="P319" t="s">
        <v>31</v>
      </c>
    </row>
    <row r="320" spans="1:16">
      <c r="A320" t="s">
        <v>433</v>
      </c>
      <c r="B320" s="6">
        <v>46114.974999999999</v>
      </c>
      <c r="C320" s="2">
        <v>46115.918347175924</v>
      </c>
      <c r="D320" t="s">
        <v>23</v>
      </c>
      <c r="E320" t="s">
        <v>50</v>
      </c>
      <c r="F320" t="s">
        <v>41</v>
      </c>
      <c r="G320" t="s">
        <v>26</v>
      </c>
      <c r="H320" t="s">
        <v>42</v>
      </c>
      <c r="I320" t="s">
        <v>48</v>
      </c>
      <c r="J320" t="s">
        <v>67</v>
      </c>
      <c r="K320" t="s">
        <v>71</v>
      </c>
      <c r="L320" s="3">
        <v>99</v>
      </c>
      <c r="M320" s="3">
        <v>4</v>
      </c>
      <c r="N320">
        <v>0</v>
      </c>
      <c r="O320">
        <v>2</v>
      </c>
      <c r="P320" t="s">
        <v>31</v>
      </c>
    </row>
    <row r="321" spans="1:16">
      <c r="A321" t="s">
        <v>434</v>
      </c>
      <c r="B321" s="6">
        <v>46142.136111111111</v>
      </c>
      <c r="C321" s="2">
        <v>46142.368210787034</v>
      </c>
      <c r="D321" t="s">
        <v>23</v>
      </c>
      <c r="E321" t="s">
        <v>40</v>
      </c>
      <c r="F321" t="s">
        <v>51</v>
      </c>
      <c r="G321" t="s">
        <v>26</v>
      </c>
      <c r="H321" t="s">
        <v>42</v>
      </c>
      <c r="I321" t="s">
        <v>36</v>
      </c>
      <c r="J321" t="s">
        <v>37</v>
      </c>
      <c r="K321" t="s">
        <v>62</v>
      </c>
      <c r="L321" s="3">
        <v>27</v>
      </c>
      <c r="M321" s="3">
        <v>4</v>
      </c>
      <c r="N321">
        <v>0</v>
      </c>
      <c r="O321">
        <v>4</v>
      </c>
      <c r="P321" t="s">
        <v>31</v>
      </c>
    </row>
    <row r="322" spans="1:16">
      <c r="A322" t="s">
        <v>435</v>
      </c>
      <c r="B322" s="6">
        <v>46096.480555555558</v>
      </c>
      <c r="C322" s="2">
        <v>46096.525449375004</v>
      </c>
      <c r="D322" t="s">
        <v>23</v>
      </c>
      <c r="E322" t="s">
        <v>24</v>
      </c>
      <c r="F322" t="s">
        <v>65</v>
      </c>
      <c r="G322" t="s">
        <v>34</v>
      </c>
      <c r="H322" t="s">
        <v>27</v>
      </c>
      <c r="I322" t="s">
        <v>36</v>
      </c>
      <c r="J322" t="s">
        <v>29</v>
      </c>
      <c r="K322" t="s">
        <v>71</v>
      </c>
      <c r="L322" s="3">
        <v>15</v>
      </c>
      <c r="M322" s="3">
        <v>5</v>
      </c>
      <c r="N322">
        <v>0</v>
      </c>
      <c r="O322">
        <v>7</v>
      </c>
      <c r="P322" t="s">
        <v>31</v>
      </c>
    </row>
    <row r="323" spans="1:16">
      <c r="A323" t="s">
        <v>436</v>
      </c>
      <c r="B323" s="6">
        <v>46090.444444444445</v>
      </c>
      <c r="C323" s="2" t="s">
        <v>437</v>
      </c>
      <c r="D323" t="s">
        <v>23</v>
      </c>
      <c r="E323" t="s">
        <v>50</v>
      </c>
      <c r="F323" t="s">
        <v>41</v>
      </c>
      <c r="G323" t="s">
        <v>75</v>
      </c>
      <c r="H323" t="s">
        <v>35</v>
      </c>
      <c r="I323" t="s">
        <v>48</v>
      </c>
      <c r="J323" t="s">
        <v>67</v>
      </c>
      <c r="K323" t="s">
        <v>93</v>
      </c>
      <c r="L323" s="3" t="s">
        <v>438</v>
      </c>
      <c r="M323" s="3">
        <v>3</v>
      </c>
      <c r="N323">
        <v>0</v>
      </c>
      <c r="O323">
        <v>6</v>
      </c>
      <c r="P323" t="s">
        <v>63</v>
      </c>
    </row>
    <row r="324" spans="1:16">
      <c r="A324" t="s">
        <v>439</v>
      </c>
      <c r="B324" s="6">
        <v>46036.790972222225</v>
      </c>
      <c r="C324" s="2">
        <v>46039.090079953705</v>
      </c>
      <c r="D324" t="s">
        <v>23</v>
      </c>
      <c r="E324" t="s">
        <v>33</v>
      </c>
      <c r="F324" t="s">
        <v>25</v>
      </c>
      <c r="G324" t="s">
        <v>34</v>
      </c>
      <c r="H324" t="s">
        <v>42</v>
      </c>
      <c r="I324" t="s">
        <v>28</v>
      </c>
      <c r="J324" t="s">
        <v>58</v>
      </c>
      <c r="K324" t="s">
        <v>38</v>
      </c>
      <c r="L324" s="3">
        <v>65</v>
      </c>
      <c r="M324" s="3">
        <v>4</v>
      </c>
      <c r="N324">
        <v>0</v>
      </c>
      <c r="O324">
        <v>2</v>
      </c>
      <c r="P324" t="s">
        <v>31</v>
      </c>
    </row>
    <row r="325" spans="1:16">
      <c r="A325" t="s">
        <v>440</v>
      </c>
      <c r="B325" s="6">
        <v>46131.841666666667</v>
      </c>
      <c r="C325" s="2"/>
      <c r="D325" t="s">
        <v>57</v>
      </c>
      <c r="E325" t="s">
        <v>40</v>
      </c>
      <c r="F325" t="s">
        <v>51</v>
      </c>
      <c r="G325" t="s">
        <v>75</v>
      </c>
      <c r="H325" t="s">
        <v>42</v>
      </c>
      <c r="I325" t="s">
        <v>48</v>
      </c>
      <c r="J325" t="s">
        <v>76</v>
      </c>
      <c r="K325" t="s">
        <v>93</v>
      </c>
      <c r="L325" s="3">
        <v>75</v>
      </c>
      <c r="M325" s="3"/>
      <c r="N325">
        <v>0</v>
      </c>
      <c r="O325">
        <v>7</v>
      </c>
      <c r="P325" t="s">
        <v>31</v>
      </c>
    </row>
    <row r="326" spans="1:16">
      <c r="A326" t="s">
        <v>441</v>
      </c>
      <c r="B326" s="6">
        <v>46136.634027777778</v>
      </c>
      <c r="C326" s="2">
        <v>46140.248306134257</v>
      </c>
      <c r="D326" t="s">
        <v>23</v>
      </c>
      <c r="E326" t="s">
        <v>33</v>
      </c>
      <c r="F326" t="s">
        <v>65</v>
      </c>
      <c r="G326" t="s">
        <v>75</v>
      </c>
      <c r="H326" t="s">
        <v>35</v>
      </c>
      <c r="I326" t="s">
        <v>28</v>
      </c>
      <c r="J326" t="s">
        <v>67</v>
      </c>
      <c r="K326" t="s">
        <v>38</v>
      </c>
      <c r="L326" s="3">
        <v>130</v>
      </c>
      <c r="M326" s="3">
        <v>3</v>
      </c>
      <c r="N326">
        <v>0</v>
      </c>
      <c r="O326">
        <v>4</v>
      </c>
      <c r="P326" t="s">
        <v>31</v>
      </c>
    </row>
    <row r="327" spans="1:16">
      <c r="A327" t="s">
        <v>442</v>
      </c>
      <c r="B327" s="6">
        <v>46253.723611111112</v>
      </c>
      <c r="C327" s="2">
        <v>46254.796435949072</v>
      </c>
      <c r="D327" t="s">
        <v>23</v>
      </c>
      <c r="E327" t="s">
        <v>50</v>
      </c>
      <c r="F327" t="s">
        <v>51</v>
      </c>
      <c r="G327" t="s">
        <v>120</v>
      </c>
      <c r="H327" t="s">
        <v>27</v>
      </c>
      <c r="I327" t="s">
        <v>28</v>
      </c>
      <c r="J327" t="s">
        <v>37</v>
      </c>
      <c r="K327" t="s">
        <v>93</v>
      </c>
      <c r="L327" s="3">
        <v>58</v>
      </c>
      <c r="M327" s="3">
        <v>4</v>
      </c>
      <c r="N327">
        <v>1</v>
      </c>
      <c r="O327">
        <v>7</v>
      </c>
      <c r="P327" t="s">
        <v>31</v>
      </c>
    </row>
    <row r="328" spans="1:16">
      <c r="A328" t="s">
        <v>443</v>
      </c>
      <c r="B328" s="6">
        <v>46263.35833333333</v>
      </c>
      <c r="C328" s="2">
        <v>46264.516619131944</v>
      </c>
      <c r="D328" t="s">
        <v>23</v>
      </c>
      <c r="E328" t="s">
        <v>33</v>
      </c>
      <c r="F328" t="s">
        <v>51</v>
      </c>
      <c r="G328" t="s">
        <v>75</v>
      </c>
      <c r="H328" t="s">
        <v>35</v>
      </c>
      <c r="I328" t="s">
        <v>28</v>
      </c>
      <c r="J328" t="s">
        <v>163</v>
      </c>
      <c r="K328" t="s">
        <v>71</v>
      </c>
      <c r="L328" s="3">
        <v>271</v>
      </c>
      <c r="M328" s="3">
        <v>3</v>
      </c>
      <c r="N328">
        <v>1</v>
      </c>
      <c r="O328">
        <v>5</v>
      </c>
      <c r="P328" t="s">
        <v>31</v>
      </c>
    </row>
    <row r="329" spans="1:16">
      <c r="A329" t="s">
        <v>444</v>
      </c>
      <c r="B329" s="6">
        <v>46259.810416666667</v>
      </c>
      <c r="C329" s="2">
        <v>46260.286063680556</v>
      </c>
      <c r="D329" t="s">
        <v>23</v>
      </c>
      <c r="E329" t="s">
        <v>40</v>
      </c>
      <c r="F329" t="s">
        <v>51</v>
      </c>
      <c r="G329" t="s">
        <v>66</v>
      </c>
      <c r="H329" t="s">
        <v>42</v>
      </c>
      <c r="I329" t="s">
        <v>48</v>
      </c>
      <c r="J329" t="s">
        <v>37</v>
      </c>
      <c r="K329" t="s">
        <v>68</v>
      </c>
      <c r="L329" s="3">
        <v>68</v>
      </c>
      <c r="M329" s="3">
        <v>4</v>
      </c>
      <c r="N329">
        <v>0</v>
      </c>
      <c r="O329">
        <v>7</v>
      </c>
      <c r="P329" t="s">
        <v>31</v>
      </c>
    </row>
    <row r="330" spans="1:16">
      <c r="A330" t="s">
        <v>445</v>
      </c>
      <c r="B330" s="6">
        <v>46211.90902777778</v>
      </c>
      <c r="C330" s="2">
        <v>46212.68231895833</v>
      </c>
      <c r="D330" t="s">
        <v>23</v>
      </c>
      <c r="E330" t="s">
        <v>50</v>
      </c>
      <c r="F330" t="s">
        <v>25</v>
      </c>
      <c r="G330" t="s">
        <v>34</v>
      </c>
      <c r="H330" t="s">
        <v>35</v>
      </c>
      <c r="I330" t="s">
        <v>43</v>
      </c>
      <c r="J330" t="s">
        <v>37</v>
      </c>
      <c r="K330" t="s">
        <v>85</v>
      </c>
      <c r="L330" s="3">
        <v>106</v>
      </c>
      <c r="M330" s="3">
        <v>4</v>
      </c>
      <c r="N330">
        <v>1</v>
      </c>
      <c r="O330">
        <v>7</v>
      </c>
      <c r="P330" t="s">
        <v>31</v>
      </c>
    </row>
    <row r="331" spans="1:16">
      <c r="A331" t="s">
        <v>446</v>
      </c>
      <c r="B331" s="6">
        <v>46023.936805555553</v>
      </c>
      <c r="C331" s="2">
        <v>46024.334931273152</v>
      </c>
      <c r="D331" t="s">
        <v>23</v>
      </c>
      <c r="E331" t="s">
        <v>40</v>
      </c>
      <c r="F331" t="s">
        <v>65</v>
      </c>
      <c r="G331" t="s">
        <v>26</v>
      </c>
      <c r="H331" t="s">
        <v>35</v>
      </c>
      <c r="I331" t="s">
        <v>43</v>
      </c>
      <c r="J331" t="s">
        <v>67</v>
      </c>
      <c r="K331" t="s">
        <v>62</v>
      </c>
      <c r="L331" s="3">
        <v>38</v>
      </c>
      <c r="M331" s="3">
        <v>5</v>
      </c>
      <c r="N331">
        <v>0</v>
      </c>
      <c r="O331">
        <v>7</v>
      </c>
      <c r="P331" t="s">
        <v>31</v>
      </c>
    </row>
    <row r="332" spans="1:16">
      <c r="A332" t="s">
        <v>447</v>
      </c>
      <c r="B332" s="6">
        <v>46200.569444444445</v>
      </c>
      <c r="C332" s="2">
        <v>46201.36814056713</v>
      </c>
      <c r="D332" t="s">
        <v>23</v>
      </c>
      <c r="E332" t="s">
        <v>50</v>
      </c>
      <c r="F332" t="s">
        <v>25</v>
      </c>
      <c r="G332" t="s">
        <v>26</v>
      </c>
      <c r="H332" t="s">
        <v>35</v>
      </c>
      <c r="I332" t="s">
        <v>43</v>
      </c>
      <c r="J332" t="s">
        <v>37</v>
      </c>
      <c r="K332" t="s">
        <v>71</v>
      </c>
      <c r="L332" s="3">
        <v>132</v>
      </c>
      <c r="M332" s="3">
        <v>3</v>
      </c>
      <c r="N332">
        <v>1</v>
      </c>
      <c r="O332">
        <v>14</v>
      </c>
      <c r="P332" t="s">
        <v>63</v>
      </c>
    </row>
    <row r="333" spans="1:16">
      <c r="A333" t="s">
        <v>448</v>
      </c>
      <c r="B333" s="6">
        <v>46240.275694444441</v>
      </c>
      <c r="C333" s="2">
        <v>46242.044129317132</v>
      </c>
      <c r="D333" t="s">
        <v>23</v>
      </c>
      <c r="E333" t="s">
        <v>33</v>
      </c>
      <c r="F333" t="s">
        <v>51</v>
      </c>
      <c r="G333" t="s">
        <v>34</v>
      </c>
      <c r="H333" t="s">
        <v>27</v>
      </c>
      <c r="I333" t="s">
        <v>43</v>
      </c>
      <c r="J333" t="s">
        <v>76</v>
      </c>
      <c r="K333" t="s">
        <v>30</v>
      </c>
      <c r="L333" s="3">
        <v>287</v>
      </c>
      <c r="M333" s="3">
        <v>3</v>
      </c>
      <c r="N333">
        <v>0</v>
      </c>
      <c r="O333">
        <v>3</v>
      </c>
      <c r="P333" t="s">
        <v>31</v>
      </c>
    </row>
    <row r="334" spans="1:16">
      <c r="A334" t="s">
        <v>449</v>
      </c>
      <c r="B334" s="6">
        <v>46082.311805555553</v>
      </c>
      <c r="C334" s="2">
        <v>46083.11655053241</v>
      </c>
      <c r="D334" t="s">
        <v>23</v>
      </c>
      <c r="E334" t="s">
        <v>33</v>
      </c>
      <c r="F334" t="s">
        <v>51</v>
      </c>
      <c r="G334" t="s">
        <v>34</v>
      </c>
      <c r="H334" t="s">
        <v>35</v>
      </c>
      <c r="I334" t="s">
        <v>43</v>
      </c>
      <c r="J334" t="s">
        <v>52</v>
      </c>
      <c r="K334" t="s">
        <v>93</v>
      </c>
      <c r="L334" s="3">
        <v>911</v>
      </c>
      <c r="M334" s="3">
        <v>3</v>
      </c>
      <c r="N334">
        <v>0</v>
      </c>
      <c r="O334">
        <v>4</v>
      </c>
      <c r="P334" t="s">
        <v>31</v>
      </c>
    </row>
    <row r="335" spans="1:16">
      <c r="A335" t="s">
        <v>450</v>
      </c>
      <c r="B335" s="6">
        <v>46254.463194444441</v>
      </c>
      <c r="C335" s="2">
        <v>46254.9709874537</v>
      </c>
      <c r="D335" t="s">
        <v>23</v>
      </c>
      <c r="E335" t="s">
        <v>50</v>
      </c>
      <c r="F335" t="s">
        <v>51</v>
      </c>
      <c r="G335" t="s">
        <v>66</v>
      </c>
      <c r="H335" t="s">
        <v>42</v>
      </c>
      <c r="I335" t="s">
        <v>36</v>
      </c>
      <c r="J335" t="s">
        <v>52</v>
      </c>
      <c r="L335" s="3">
        <v>84</v>
      </c>
      <c r="M335" s="3">
        <v>4</v>
      </c>
      <c r="N335">
        <v>1</v>
      </c>
      <c r="O335">
        <v>12</v>
      </c>
      <c r="P335" t="s">
        <v>31</v>
      </c>
    </row>
    <row r="336" spans="1:16">
      <c r="A336" t="s">
        <v>451</v>
      </c>
      <c r="B336" s="6">
        <v>46174.065972222219</v>
      </c>
      <c r="C336" s="2">
        <v>46174.386165798613</v>
      </c>
      <c r="D336" t="s">
        <v>23</v>
      </c>
      <c r="E336" t="s">
        <v>50</v>
      </c>
      <c r="F336" t="s">
        <v>25</v>
      </c>
      <c r="G336" t="s">
        <v>54</v>
      </c>
      <c r="H336" t="s">
        <v>35</v>
      </c>
      <c r="I336" t="s">
        <v>43</v>
      </c>
      <c r="J336" t="s">
        <v>52</v>
      </c>
      <c r="K336" t="s">
        <v>30</v>
      </c>
      <c r="L336" s="3">
        <v>162</v>
      </c>
      <c r="M336" s="3">
        <v>4</v>
      </c>
      <c r="N336">
        <v>0</v>
      </c>
      <c r="O336">
        <v>3</v>
      </c>
      <c r="P336" t="s">
        <v>31</v>
      </c>
    </row>
    <row r="337" spans="1:16">
      <c r="A337" t="s">
        <v>452</v>
      </c>
      <c r="B337" s="6">
        <v>46226.770833333336</v>
      </c>
      <c r="C337" s="2">
        <v>46229.539123657407</v>
      </c>
      <c r="D337" t="s">
        <v>23</v>
      </c>
      <c r="E337" t="s">
        <v>33</v>
      </c>
      <c r="F337" t="s">
        <v>25</v>
      </c>
      <c r="G337" t="s">
        <v>34</v>
      </c>
      <c r="H337" t="s">
        <v>35</v>
      </c>
      <c r="I337" t="s">
        <v>28</v>
      </c>
      <c r="J337" t="s">
        <v>37</v>
      </c>
      <c r="K337" t="s">
        <v>101</v>
      </c>
      <c r="L337" s="3">
        <v>130</v>
      </c>
      <c r="M337" s="3">
        <v>4</v>
      </c>
      <c r="N337">
        <v>0</v>
      </c>
      <c r="O337">
        <v>7</v>
      </c>
      <c r="P337" t="s">
        <v>31</v>
      </c>
    </row>
    <row r="338" spans="1:16">
      <c r="A338" t="s">
        <v>453</v>
      </c>
      <c r="B338" s="6" t="s">
        <v>454</v>
      </c>
      <c r="C338" s="2">
        <v>46054.527438460645</v>
      </c>
      <c r="D338" t="s">
        <v>23</v>
      </c>
      <c r="E338" t="s">
        <v>50</v>
      </c>
      <c r="F338" t="s">
        <v>41</v>
      </c>
      <c r="G338" t="s">
        <v>26</v>
      </c>
      <c r="H338" t="s">
        <v>35</v>
      </c>
      <c r="I338" t="s">
        <v>43</v>
      </c>
      <c r="J338" t="s">
        <v>37</v>
      </c>
      <c r="K338" t="s">
        <v>85</v>
      </c>
      <c r="L338" s="3">
        <v>57</v>
      </c>
      <c r="M338" s="3">
        <v>4</v>
      </c>
      <c r="N338">
        <v>0</v>
      </c>
      <c r="O338">
        <v>7</v>
      </c>
      <c r="P338" t="s">
        <v>31</v>
      </c>
    </row>
    <row r="339" spans="1:16">
      <c r="A339" t="s">
        <v>455</v>
      </c>
      <c r="B339" s="6">
        <v>46239.755555555559</v>
      </c>
      <c r="C339" s="2">
        <v>46240.111372789353</v>
      </c>
      <c r="D339" t="s">
        <v>23</v>
      </c>
      <c r="E339" t="s">
        <v>24</v>
      </c>
      <c r="F339" t="s">
        <v>65</v>
      </c>
      <c r="G339" t="s">
        <v>26</v>
      </c>
      <c r="H339" t="s">
        <v>35</v>
      </c>
      <c r="I339" t="s">
        <v>28</v>
      </c>
      <c r="J339" t="s">
        <v>37</v>
      </c>
      <c r="K339" t="s">
        <v>38</v>
      </c>
      <c r="L339" s="3">
        <v>12</v>
      </c>
      <c r="M339" s="3">
        <v>4</v>
      </c>
      <c r="N339">
        <v>0</v>
      </c>
      <c r="O339">
        <v>4</v>
      </c>
      <c r="P339" t="s">
        <v>31</v>
      </c>
    </row>
    <row r="340" spans="1:16">
      <c r="A340" t="s">
        <v>456</v>
      </c>
      <c r="B340" s="6">
        <v>46024.304861111108</v>
      </c>
      <c r="C340" s="2">
        <v>46024.529085798611</v>
      </c>
      <c r="D340" t="s">
        <v>23</v>
      </c>
      <c r="E340" t="s">
        <v>40</v>
      </c>
      <c r="F340" t="s">
        <v>41</v>
      </c>
      <c r="G340" t="s">
        <v>54</v>
      </c>
      <c r="H340" t="s">
        <v>35</v>
      </c>
      <c r="I340" t="s">
        <v>36</v>
      </c>
      <c r="J340" t="s">
        <v>52</v>
      </c>
      <c r="K340" t="s">
        <v>44</v>
      </c>
      <c r="L340" s="3">
        <v>34</v>
      </c>
      <c r="M340" s="3">
        <v>5</v>
      </c>
      <c r="N340">
        <v>0</v>
      </c>
      <c r="O340">
        <v>7</v>
      </c>
      <c r="P340" t="s">
        <v>31</v>
      </c>
    </row>
    <row r="341" spans="1:16">
      <c r="A341" t="s">
        <v>457</v>
      </c>
      <c r="B341" s="6">
        <v>46094.779861111114</v>
      </c>
      <c r="C341" s="2">
        <v>46096.148805208337</v>
      </c>
      <c r="D341" t="s">
        <v>23</v>
      </c>
      <c r="E341" t="s">
        <v>50</v>
      </c>
      <c r="F341" t="s">
        <v>51</v>
      </c>
      <c r="G341" t="s">
        <v>34</v>
      </c>
      <c r="H341" t="s">
        <v>27</v>
      </c>
      <c r="I341" t="s">
        <v>43</v>
      </c>
      <c r="J341" t="s">
        <v>37</v>
      </c>
      <c r="K341" t="s">
        <v>68</v>
      </c>
      <c r="L341" s="3">
        <v>176</v>
      </c>
      <c r="M341" s="3"/>
      <c r="N341">
        <v>1</v>
      </c>
      <c r="O341">
        <v>7</v>
      </c>
      <c r="P341" t="s">
        <v>31</v>
      </c>
    </row>
    <row r="342" spans="1:16">
      <c r="A342" t="s">
        <v>458</v>
      </c>
      <c r="B342" s="6">
        <v>46081.657638888886</v>
      </c>
      <c r="C342" s="2">
        <v>46082.072364502317</v>
      </c>
      <c r="D342" t="s">
        <v>23</v>
      </c>
      <c r="E342" t="s">
        <v>40</v>
      </c>
      <c r="F342" t="s">
        <v>41</v>
      </c>
      <c r="G342" t="s">
        <v>54</v>
      </c>
      <c r="H342" t="s">
        <v>42</v>
      </c>
      <c r="I342" t="s">
        <v>43</v>
      </c>
      <c r="J342" t="s">
        <v>76</v>
      </c>
      <c r="K342" t="s">
        <v>68</v>
      </c>
      <c r="L342" s="3">
        <v>22</v>
      </c>
      <c r="M342" s="3">
        <v>5</v>
      </c>
      <c r="N342">
        <v>0</v>
      </c>
      <c r="O342">
        <v>2</v>
      </c>
      <c r="P342" t="s">
        <v>31</v>
      </c>
    </row>
    <row r="343" spans="1:16">
      <c r="A343" t="s">
        <v>459</v>
      </c>
      <c r="B343" s="6">
        <v>46188.593055555553</v>
      </c>
      <c r="C343" s="2">
        <v>46191.869217523148</v>
      </c>
      <c r="D343" t="s">
        <v>23</v>
      </c>
      <c r="E343" t="s">
        <v>33</v>
      </c>
      <c r="F343" t="s">
        <v>51</v>
      </c>
      <c r="G343" t="s">
        <v>75</v>
      </c>
      <c r="H343" t="s">
        <v>35</v>
      </c>
      <c r="I343" t="s">
        <v>36</v>
      </c>
      <c r="J343" t="s">
        <v>58</v>
      </c>
      <c r="K343" t="s">
        <v>55</v>
      </c>
      <c r="L343" s="3">
        <v>849</v>
      </c>
      <c r="M343" s="3">
        <v>2</v>
      </c>
      <c r="N343">
        <v>0</v>
      </c>
      <c r="O343">
        <v>5</v>
      </c>
      <c r="P343" t="s">
        <v>31</v>
      </c>
    </row>
    <row r="344" spans="1:16">
      <c r="A344" t="s">
        <v>460</v>
      </c>
      <c r="B344" s="6">
        <v>46105.365972222222</v>
      </c>
      <c r="C344" s="2">
        <v>46105.710153981483</v>
      </c>
      <c r="D344" t="s">
        <v>23</v>
      </c>
      <c r="E344" t="s">
        <v>33</v>
      </c>
      <c r="F344" t="s">
        <v>51</v>
      </c>
      <c r="G344" t="s">
        <v>34</v>
      </c>
      <c r="H344" t="s">
        <v>35</v>
      </c>
      <c r="I344" t="s">
        <v>43</v>
      </c>
      <c r="J344" t="s">
        <v>29</v>
      </c>
      <c r="K344" t="s">
        <v>68</v>
      </c>
      <c r="L344" s="3">
        <v>315</v>
      </c>
      <c r="M344" s="3">
        <v>4</v>
      </c>
      <c r="N344">
        <v>0</v>
      </c>
      <c r="O344">
        <v>3</v>
      </c>
      <c r="P344" t="s">
        <v>31</v>
      </c>
    </row>
    <row r="345" spans="1:16">
      <c r="A345" t="s">
        <v>461</v>
      </c>
      <c r="B345" s="6">
        <v>46046.697222222225</v>
      </c>
      <c r="C345" s="2">
        <v>46048.684560277776</v>
      </c>
      <c r="D345" t="s">
        <v>23</v>
      </c>
      <c r="F345" t="s">
        <v>25</v>
      </c>
      <c r="G345" t="s">
        <v>26</v>
      </c>
      <c r="H345" t="s">
        <v>35</v>
      </c>
      <c r="I345" t="s">
        <v>43</v>
      </c>
      <c r="J345" t="s">
        <v>37</v>
      </c>
      <c r="K345" t="s">
        <v>101</v>
      </c>
      <c r="L345" s="3" t="s">
        <v>462</v>
      </c>
      <c r="M345" s="3">
        <v>3</v>
      </c>
      <c r="N345">
        <v>0</v>
      </c>
      <c r="O345">
        <v>6</v>
      </c>
      <c r="P345" t="s">
        <v>63</v>
      </c>
    </row>
    <row r="346" spans="1:16">
      <c r="A346" t="s">
        <v>463</v>
      </c>
      <c r="B346" s="6">
        <v>46075.462500000001</v>
      </c>
      <c r="C346" s="2">
        <v>46076.153692465276</v>
      </c>
      <c r="D346" t="s">
        <v>23</v>
      </c>
      <c r="E346" t="s">
        <v>50</v>
      </c>
      <c r="F346" t="s">
        <v>51</v>
      </c>
      <c r="G346" t="s">
        <v>26</v>
      </c>
      <c r="H346" t="s">
        <v>35</v>
      </c>
      <c r="I346" t="s">
        <v>48</v>
      </c>
      <c r="J346" t="s">
        <v>37</v>
      </c>
      <c r="K346" t="s">
        <v>68</v>
      </c>
      <c r="L346" s="3">
        <v>252</v>
      </c>
      <c r="M346" s="3">
        <v>4</v>
      </c>
      <c r="N346">
        <v>0</v>
      </c>
      <c r="O346">
        <v>5</v>
      </c>
      <c r="P346" t="s">
        <v>31</v>
      </c>
    </row>
    <row r="347" spans="1:16">
      <c r="A347" t="s">
        <v>464</v>
      </c>
      <c r="B347" s="6">
        <v>46059.031944444447</v>
      </c>
      <c r="C347" s="2">
        <v>46062.662626134261</v>
      </c>
      <c r="D347" t="s">
        <v>23</v>
      </c>
      <c r="E347" t="s">
        <v>33</v>
      </c>
      <c r="F347" t="s">
        <v>51</v>
      </c>
      <c r="G347" t="s">
        <v>66</v>
      </c>
      <c r="H347" t="s">
        <v>35</v>
      </c>
      <c r="I347" t="s">
        <v>28</v>
      </c>
      <c r="J347" t="s">
        <v>37</v>
      </c>
      <c r="K347" t="s">
        <v>85</v>
      </c>
      <c r="L347" s="3">
        <v>148</v>
      </c>
      <c r="M347" s="3">
        <v>3</v>
      </c>
      <c r="N347">
        <v>0</v>
      </c>
      <c r="O347">
        <v>6</v>
      </c>
      <c r="P347" t="s">
        <v>31</v>
      </c>
    </row>
    <row r="348" spans="1:16">
      <c r="A348" t="s">
        <v>465</v>
      </c>
      <c r="B348" s="6">
        <v>46196.348611111112</v>
      </c>
      <c r="C348" s="2" t="s">
        <v>466</v>
      </c>
      <c r="D348" t="s">
        <v>23</v>
      </c>
      <c r="F348" t="s">
        <v>51</v>
      </c>
      <c r="G348" t="s">
        <v>75</v>
      </c>
      <c r="H348" t="s">
        <v>42</v>
      </c>
      <c r="I348" t="s">
        <v>43</v>
      </c>
      <c r="J348" t="s">
        <v>76</v>
      </c>
      <c r="K348" t="s">
        <v>101</v>
      </c>
      <c r="L348" s="3">
        <v>17</v>
      </c>
      <c r="M348" s="3">
        <v>4</v>
      </c>
      <c r="N348">
        <v>0</v>
      </c>
      <c r="O348">
        <v>6</v>
      </c>
      <c r="P348" t="s">
        <v>31</v>
      </c>
    </row>
    <row r="349" spans="1:16">
      <c r="A349" t="s">
        <v>467</v>
      </c>
      <c r="B349" s="6">
        <v>46175.64166666667</v>
      </c>
      <c r="C349" s="2">
        <v>46176.830072627316</v>
      </c>
      <c r="D349" t="s">
        <v>23</v>
      </c>
      <c r="E349" t="s">
        <v>33</v>
      </c>
      <c r="F349" t="s">
        <v>51</v>
      </c>
      <c r="G349" t="s">
        <v>54</v>
      </c>
      <c r="H349" t="s">
        <v>35</v>
      </c>
      <c r="I349" t="s">
        <v>36</v>
      </c>
      <c r="J349" t="s">
        <v>37</v>
      </c>
      <c r="K349" t="s">
        <v>93</v>
      </c>
      <c r="L349" s="3">
        <v>227</v>
      </c>
      <c r="M349" s="3">
        <v>2</v>
      </c>
      <c r="N349">
        <v>3</v>
      </c>
      <c r="O349">
        <v>22</v>
      </c>
      <c r="P349" t="s">
        <v>31</v>
      </c>
    </row>
    <row r="350" spans="1:16">
      <c r="A350" t="s">
        <v>468</v>
      </c>
      <c r="B350" s="6">
        <v>46264.25</v>
      </c>
      <c r="C350" s="2"/>
      <c r="D350" t="s">
        <v>57</v>
      </c>
      <c r="E350" t="s">
        <v>50</v>
      </c>
      <c r="F350" t="s">
        <v>51</v>
      </c>
      <c r="G350" t="s">
        <v>26</v>
      </c>
      <c r="H350" t="s">
        <v>27</v>
      </c>
      <c r="I350" t="s">
        <v>28</v>
      </c>
      <c r="J350" t="s">
        <v>37</v>
      </c>
      <c r="K350" t="s">
        <v>44</v>
      </c>
      <c r="L350" s="3">
        <v>171</v>
      </c>
      <c r="M350" s="3"/>
      <c r="N350">
        <v>0</v>
      </c>
      <c r="O350">
        <v>3</v>
      </c>
      <c r="P350" t="s">
        <v>31</v>
      </c>
    </row>
    <row r="351" spans="1:16">
      <c r="A351" t="s">
        <v>469</v>
      </c>
      <c r="B351" s="6">
        <v>46113.442361111112</v>
      </c>
      <c r="C351" s="2">
        <v>46115.301134212961</v>
      </c>
      <c r="D351" t="s">
        <v>23</v>
      </c>
      <c r="E351" t="s">
        <v>50</v>
      </c>
      <c r="F351" t="s">
        <v>25</v>
      </c>
      <c r="G351" t="s">
        <v>34</v>
      </c>
      <c r="H351" t="s">
        <v>35</v>
      </c>
      <c r="I351" t="s">
        <v>36</v>
      </c>
      <c r="J351" t="s">
        <v>76</v>
      </c>
      <c r="K351" t="s">
        <v>55</v>
      </c>
      <c r="L351" s="3">
        <v>207</v>
      </c>
      <c r="M351" s="3">
        <v>3</v>
      </c>
      <c r="N351">
        <v>0</v>
      </c>
      <c r="O351">
        <v>4</v>
      </c>
      <c r="P351" t="s">
        <v>31</v>
      </c>
    </row>
    <row r="352" spans="1:16">
      <c r="A352" t="s">
        <v>470</v>
      </c>
      <c r="B352" s="6">
        <v>46024.173611111109</v>
      </c>
      <c r="C352" s="2">
        <v>46033.044213344911</v>
      </c>
      <c r="D352" t="s">
        <v>23</v>
      </c>
      <c r="E352" t="s">
        <v>33</v>
      </c>
      <c r="F352" t="s">
        <v>51</v>
      </c>
      <c r="G352" t="s">
        <v>66</v>
      </c>
      <c r="H352" t="s">
        <v>27</v>
      </c>
      <c r="I352" t="s">
        <v>48</v>
      </c>
      <c r="J352" t="s">
        <v>76</v>
      </c>
      <c r="K352" t="s">
        <v>71</v>
      </c>
      <c r="L352" s="3">
        <v>303</v>
      </c>
      <c r="M352" s="3">
        <v>3</v>
      </c>
      <c r="N352">
        <v>0</v>
      </c>
      <c r="O352">
        <v>2</v>
      </c>
      <c r="P352" t="s">
        <v>31</v>
      </c>
    </row>
    <row r="353" spans="1:16">
      <c r="A353" t="s">
        <v>471</v>
      </c>
      <c r="B353" s="6">
        <v>46222.868055555555</v>
      </c>
      <c r="C353" s="2">
        <v>46222.942118865743</v>
      </c>
      <c r="D353" t="s">
        <v>23</v>
      </c>
      <c r="E353" t="s">
        <v>24</v>
      </c>
      <c r="F353" t="s">
        <v>41</v>
      </c>
      <c r="G353" t="s">
        <v>26</v>
      </c>
      <c r="H353" t="s">
        <v>35</v>
      </c>
      <c r="I353" t="s">
        <v>36</v>
      </c>
      <c r="J353" t="s">
        <v>76</v>
      </c>
      <c r="K353" t="s">
        <v>71</v>
      </c>
      <c r="L353" s="3">
        <v>13</v>
      </c>
      <c r="M353" s="3">
        <v>4</v>
      </c>
      <c r="N353">
        <v>0</v>
      </c>
      <c r="O353">
        <v>6</v>
      </c>
      <c r="P353" t="s">
        <v>31</v>
      </c>
    </row>
    <row r="354" spans="1:16">
      <c r="A354" t="s">
        <v>472</v>
      </c>
      <c r="B354" s="6">
        <v>46040.597916666666</v>
      </c>
      <c r="C354" s="2"/>
      <c r="D354" t="s">
        <v>74</v>
      </c>
      <c r="E354" t="s">
        <v>33</v>
      </c>
      <c r="F354" t="s">
        <v>41</v>
      </c>
      <c r="G354" t="s">
        <v>75</v>
      </c>
      <c r="H354" t="s">
        <v>35</v>
      </c>
      <c r="I354" t="s">
        <v>48</v>
      </c>
      <c r="J354" t="s">
        <v>37</v>
      </c>
      <c r="K354" t="s">
        <v>44</v>
      </c>
      <c r="L354" s="3">
        <v>133</v>
      </c>
      <c r="M354" s="3"/>
      <c r="N354">
        <v>0</v>
      </c>
      <c r="O354">
        <v>7</v>
      </c>
      <c r="P354" t="s">
        <v>31</v>
      </c>
    </row>
    <row r="355" spans="1:16">
      <c r="A355" t="s">
        <v>473</v>
      </c>
      <c r="B355" s="6">
        <v>46261.694444444445</v>
      </c>
      <c r="C355" s="2">
        <v>46262.12975777778</v>
      </c>
      <c r="D355" t="s">
        <v>23</v>
      </c>
      <c r="E355" t="s">
        <v>40</v>
      </c>
      <c r="F355" t="s">
        <v>51</v>
      </c>
      <c r="G355" t="s">
        <v>34</v>
      </c>
      <c r="H355" t="s">
        <v>27</v>
      </c>
      <c r="I355" t="s">
        <v>43</v>
      </c>
      <c r="J355" t="s">
        <v>76</v>
      </c>
      <c r="K355" t="s">
        <v>55</v>
      </c>
      <c r="L355" s="3">
        <v>73</v>
      </c>
      <c r="M355" s="3">
        <v>5</v>
      </c>
      <c r="N355">
        <v>0</v>
      </c>
      <c r="O355">
        <v>2</v>
      </c>
      <c r="P355" t="s">
        <v>31</v>
      </c>
    </row>
    <row r="356" spans="1:16">
      <c r="A356" t="s">
        <v>474</v>
      </c>
      <c r="B356" s="6">
        <v>46190.741666666669</v>
      </c>
      <c r="C356" s="2">
        <v>46191.271191585649</v>
      </c>
      <c r="D356" t="s">
        <v>23</v>
      </c>
      <c r="E356" t="s">
        <v>40</v>
      </c>
      <c r="F356" t="s">
        <v>51</v>
      </c>
      <c r="G356" t="s">
        <v>34</v>
      </c>
      <c r="H356" t="s">
        <v>27</v>
      </c>
      <c r="I356" t="s">
        <v>48</v>
      </c>
      <c r="J356" t="s">
        <v>76</v>
      </c>
      <c r="K356" t="s">
        <v>93</v>
      </c>
      <c r="L356" s="3">
        <v>36</v>
      </c>
      <c r="M356" s="3">
        <v>4</v>
      </c>
      <c r="N356">
        <v>0</v>
      </c>
      <c r="O356">
        <v>7</v>
      </c>
      <c r="P356" t="s">
        <v>31</v>
      </c>
    </row>
    <row r="357" spans="1:16">
      <c r="A357" t="s">
        <v>475</v>
      </c>
      <c r="B357" s="6">
        <v>46178.686805555553</v>
      </c>
      <c r="C357" s="2">
        <v>46180.680657592595</v>
      </c>
      <c r="D357" t="s">
        <v>23</v>
      </c>
      <c r="E357" t="s">
        <v>33</v>
      </c>
      <c r="F357" t="s">
        <v>25</v>
      </c>
      <c r="G357" t="s">
        <v>54</v>
      </c>
      <c r="H357" t="s">
        <v>27</v>
      </c>
      <c r="I357" t="s">
        <v>36</v>
      </c>
      <c r="J357" t="s">
        <v>37</v>
      </c>
      <c r="K357" t="s">
        <v>62</v>
      </c>
      <c r="L357" s="3">
        <v>117</v>
      </c>
      <c r="M357" s="3">
        <v>4</v>
      </c>
      <c r="N357">
        <v>1</v>
      </c>
      <c r="O357">
        <v>10</v>
      </c>
      <c r="P357" t="s">
        <v>31</v>
      </c>
    </row>
    <row r="358" spans="1:16">
      <c r="A358" t="s">
        <v>476</v>
      </c>
      <c r="B358" s="6">
        <v>46143.589583333334</v>
      </c>
      <c r="C358" s="2">
        <v>46144.393748784722</v>
      </c>
      <c r="D358" t="s">
        <v>23</v>
      </c>
      <c r="E358" t="s">
        <v>50</v>
      </c>
      <c r="F358" t="s">
        <v>41</v>
      </c>
      <c r="G358" t="s">
        <v>34</v>
      </c>
      <c r="H358" t="s">
        <v>42</v>
      </c>
      <c r="I358" t="s">
        <v>28</v>
      </c>
      <c r="J358" t="s">
        <v>37</v>
      </c>
      <c r="K358" t="s">
        <v>55</v>
      </c>
      <c r="L358" s="3">
        <v>119</v>
      </c>
      <c r="M358" s="3">
        <v>3</v>
      </c>
      <c r="N358">
        <v>1</v>
      </c>
      <c r="O358">
        <v>6</v>
      </c>
      <c r="P358" t="s">
        <v>31</v>
      </c>
    </row>
    <row r="359" spans="1:16">
      <c r="A359" t="s">
        <v>477</v>
      </c>
      <c r="B359" s="6" t="s">
        <v>478</v>
      </c>
      <c r="C359" s="2"/>
      <c r="D359" t="s">
        <v>57</v>
      </c>
      <c r="E359" t="s">
        <v>33</v>
      </c>
      <c r="F359" t="s">
        <v>51</v>
      </c>
      <c r="G359" t="s">
        <v>66</v>
      </c>
      <c r="H359" t="s">
        <v>42</v>
      </c>
      <c r="I359" t="s">
        <v>36</v>
      </c>
      <c r="J359" t="s">
        <v>37</v>
      </c>
      <c r="K359" t="s">
        <v>38</v>
      </c>
      <c r="L359" s="3">
        <v>192</v>
      </c>
      <c r="M359" s="3"/>
      <c r="N359">
        <v>0</v>
      </c>
      <c r="O359">
        <v>7</v>
      </c>
      <c r="P359" t="s">
        <v>31</v>
      </c>
    </row>
    <row r="360" spans="1:16">
      <c r="A360" t="s">
        <v>479</v>
      </c>
      <c r="B360" s="6">
        <v>46032.57708333333</v>
      </c>
      <c r="C360" s="2">
        <v>46033.779639791668</v>
      </c>
      <c r="D360" t="s">
        <v>23</v>
      </c>
      <c r="E360" t="s">
        <v>50</v>
      </c>
      <c r="F360" t="s">
        <v>25</v>
      </c>
      <c r="G360" t="s">
        <v>54</v>
      </c>
      <c r="H360" t="s">
        <v>35</v>
      </c>
      <c r="I360" t="s">
        <v>48</v>
      </c>
      <c r="J360" t="s">
        <v>37</v>
      </c>
      <c r="K360" t="s">
        <v>38</v>
      </c>
      <c r="L360" s="3">
        <v>131</v>
      </c>
      <c r="M360" s="3">
        <v>4</v>
      </c>
      <c r="N360">
        <v>0</v>
      </c>
      <c r="O360">
        <v>6</v>
      </c>
      <c r="P360" t="s">
        <v>31</v>
      </c>
    </row>
    <row r="361" spans="1:16">
      <c r="A361" t="s">
        <v>480</v>
      </c>
      <c r="B361" s="6">
        <v>46144.036805555559</v>
      </c>
      <c r="C361" s="2">
        <v>46145.478026793979</v>
      </c>
      <c r="D361" t="s">
        <v>23</v>
      </c>
      <c r="E361" t="s">
        <v>50</v>
      </c>
      <c r="F361" t="s">
        <v>25</v>
      </c>
      <c r="G361" t="s">
        <v>75</v>
      </c>
      <c r="H361" t="s">
        <v>35</v>
      </c>
      <c r="I361" t="s">
        <v>43</v>
      </c>
      <c r="J361" t="s">
        <v>37</v>
      </c>
      <c r="K361" t="s">
        <v>62</v>
      </c>
      <c r="L361" s="3">
        <v>93</v>
      </c>
      <c r="M361" s="3">
        <v>4</v>
      </c>
      <c r="N361">
        <v>0</v>
      </c>
      <c r="O361">
        <v>4</v>
      </c>
      <c r="P361" t="s">
        <v>31</v>
      </c>
    </row>
    <row r="362" spans="1:16">
      <c r="A362" t="s">
        <v>481</v>
      </c>
      <c r="B362" s="6">
        <v>46127.591666666667</v>
      </c>
      <c r="C362" s="2">
        <v>46130.552559849537</v>
      </c>
      <c r="D362" t="s">
        <v>23</v>
      </c>
      <c r="E362" t="s">
        <v>33</v>
      </c>
      <c r="F362" t="s">
        <v>41</v>
      </c>
      <c r="G362" t="s">
        <v>75</v>
      </c>
      <c r="H362" t="s">
        <v>35</v>
      </c>
      <c r="I362" t="s">
        <v>43</v>
      </c>
      <c r="J362" t="s">
        <v>29</v>
      </c>
      <c r="K362" t="s">
        <v>68</v>
      </c>
      <c r="L362" s="3">
        <v>187</v>
      </c>
      <c r="M362" s="3">
        <v>4</v>
      </c>
      <c r="N362">
        <v>0</v>
      </c>
      <c r="O362">
        <v>5</v>
      </c>
      <c r="P362" t="s">
        <v>31</v>
      </c>
    </row>
    <row r="363" spans="1:16">
      <c r="A363" t="s">
        <v>482</v>
      </c>
      <c r="B363" s="6">
        <v>46243.164583333331</v>
      </c>
      <c r="C363" s="2">
        <v>46245.166097638888</v>
      </c>
      <c r="D363" t="s">
        <v>23</v>
      </c>
      <c r="E363" t="s">
        <v>50</v>
      </c>
      <c r="F363" t="s">
        <v>51</v>
      </c>
      <c r="G363" t="s">
        <v>26</v>
      </c>
      <c r="H363" t="s">
        <v>42</v>
      </c>
      <c r="I363" t="s">
        <v>28</v>
      </c>
      <c r="J363" t="s">
        <v>37</v>
      </c>
      <c r="K363" t="s">
        <v>101</v>
      </c>
      <c r="L363" s="3">
        <v>84</v>
      </c>
      <c r="M363" s="3">
        <v>4</v>
      </c>
      <c r="N363">
        <v>0</v>
      </c>
      <c r="O363">
        <v>4</v>
      </c>
      <c r="P363" t="s">
        <v>31</v>
      </c>
    </row>
    <row r="364" spans="1:16">
      <c r="A364" t="s">
        <v>483</v>
      </c>
      <c r="B364" s="6">
        <v>46122.362500000003</v>
      </c>
      <c r="C364" s="2">
        <v>46123.022541493054</v>
      </c>
      <c r="D364" t="s">
        <v>23</v>
      </c>
      <c r="E364" t="s">
        <v>50</v>
      </c>
      <c r="F364" t="s">
        <v>25</v>
      </c>
      <c r="G364" t="s">
        <v>34</v>
      </c>
      <c r="H364" t="s">
        <v>27</v>
      </c>
      <c r="I364" t="s">
        <v>48</v>
      </c>
      <c r="J364" t="s">
        <v>52</v>
      </c>
      <c r="K364" t="s">
        <v>101</v>
      </c>
      <c r="L364" s="3">
        <v>62</v>
      </c>
      <c r="M364" s="3">
        <v>4</v>
      </c>
      <c r="N364">
        <v>0</v>
      </c>
      <c r="O364">
        <v>11</v>
      </c>
      <c r="P364" t="s">
        <v>63</v>
      </c>
    </row>
    <row r="365" spans="1:16">
      <c r="A365" t="s">
        <v>484</v>
      </c>
      <c r="B365" s="6">
        <v>46104.720833333333</v>
      </c>
      <c r="C365" s="2">
        <v>46105.271715057868</v>
      </c>
      <c r="D365" t="s">
        <v>23</v>
      </c>
      <c r="E365" t="s">
        <v>50</v>
      </c>
      <c r="F365" t="s">
        <v>51</v>
      </c>
      <c r="G365" t="s">
        <v>34</v>
      </c>
      <c r="H365" t="s">
        <v>42</v>
      </c>
      <c r="I365" t="s">
        <v>48</v>
      </c>
      <c r="J365" t="s">
        <v>52</v>
      </c>
      <c r="K365" t="s">
        <v>101</v>
      </c>
      <c r="L365" s="3">
        <v>77</v>
      </c>
      <c r="M365" s="3">
        <v>5</v>
      </c>
      <c r="N365">
        <v>0</v>
      </c>
      <c r="O365">
        <v>3</v>
      </c>
      <c r="P365" t="s">
        <v>31</v>
      </c>
    </row>
    <row r="366" spans="1:16">
      <c r="A366" t="s">
        <v>485</v>
      </c>
      <c r="B366" s="6">
        <v>46029.213194444441</v>
      </c>
      <c r="C366" s="2">
        <v>46030.041594490744</v>
      </c>
      <c r="D366" t="s">
        <v>23</v>
      </c>
      <c r="E366" t="s">
        <v>50</v>
      </c>
      <c r="F366" t="s">
        <v>51</v>
      </c>
      <c r="G366" t="s">
        <v>26</v>
      </c>
      <c r="H366" t="s">
        <v>42</v>
      </c>
      <c r="I366" t="s">
        <v>36</v>
      </c>
      <c r="J366" t="s">
        <v>58</v>
      </c>
      <c r="K366" t="s">
        <v>44</v>
      </c>
      <c r="L366" s="3">
        <v>148</v>
      </c>
      <c r="M366" s="3">
        <v>4</v>
      </c>
      <c r="N366">
        <v>1</v>
      </c>
      <c r="O366">
        <v>7</v>
      </c>
      <c r="P366" t="s">
        <v>31</v>
      </c>
    </row>
    <row r="367" spans="1:16">
      <c r="A367" t="s">
        <v>486</v>
      </c>
      <c r="B367" s="6">
        <v>46245.288888888892</v>
      </c>
      <c r="C367" s="2"/>
      <c r="D367" t="s">
        <v>57</v>
      </c>
      <c r="E367" t="s">
        <v>50</v>
      </c>
      <c r="F367" t="s">
        <v>51</v>
      </c>
      <c r="G367" t="s">
        <v>26</v>
      </c>
      <c r="H367" t="s">
        <v>42</v>
      </c>
      <c r="I367" t="s">
        <v>43</v>
      </c>
      <c r="J367" t="s">
        <v>52</v>
      </c>
      <c r="K367" t="s">
        <v>68</v>
      </c>
      <c r="L367" s="3">
        <v>95</v>
      </c>
      <c r="M367" s="3"/>
      <c r="N367">
        <v>0</v>
      </c>
      <c r="O367">
        <v>5</v>
      </c>
      <c r="P367" t="s">
        <v>31</v>
      </c>
    </row>
    <row r="368" spans="1:16">
      <c r="A368" t="s">
        <v>487</v>
      </c>
      <c r="B368" s="6">
        <v>46098.981944444444</v>
      </c>
      <c r="C368" s="2">
        <v>46099.235728368054</v>
      </c>
      <c r="D368" t="s">
        <v>23</v>
      </c>
      <c r="E368" t="s">
        <v>24</v>
      </c>
      <c r="F368" t="s">
        <v>41</v>
      </c>
      <c r="G368" t="s">
        <v>54</v>
      </c>
      <c r="H368" t="s">
        <v>35</v>
      </c>
      <c r="I368" t="s">
        <v>48</v>
      </c>
      <c r="J368" t="s">
        <v>67</v>
      </c>
      <c r="K368" t="s">
        <v>68</v>
      </c>
      <c r="L368" s="3">
        <v>13</v>
      </c>
      <c r="M368" s="3">
        <v>4</v>
      </c>
      <c r="N368">
        <v>0</v>
      </c>
      <c r="O368">
        <v>6</v>
      </c>
      <c r="P368" t="s">
        <v>31</v>
      </c>
    </row>
    <row r="369" spans="1:16">
      <c r="A369" t="s">
        <v>488</v>
      </c>
      <c r="B369" s="6">
        <v>46243.820833333331</v>
      </c>
      <c r="C369" s="2">
        <v>46246.093331990742</v>
      </c>
      <c r="D369" t="s">
        <v>23</v>
      </c>
      <c r="E369" t="s">
        <v>33</v>
      </c>
      <c r="F369" t="s">
        <v>25</v>
      </c>
      <c r="G369" t="s">
        <v>26</v>
      </c>
      <c r="H369" t="s">
        <v>27</v>
      </c>
      <c r="I369" t="s">
        <v>28</v>
      </c>
      <c r="J369" t="s">
        <v>52</v>
      </c>
      <c r="K369" t="s">
        <v>55</v>
      </c>
      <c r="L369" s="3">
        <v>136</v>
      </c>
      <c r="M369" s="3">
        <v>4</v>
      </c>
      <c r="N369">
        <v>0</v>
      </c>
      <c r="O369">
        <v>7</v>
      </c>
      <c r="P369" t="s">
        <v>31</v>
      </c>
    </row>
    <row r="370" spans="1:16">
      <c r="A370" t="s">
        <v>489</v>
      </c>
      <c r="B370" s="6">
        <v>46148.331250000003</v>
      </c>
      <c r="C370" s="2">
        <v>46150.713641493057</v>
      </c>
      <c r="D370" t="s">
        <v>23</v>
      </c>
      <c r="E370" t="s">
        <v>50</v>
      </c>
      <c r="F370" t="s">
        <v>41</v>
      </c>
      <c r="G370" t="s">
        <v>26</v>
      </c>
      <c r="H370" t="s">
        <v>27</v>
      </c>
      <c r="I370" t="s">
        <v>36</v>
      </c>
      <c r="J370" t="s">
        <v>37</v>
      </c>
      <c r="K370" t="s">
        <v>93</v>
      </c>
      <c r="L370" s="3">
        <v>140</v>
      </c>
      <c r="M370" s="3">
        <v>3</v>
      </c>
      <c r="N370">
        <v>1</v>
      </c>
      <c r="O370">
        <v>8</v>
      </c>
      <c r="P370" t="s">
        <v>63</v>
      </c>
    </row>
    <row r="371" spans="1:16">
      <c r="A371" t="s">
        <v>490</v>
      </c>
      <c r="B371" s="6">
        <v>46130.220833333333</v>
      </c>
      <c r="C371" s="2">
        <v>46133.059841828705</v>
      </c>
      <c r="D371" t="s">
        <v>23</v>
      </c>
      <c r="E371" t="s">
        <v>33</v>
      </c>
      <c r="F371" t="s">
        <v>234</v>
      </c>
      <c r="G371" t="s">
        <v>54</v>
      </c>
      <c r="H371" t="s">
        <v>35</v>
      </c>
      <c r="I371" t="s">
        <v>48</v>
      </c>
      <c r="J371" t="s">
        <v>37</v>
      </c>
      <c r="K371" t="s">
        <v>30</v>
      </c>
      <c r="L371" s="3">
        <v>593</v>
      </c>
      <c r="M371" s="3">
        <v>3</v>
      </c>
      <c r="N371">
        <v>0</v>
      </c>
      <c r="O371">
        <v>4</v>
      </c>
      <c r="P371" t="s">
        <v>31</v>
      </c>
    </row>
    <row r="372" spans="1:16">
      <c r="A372" t="s">
        <v>491</v>
      </c>
      <c r="B372" s="6">
        <v>46096.634027777778</v>
      </c>
      <c r="C372" s="2">
        <v>46098.850977997688</v>
      </c>
      <c r="D372" t="s">
        <v>23</v>
      </c>
      <c r="E372" t="s">
        <v>33</v>
      </c>
      <c r="F372" t="s">
        <v>51</v>
      </c>
      <c r="G372" t="s">
        <v>75</v>
      </c>
      <c r="H372" t="s">
        <v>27</v>
      </c>
      <c r="I372" t="s">
        <v>48</v>
      </c>
      <c r="J372" t="s">
        <v>52</v>
      </c>
      <c r="K372" t="s">
        <v>30</v>
      </c>
      <c r="L372" s="3">
        <v>94</v>
      </c>
      <c r="M372" s="3">
        <v>3</v>
      </c>
      <c r="N372">
        <v>0</v>
      </c>
      <c r="O372">
        <v>10</v>
      </c>
      <c r="P372" t="s">
        <v>63</v>
      </c>
    </row>
    <row r="373" spans="1:16">
      <c r="A373" t="s">
        <v>492</v>
      </c>
      <c r="B373" s="6">
        <v>46118.259722222225</v>
      </c>
      <c r="C373" s="2">
        <v>46120.718699537036</v>
      </c>
      <c r="D373" t="s">
        <v>23</v>
      </c>
      <c r="E373" t="s">
        <v>50</v>
      </c>
      <c r="F373" t="s">
        <v>41</v>
      </c>
      <c r="G373" t="s">
        <v>54</v>
      </c>
      <c r="H373" t="s">
        <v>42</v>
      </c>
      <c r="I373" t="s">
        <v>36</v>
      </c>
      <c r="J373" t="s">
        <v>37</v>
      </c>
      <c r="K373" t="s">
        <v>30</v>
      </c>
      <c r="L373" s="3">
        <v>147</v>
      </c>
      <c r="M373" s="3">
        <v>4</v>
      </c>
      <c r="N373">
        <v>0</v>
      </c>
      <c r="O373">
        <v>3</v>
      </c>
      <c r="P373" t="s">
        <v>31</v>
      </c>
    </row>
    <row r="374" spans="1:16">
      <c r="A374" t="s">
        <v>493</v>
      </c>
      <c r="B374" s="6">
        <v>46042.484722222223</v>
      </c>
      <c r="C374" s="2">
        <v>46042.864116099539</v>
      </c>
      <c r="D374" t="s">
        <v>23</v>
      </c>
      <c r="E374" t="s">
        <v>40</v>
      </c>
      <c r="F374" t="s">
        <v>51</v>
      </c>
      <c r="G374" t="s">
        <v>75</v>
      </c>
      <c r="H374" t="s">
        <v>27</v>
      </c>
      <c r="I374" t="s">
        <v>48</v>
      </c>
      <c r="J374" t="s">
        <v>37</v>
      </c>
      <c r="K374" t="s">
        <v>68</v>
      </c>
      <c r="L374" s="3">
        <v>29</v>
      </c>
      <c r="M374" s="3">
        <v>4</v>
      </c>
      <c r="N374">
        <v>0</v>
      </c>
      <c r="O374">
        <v>9</v>
      </c>
      <c r="P374" t="s">
        <v>63</v>
      </c>
    </row>
    <row r="375" spans="1:16">
      <c r="A375" t="s">
        <v>494</v>
      </c>
      <c r="B375" s="6">
        <v>46261.410416666666</v>
      </c>
      <c r="C375" s="2">
        <v>46263.255931840278</v>
      </c>
      <c r="D375" t="s">
        <v>23</v>
      </c>
      <c r="E375" t="s">
        <v>33</v>
      </c>
      <c r="F375" t="s">
        <v>25</v>
      </c>
      <c r="G375" t="s">
        <v>26</v>
      </c>
      <c r="H375" t="s">
        <v>42</v>
      </c>
      <c r="I375" t="s">
        <v>36</v>
      </c>
      <c r="J375" t="s">
        <v>37</v>
      </c>
      <c r="K375" t="s">
        <v>30</v>
      </c>
      <c r="L375" s="3">
        <v>360</v>
      </c>
      <c r="M375" s="3">
        <v>3</v>
      </c>
      <c r="N375">
        <v>0</v>
      </c>
      <c r="O375">
        <v>4</v>
      </c>
      <c r="P375" t="s">
        <v>31</v>
      </c>
    </row>
    <row r="376" spans="1:16">
      <c r="A376" t="s">
        <v>495</v>
      </c>
      <c r="B376" s="6">
        <v>46128.286111111112</v>
      </c>
      <c r="C376" s="2">
        <v>46128.77095648148</v>
      </c>
      <c r="D376" t="s">
        <v>23</v>
      </c>
      <c r="E376" t="s">
        <v>40</v>
      </c>
      <c r="F376" t="s">
        <v>25</v>
      </c>
      <c r="G376" t="s">
        <v>75</v>
      </c>
      <c r="H376" t="s">
        <v>27</v>
      </c>
      <c r="I376" t="s">
        <v>36</v>
      </c>
      <c r="J376" t="s">
        <v>76</v>
      </c>
      <c r="K376" t="s">
        <v>55</v>
      </c>
      <c r="L376" s="3">
        <v>64</v>
      </c>
      <c r="M376" s="3">
        <v>4</v>
      </c>
      <c r="N376">
        <v>0</v>
      </c>
      <c r="O376">
        <v>7</v>
      </c>
      <c r="P376" t="s">
        <v>31</v>
      </c>
    </row>
    <row r="377" spans="1:16">
      <c r="A377" t="s">
        <v>496</v>
      </c>
      <c r="B377" s="6">
        <v>46078.181944444441</v>
      </c>
      <c r="C377" s="2">
        <v>46078.508287615739</v>
      </c>
      <c r="D377" t="s">
        <v>23</v>
      </c>
      <c r="E377" t="s">
        <v>40</v>
      </c>
      <c r="F377" t="s">
        <v>25</v>
      </c>
      <c r="G377" t="s">
        <v>34</v>
      </c>
      <c r="H377" t="s">
        <v>35</v>
      </c>
      <c r="I377" t="s">
        <v>48</v>
      </c>
      <c r="J377" t="s">
        <v>58</v>
      </c>
      <c r="K377" t="s">
        <v>101</v>
      </c>
      <c r="L377" s="3">
        <v>45</v>
      </c>
      <c r="M377" s="3">
        <v>4</v>
      </c>
      <c r="N377">
        <v>0</v>
      </c>
      <c r="O377">
        <v>4</v>
      </c>
      <c r="P377" t="s">
        <v>31</v>
      </c>
    </row>
    <row r="378" spans="1:16">
      <c r="A378" t="s">
        <v>497</v>
      </c>
      <c r="B378" s="6">
        <v>46194.927777777775</v>
      </c>
      <c r="C378" s="2">
        <v>46195.14531728009</v>
      </c>
      <c r="D378" t="s">
        <v>23</v>
      </c>
      <c r="E378" t="s">
        <v>24</v>
      </c>
      <c r="F378" t="s">
        <v>65</v>
      </c>
      <c r="G378" t="s">
        <v>75</v>
      </c>
      <c r="H378" t="s">
        <v>35</v>
      </c>
      <c r="I378" t="s">
        <v>43</v>
      </c>
      <c r="J378" t="s">
        <v>37</v>
      </c>
      <c r="K378" t="s">
        <v>38</v>
      </c>
      <c r="L378" s="3">
        <v>10</v>
      </c>
      <c r="M378" s="3">
        <v>4</v>
      </c>
      <c r="N378">
        <v>0</v>
      </c>
      <c r="O378">
        <v>3</v>
      </c>
      <c r="P378" t="s">
        <v>31</v>
      </c>
    </row>
    <row r="379" spans="1:16">
      <c r="A379" t="s">
        <v>498</v>
      </c>
      <c r="B379" s="6">
        <v>46048.109722222223</v>
      </c>
      <c r="C379" s="2">
        <v>46049.268669398145</v>
      </c>
      <c r="D379" t="s">
        <v>23</v>
      </c>
      <c r="E379" t="s">
        <v>50</v>
      </c>
      <c r="F379" t="s">
        <v>25</v>
      </c>
      <c r="G379" t="s">
        <v>75</v>
      </c>
      <c r="H379" t="s">
        <v>27</v>
      </c>
      <c r="I379" t="s">
        <v>48</v>
      </c>
      <c r="J379" t="s">
        <v>37</v>
      </c>
      <c r="K379" t="s">
        <v>62</v>
      </c>
      <c r="L379" s="3">
        <v>132</v>
      </c>
      <c r="M379" s="3">
        <v>3</v>
      </c>
      <c r="N379">
        <v>1</v>
      </c>
      <c r="O379">
        <v>7</v>
      </c>
      <c r="P379" t="s">
        <v>31</v>
      </c>
    </row>
    <row r="380" spans="1:16">
      <c r="A380" t="s">
        <v>499</v>
      </c>
      <c r="B380" s="6">
        <v>46138.588194444441</v>
      </c>
      <c r="C380" s="2">
        <v>46139.175274409725</v>
      </c>
      <c r="D380" t="s">
        <v>23</v>
      </c>
      <c r="E380" t="s">
        <v>33</v>
      </c>
      <c r="F380" t="s">
        <v>65</v>
      </c>
      <c r="G380" t="s">
        <v>34</v>
      </c>
      <c r="H380" t="s">
        <v>35</v>
      </c>
      <c r="I380" t="s">
        <v>48</v>
      </c>
      <c r="J380" t="s">
        <v>52</v>
      </c>
      <c r="L380" s="3">
        <v>267</v>
      </c>
      <c r="M380" s="3">
        <v>3</v>
      </c>
      <c r="N380">
        <v>0</v>
      </c>
      <c r="O380">
        <v>2</v>
      </c>
      <c r="P380" t="s">
        <v>31</v>
      </c>
    </row>
    <row r="381" spans="1:16">
      <c r="A381" t="s">
        <v>500</v>
      </c>
      <c r="B381" s="6">
        <v>46073.477083333331</v>
      </c>
      <c r="C381" s="2">
        <v>46074.105491122682</v>
      </c>
      <c r="D381" t="s">
        <v>23</v>
      </c>
      <c r="E381" t="s">
        <v>50</v>
      </c>
      <c r="F381" t="s">
        <v>51</v>
      </c>
      <c r="G381" t="s">
        <v>26</v>
      </c>
      <c r="H381" t="s">
        <v>35</v>
      </c>
      <c r="I381" t="s">
        <v>43</v>
      </c>
      <c r="J381" t="s">
        <v>37</v>
      </c>
      <c r="K381" t="s">
        <v>93</v>
      </c>
      <c r="L381" s="3">
        <v>234</v>
      </c>
      <c r="M381" s="3">
        <v>3</v>
      </c>
      <c r="N381">
        <v>0</v>
      </c>
      <c r="O381">
        <v>3</v>
      </c>
      <c r="P381" t="s">
        <v>31</v>
      </c>
    </row>
    <row r="382" spans="1:16">
      <c r="A382" t="s">
        <v>501</v>
      </c>
      <c r="B382" s="6" t="s">
        <v>502</v>
      </c>
      <c r="C382" s="2">
        <v>46043.60020523148</v>
      </c>
      <c r="D382" t="s">
        <v>23</v>
      </c>
      <c r="E382" t="s">
        <v>40</v>
      </c>
      <c r="F382" t="s">
        <v>41</v>
      </c>
      <c r="G382" t="s">
        <v>26</v>
      </c>
      <c r="H382" t="s">
        <v>27</v>
      </c>
      <c r="I382" t="s">
        <v>36</v>
      </c>
      <c r="J382" t="s">
        <v>37</v>
      </c>
      <c r="K382" t="s">
        <v>44</v>
      </c>
      <c r="L382" s="3">
        <v>109</v>
      </c>
      <c r="M382" s="3">
        <v>4</v>
      </c>
      <c r="N382">
        <v>0</v>
      </c>
      <c r="O382">
        <v>4</v>
      </c>
      <c r="P382" t="s">
        <v>31</v>
      </c>
    </row>
    <row r="383" spans="1:16">
      <c r="A383" t="s">
        <v>503</v>
      </c>
      <c r="B383" s="6">
        <v>46258.474999999999</v>
      </c>
      <c r="C383" s="2">
        <v>46260.067898715279</v>
      </c>
      <c r="D383" t="s">
        <v>23</v>
      </c>
      <c r="E383" t="s">
        <v>33</v>
      </c>
      <c r="F383" t="s">
        <v>65</v>
      </c>
      <c r="G383" t="s">
        <v>26</v>
      </c>
      <c r="H383" t="s">
        <v>35</v>
      </c>
      <c r="I383" t="s">
        <v>48</v>
      </c>
      <c r="J383" t="s">
        <v>37</v>
      </c>
      <c r="K383" t="s">
        <v>93</v>
      </c>
      <c r="L383" s="3">
        <v>304</v>
      </c>
      <c r="M383" s="3">
        <v>3</v>
      </c>
      <c r="N383">
        <v>1</v>
      </c>
      <c r="O383">
        <v>5</v>
      </c>
      <c r="P383" t="s">
        <v>31</v>
      </c>
    </row>
    <row r="384" spans="1:16">
      <c r="A384" t="s">
        <v>504</v>
      </c>
      <c r="B384" s="6">
        <v>46214.352083333331</v>
      </c>
      <c r="C384" s="2">
        <v>46215.640477499997</v>
      </c>
      <c r="D384" t="s">
        <v>23</v>
      </c>
      <c r="E384" t="s">
        <v>33</v>
      </c>
      <c r="F384" t="s">
        <v>25</v>
      </c>
      <c r="G384" t="s">
        <v>54</v>
      </c>
      <c r="H384" t="s">
        <v>27</v>
      </c>
      <c r="I384" t="s">
        <v>43</v>
      </c>
      <c r="J384" t="s">
        <v>52</v>
      </c>
      <c r="K384" t="s">
        <v>30</v>
      </c>
      <c r="L384" s="3">
        <v>140</v>
      </c>
      <c r="M384" s="3">
        <v>4</v>
      </c>
      <c r="N384">
        <v>0</v>
      </c>
      <c r="O384">
        <v>5</v>
      </c>
      <c r="P384" t="s">
        <v>31</v>
      </c>
    </row>
    <row r="385" spans="1:16">
      <c r="A385" t="s">
        <v>505</v>
      </c>
      <c r="B385" s="6">
        <v>46155.754166666666</v>
      </c>
      <c r="C385" s="2">
        <v>46157.039986597221</v>
      </c>
      <c r="D385" t="s">
        <v>23</v>
      </c>
      <c r="E385" t="s">
        <v>50</v>
      </c>
      <c r="F385" t="s">
        <v>25</v>
      </c>
      <c r="G385" t="s">
        <v>34</v>
      </c>
      <c r="H385" t="s">
        <v>42</v>
      </c>
      <c r="I385" t="s">
        <v>28</v>
      </c>
      <c r="J385" t="s">
        <v>52</v>
      </c>
      <c r="K385" t="s">
        <v>44</v>
      </c>
      <c r="L385" s="3">
        <v>142</v>
      </c>
      <c r="M385" s="3">
        <v>4</v>
      </c>
      <c r="N385">
        <v>0</v>
      </c>
      <c r="O385">
        <v>6</v>
      </c>
      <c r="P385" t="s">
        <v>31</v>
      </c>
    </row>
    <row r="386" spans="1:16">
      <c r="A386" t="s">
        <v>506</v>
      </c>
      <c r="B386" s="6">
        <v>46096.572916666664</v>
      </c>
      <c r="C386" s="2">
        <v>46096.841737870367</v>
      </c>
      <c r="D386" t="s">
        <v>23</v>
      </c>
      <c r="E386" t="s">
        <v>50</v>
      </c>
      <c r="F386" t="s">
        <v>41</v>
      </c>
      <c r="G386" t="s">
        <v>26</v>
      </c>
      <c r="H386" t="s">
        <v>35</v>
      </c>
      <c r="I386" t="s">
        <v>28</v>
      </c>
      <c r="J386" t="s">
        <v>29</v>
      </c>
      <c r="K386" t="s">
        <v>55</v>
      </c>
      <c r="L386" s="3">
        <v>36</v>
      </c>
      <c r="M386" s="3">
        <v>4</v>
      </c>
      <c r="N386">
        <v>0</v>
      </c>
      <c r="O386">
        <v>6</v>
      </c>
      <c r="P386" t="s">
        <v>31</v>
      </c>
    </row>
    <row r="387" spans="1:16">
      <c r="A387" t="s">
        <v>507</v>
      </c>
      <c r="B387" s="6">
        <v>46122.552083333336</v>
      </c>
      <c r="C387" s="2">
        <v>46122.740865763888</v>
      </c>
      <c r="D387" t="s">
        <v>23</v>
      </c>
      <c r="E387" t="s">
        <v>40</v>
      </c>
      <c r="F387" t="s">
        <v>51</v>
      </c>
      <c r="G387" t="s">
        <v>54</v>
      </c>
      <c r="H387" t="s">
        <v>35</v>
      </c>
      <c r="I387" t="s">
        <v>28</v>
      </c>
      <c r="J387" t="s">
        <v>29</v>
      </c>
      <c r="K387" t="s">
        <v>30</v>
      </c>
      <c r="L387" s="3">
        <v>29</v>
      </c>
      <c r="M387" s="3">
        <v>5</v>
      </c>
      <c r="N387">
        <v>0</v>
      </c>
      <c r="O387">
        <v>2</v>
      </c>
      <c r="P387" t="s">
        <v>31</v>
      </c>
    </row>
    <row r="388" spans="1:16">
      <c r="A388" t="s">
        <v>508</v>
      </c>
      <c r="B388" s="6">
        <v>46035.740277777775</v>
      </c>
      <c r="C388" s="2">
        <v>46036.548308090278</v>
      </c>
      <c r="D388" t="s">
        <v>23</v>
      </c>
      <c r="E388" t="s">
        <v>33</v>
      </c>
      <c r="F388" t="s">
        <v>41</v>
      </c>
      <c r="G388" t="s">
        <v>26</v>
      </c>
      <c r="H388" t="s">
        <v>42</v>
      </c>
      <c r="I388" t="s">
        <v>48</v>
      </c>
      <c r="J388" t="s">
        <v>52</v>
      </c>
      <c r="K388" t="s">
        <v>62</v>
      </c>
      <c r="L388" s="3">
        <v>193</v>
      </c>
      <c r="M388" s="3">
        <v>4</v>
      </c>
      <c r="N388">
        <v>0</v>
      </c>
      <c r="O388">
        <v>3</v>
      </c>
      <c r="P388" t="s">
        <v>31</v>
      </c>
    </row>
    <row r="389" spans="1:16">
      <c r="A389" t="s">
        <v>509</v>
      </c>
      <c r="B389" s="6">
        <v>46161.366666666669</v>
      </c>
      <c r="C389" s="2">
        <v>46161.604801851849</v>
      </c>
      <c r="D389" t="s">
        <v>23</v>
      </c>
      <c r="E389" t="s">
        <v>40</v>
      </c>
      <c r="F389" t="s">
        <v>51</v>
      </c>
      <c r="G389" t="s">
        <v>66</v>
      </c>
      <c r="H389" t="s">
        <v>27</v>
      </c>
      <c r="I389" t="s">
        <v>48</v>
      </c>
      <c r="J389" t="s">
        <v>29</v>
      </c>
      <c r="K389" t="s">
        <v>71</v>
      </c>
      <c r="L389" s="3">
        <v>42</v>
      </c>
      <c r="M389" s="3">
        <v>5</v>
      </c>
      <c r="N389">
        <v>0</v>
      </c>
      <c r="O389">
        <v>3</v>
      </c>
      <c r="P389" t="s">
        <v>31</v>
      </c>
    </row>
    <row r="390" spans="1:16">
      <c r="A390" t="s">
        <v>510</v>
      </c>
      <c r="B390" s="6">
        <v>46023.543055555558</v>
      </c>
      <c r="C390" s="2">
        <v>46023.647590381945</v>
      </c>
      <c r="D390" t="s">
        <v>23</v>
      </c>
      <c r="E390" t="s">
        <v>24</v>
      </c>
      <c r="F390" t="s">
        <v>51</v>
      </c>
      <c r="G390" t="s">
        <v>54</v>
      </c>
      <c r="H390" t="s">
        <v>42</v>
      </c>
      <c r="I390" t="s">
        <v>36</v>
      </c>
      <c r="J390" t="s">
        <v>52</v>
      </c>
      <c r="K390" t="s">
        <v>38</v>
      </c>
      <c r="L390" s="3">
        <v>8</v>
      </c>
      <c r="M390" s="3">
        <v>4</v>
      </c>
      <c r="N390">
        <v>1</v>
      </c>
      <c r="O390">
        <v>8</v>
      </c>
      <c r="P390" t="s">
        <v>31</v>
      </c>
    </row>
    <row r="391" spans="1:16">
      <c r="A391" t="s">
        <v>511</v>
      </c>
      <c r="B391" s="6">
        <v>46060.222916666666</v>
      </c>
      <c r="C391" s="2">
        <v>46060.623977743053</v>
      </c>
      <c r="D391" t="s">
        <v>23</v>
      </c>
      <c r="E391" t="s">
        <v>50</v>
      </c>
      <c r="F391" t="s">
        <v>65</v>
      </c>
      <c r="G391" t="s">
        <v>54</v>
      </c>
      <c r="H391" t="s">
        <v>42</v>
      </c>
      <c r="I391" t="s">
        <v>36</v>
      </c>
      <c r="J391" t="s">
        <v>29</v>
      </c>
      <c r="K391" t="s">
        <v>30</v>
      </c>
      <c r="L391" s="3">
        <v>108</v>
      </c>
      <c r="M391" s="3">
        <v>3</v>
      </c>
      <c r="N391">
        <v>2</v>
      </c>
      <c r="O391">
        <v>12</v>
      </c>
      <c r="P391" t="s">
        <v>31</v>
      </c>
    </row>
    <row r="392" spans="1:16">
      <c r="A392" t="s">
        <v>512</v>
      </c>
      <c r="B392" s="6">
        <v>46135.775000000001</v>
      </c>
      <c r="C392" s="2">
        <v>46135.968061932872</v>
      </c>
      <c r="D392" t="s">
        <v>23</v>
      </c>
      <c r="E392" t="s">
        <v>40</v>
      </c>
      <c r="F392" t="s">
        <v>65</v>
      </c>
      <c r="G392" t="s">
        <v>54</v>
      </c>
      <c r="H392" t="s">
        <v>35</v>
      </c>
      <c r="I392" t="s">
        <v>48</v>
      </c>
      <c r="J392" t="s">
        <v>52</v>
      </c>
      <c r="K392" t="s">
        <v>62</v>
      </c>
      <c r="L392" s="3">
        <v>52</v>
      </c>
      <c r="M392" s="3">
        <v>4</v>
      </c>
      <c r="N392">
        <v>1</v>
      </c>
      <c r="O392">
        <v>7</v>
      </c>
      <c r="P392" t="s">
        <v>31</v>
      </c>
    </row>
    <row r="393" spans="1:16">
      <c r="A393" t="s">
        <v>513</v>
      </c>
      <c r="B393" s="6">
        <v>46151.518055555556</v>
      </c>
      <c r="C393" s="2">
        <v>46151.834531736109</v>
      </c>
      <c r="D393" t="s">
        <v>23</v>
      </c>
      <c r="E393" t="s">
        <v>40</v>
      </c>
      <c r="F393" t="s">
        <v>51</v>
      </c>
      <c r="G393" t="s">
        <v>54</v>
      </c>
      <c r="H393" t="s">
        <v>35</v>
      </c>
      <c r="I393" t="s">
        <v>28</v>
      </c>
      <c r="J393" t="s">
        <v>52</v>
      </c>
      <c r="K393" t="s">
        <v>38</v>
      </c>
      <c r="L393" s="3">
        <v>40</v>
      </c>
      <c r="M393" s="3">
        <v>4</v>
      </c>
      <c r="N393">
        <v>0</v>
      </c>
      <c r="O393">
        <v>6</v>
      </c>
      <c r="P393" t="s">
        <v>63</v>
      </c>
    </row>
    <row r="394" spans="1:16">
      <c r="A394" t="s">
        <v>514</v>
      </c>
      <c r="B394" s="6">
        <v>46208.725694444445</v>
      </c>
      <c r="C394" s="2">
        <v>46209.428284525464</v>
      </c>
      <c r="D394" t="s">
        <v>23</v>
      </c>
      <c r="E394" t="s">
        <v>50</v>
      </c>
      <c r="F394" t="s">
        <v>25</v>
      </c>
      <c r="G394" t="s">
        <v>26</v>
      </c>
      <c r="H394" t="s">
        <v>35</v>
      </c>
      <c r="I394" t="s">
        <v>36</v>
      </c>
      <c r="J394" t="s">
        <v>52</v>
      </c>
      <c r="K394" t="s">
        <v>30</v>
      </c>
      <c r="L394" s="3">
        <v>157</v>
      </c>
      <c r="M394" s="3">
        <v>4</v>
      </c>
      <c r="N394">
        <v>0</v>
      </c>
      <c r="O394">
        <v>3</v>
      </c>
      <c r="P394" t="s">
        <v>31</v>
      </c>
    </row>
    <row r="395" spans="1:16">
      <c r="A395" t="s">
        <v>515</v>
      </c>
      <c r="B395" s="6">
        <v>46031.180555555555</v>
      </c>
      <c r="C395" s="2">
        <v>46034.637383090281</v>
      </c>
      <c r="D395" t="s">
        <v>23</v>
      </c>
      <c r="E395" t="s">
        <v>33</v>
      </c>
      <c r="F395" t="s">
        <v>51</v>
      </c>
      <c r="G395" t="s">
        <v>26</v>
      </c>
      <c r="H395" t="s">
        <v>35</v>
      </c>
      <c r="I395" t="s">
        <v>48</v>
      </c>
      <c r="J395" t="s">
        <v>58</v>
      </c>
      <c r="K395" t="s">
        <v>85</v>
      </c>
      <c r="L395" s="3">
        <v>166</v>
      </c>
      <c r="M395" s="3">
        <v>3</v>
      </c>
      <c r="N395">
        <v>0</v>
      </c>
      <c r="O395">
        <v>5</v>
      </c>
      <c r="P395" t="s">
        <v>31</v>
      </c>
    </row>
    <row r="396" spans="1:16">
      <c r="A396" t="s">
        <v>516</v>
      </c>
      <c r="B396" s="6">
        <v>46079.700694444444</v>
      </c>
      <c r="C396" s="2">
        <v>46086.765663078702</v>
      </c>
      <c r="D396" t="s">
        <v>23</v>
      </c>
      <c r="E396" t="s">
        <v>33</v>
      </c>
      <c r="F396" t="s">
        <v>41</v>
      </c>
      <c r="G396" t="s">
        <v>26</v>
      </c>
      <c r="H396" t="s">
        <v>35</v>
      </c>
      <c r="I396" t="s">
        <v>28</v>
      </c>
      <c r="J396" t="s">
        <v>37</v>
      </c>
      <c r="K396" t="s">
        <v>30</v>
      </c>
      <c r="L396" s="3">
        <v>68</v>
      </c>
      <c r="M396" s="3">
        <v>4</v>
      </c>
      <c r="N396">
        <v>0</v>
      </c>
      <c r="O396">
        <v>3</v>
      </c>
      <c r="P396" t="s">
        <v>31</v>
      </c>
    </row>
    <row r="397" spans="1:16">
      <c r="A397" t="s">
        <v>517</v>
      </c>
      <c r="B397" s="6">
        <v>46031.050694444442</v>
      </c>
      <c r="C397" s="2">
        <v>46034.208787256946</v>
      </c>
      <c r="D397" t="s">
        <v>23</v>
      </c>
      <c r="E397" t="s">
        <v>50</v>
      </c>
      <c r="F397" t="s">
        <v>25</v>
      </c>
      <c r="G397" t="s">
        <v>26</v>
      </c>
      <c r="H397" t="s">
        <v>42</v>
      </c>
      <c r="I397" t="s">
        <v>36</v>
      </c>
      <c r="J397" t="s">
        <v>58</v>
      </c>
      <c r="K397" t="s">
        <v>101</v>
      </c>
      <c r="L397" s="3">
        <v>112</v>
      </c>
      <c r="M397" s="3">
        <v>3</v>
      </c>
      <c r="N397">
        <v>0</v>
      </c>
      <c r="O397">
        <v>7</v>
      </c>
      <c r="P397" t="s">
        <v>63</v>
      </c>
    </row>
    <row r="398" spans="1:16">
      <c r="A398" t="s">
        <v>518</v>
      </c>
      <c r="B398" s="6">
        <v>46107.381249999999</v>
      </c>
      <c r="C398" s="2">
        <v>46108.514726550929</v>
      </c>
      <c r="D398" t="s">
        <v>23</v>
      </c>
      <c r="E398" t="s">
        <v>50</v>
      </c>
      <c r="F398" t="s">
        <v>25</v>
      </c>
      <c r="G398" t="s">
        <v>54</v>
      </c>
      <c r="H398" t="s">
        <v>42</v>
      </c>
      <c r="I398" t="s">
        <v>28</v>
      </c>
      <c r="J398" t="s">
        <v>29</v>
      </c>
      <c r="K398" t="s">
        <v>62</v>
      </c>
      <c r="L398" s="3">
        <v>89</v>
      </c>
      <c r="M398" s="3">
        <v>4</v>
      </c>
      <c r="N398">
        <v>0</v>
      </c>
      <c r="O398">
        <v>6</v>
      </c>
      <c r="P398" t="s">
        <v>31</v>
      </c>
    </row>
    <row r="399" spans="1:16">
      <c r="A399" t="s">
        <v>519</v>
      </c>
      <c r="B399" s="6">
        <v>46052.624305555553</v>
      </c>
      <c r="C399" s="2">
        <v>46055.292346805552</v>
      </c>
      <c r="D399" t="s">
        <v>23</v>
      </c>
      <c r="E399" t="s">
        <v>33</v>
      </c>
      <c r="F399" t="s">
        <v>25</v>
      </c>
      <c r="G399" t="s">
        <v>34</v>
      </c>
      <c r="H399" t="s">
        <v>42</v>
      </c>
      <c r="I399" t="s">
        <v>43</v>
      </c>
      <c r="J399" t="s">
        <v>37</v>
      </c>
      <c r="K399" t="s">
        <v>101</v>
      </c>
      <c r="L399" s="3">
        <v>264</v>
      </c>
      <c r="M399" s="3">
        <v>3</v>
      </c>
      <c r="N399">
        <v>0</v>
      </c>
      <c r="O399">
        <v>5</v>
      </c>
      <c r="P399" t="s">
        <v>31</v>
      </c>
    </row>
    <row r="400" spans="1:16">
      <c r="A400" t="s">
        <v>520</v>
      </c>
      <c r="B400" s="6">
        <v>46127.993750000001</v>
      </c>
      <c r="C400" s="2">
        <v>46128.824903287037</v>
      </c>
      <c r="D400" t="s">
        <v>23</v>
      </c>
      <c r="E400" t="s">
        <v>40</v>
      </c>
      <c r="F400" t="s">
        <v>51</v>
      </c>
      <c r="G400" t="s">
        <v>26</v>
      </c>
      <c r="H400" t="s">
        <v>42</v>
      </c>
      <c r="I400" t="s">
        <v>43</v>
      </c>
      <c r="J400" t="s">
        <v>67</v>
      </c>
      <c r="K400" t="s">
        <v>55</v>
      </c>
      <c r="L400" s="3">
        <v>16</v>
      </c>
      <c r="M400" s="3">
        <v>4</v>
      </c>
      <c r="N400">
        <v>0</v>
      </c>
      <c r="O400">
        <v>8</v>
      </c>
      <c r="P400" t="s">
        <v>63</v>
      </c>
    </row>
    <row r="401" spans="1:16">
      <c r="A401" t="s">
        <v>521</v>
      </c>
      <c r="B401" s="6" t="s">
        <v>522</v>
      </c>
      <c r="C401" s="2">
        <v>46122.4319884375</v>
      </c>
      <c r="D401" t="s">
        <v>23</v>
      </c>
      <c r="E401" t="s">
        <v>50</v>
      </c>
      <c r="F401" t="s">
        <v>65</v>
      </c>
      <c r="G401" t="s">
        <v>26</v>
      </c>
      <c r="H401" t="s">
        <v>27</v>
      </c>
      <c r="I401" t="s">
        <v>48</v>
      </c>
      <c r="J401" t="s">
        <v>76</v>
      </c>
      <c r="K401" t="s">
        <v>93</v>
      </c>
      <c r="L401" s="3">
        <v>162</v>
      </c>
      <c r="M401" s="3">
        <v>4</v>
      </c>
      <c r="N401">
        <v>0</v>
      </c>
      <c r="O401">
        <v>7</v>
      </c>
      <c r="P401" t="s">
        <v>31</v>
      </c>
    </row>
    <row r="402" spans="1:16">
      <c r="A402" t="s">
        <v>523</v>
      </c>
      <c r="B402" s="6">
        <v>46126.088888888888</v>
      </c>
      <c r="C402" s="2">
        <v>46127.130627071761</v>
      </c>
      <c r="D402" t="s">
        <v>23</v>
      </c>
      <c r="E402" t="s">
        <v>40</v>
      </c>
      <c r="F402" t="s">
        <v>51</v>
      </c>
      <c r="G402" t="s">
        <v>75</v>
      </c>
      <c r="H402" t="s">
        <v>27</v>
      </c>
      <c r="I402" t="s">
        <v>48</v>
      </c>
      <c r="J402" t="s">
        <v>37</v>
      </c>
      <c r="K402" t="s">
        <v>68</v>
      </c>
      <c r="L402" s="3">
        <v>67</v>
      </c>
      <c r="M402" s="3">
        <v>4</v>
      </c>
      <c r="N402">
        <v>1</v>
      </c>
      <c r="O402">
        <v>7</v>
      </c>
      <c r="P402" t="s">
        <v>31</v>
      </c>
    </row>
    <row r="403" spans="1:16">
      <c r="A403" t="s">
        <v>524</v>
      </c>
      <c r="B403" s="6">
        <v>46078.867361111108</v>
      </c>
      <c r="C403" s="2">
        <v>46080.227590162038</v>
      </c>
      <c r="D403" t="s">
        <v>23</v>
      </c>
      <c r="E403" t="s">
        <v>33</v>
      </c>
      <c r="F403" t="s">
        <v>65</v>
      </c>
      <c r="G403" t="s">
        <v>34</v>
      </c>
      <c r="H403" t="s">
        <v>27</v>
      </c>
      <c r="I403" t="s">
        <v>43</v>
      </c>
      <c r="J403" t="s">
        <v>37</v>
      </c>
      <c r="K403" t="s">
        <v>93</v>
      </c>
      <c r="L403" s="3">
        <v>261</v>
      </c>
      <c r="M403" s="3">
        <v>3</v>
      </c>
      <c r="N403">
        <v>0</v>
      </c>
      <c r="O403">
        <v>6</v>
      </c>
      <c r="P403" t="s">
        <v>31</v>
      </c>
    </row>
    <row r="404" spans="1:16">
      <c r="A404" t="s">
        <v>525</v>
      </c>
      <c r="B404" s="6">
        <v>46109.989583333336</v>
      </c>
      <c r="C404" s="2">
        <v>46111.369036215277</v>
      </c>
      <c r="D404" t="s">
        <v>23</v>
      </c>
      <c r="E404" t="s">
        <v>50</v>
      </c>
      <c r="F404" t="s">
        <v>51</v>
      </c>
      <c r="G404" t="s">
        <v>54</v>
      </c>
      <c r="H404" t="s">
        <v>35</v>
      </c>
      <c r="I404" t="s">
        <v>48</v>
      </c>
      <c r="J404" t="s">
        <v>58</v>
      </c>
      <c r="K404" t="s">
        <v>62</v>
      </c>
      <c r="L404" s="3">
        <v>55</v>
      </c>
      <c r="M404" s="3">
        <v>4</v>
      </c>
      <c r="N404">
        <v>1</v>
      </c>
      <c r="O404">
        <v>6</v>
      </c>
      <c r="P404" t="s">
        <v>31</v>
      </c>
    </row>
    <row r="405" spans="1:16">
      <c r="A405" t="s">
        <v>526</v>
      </c>
      <c r="B405" s="6">
        <v>46117.136805555558</v>
      </c>
      <c r="C405" s="2">
        <v>46118.147913113426</v>
      </c>
      <c r="D405" t="s">
        <v>23</v>
      </c>
      <c r="E405" t="s">
        <v>50</v>
      </c>
      <c r="F405" t="s">
        <v>25</v>
      </c>
      <c r="G405" t="s">
        <v>34</v>
      </c>
      <c r="H405" t="s">
        <v>42</v>
      </c>
      <c r="I405" t="s">
        <v>43</v>
      </c>
      <c r="J405" t="s">
        <v>52</v>
      </c>
      <c r="K405" t="s">
        <v>44</v>
      </c>
      <c r="L405" s="3">
        <v>214</v>
      </c>
      <c r="M405" s="3">
        <v>4</v>
      </c>
      <c r="N405">
        <v>0</v>
      </c>
      <c r="O405">
        <v>3</v>
      </c>
      <c r="P405" t="s">
        <v>31</v>
      </c>
    </row>
    <row r="406" spans="1:16">
      <c r="A406" t="s">
        <v>527</v>
      </c>
      <c r="B406" s="6">
        <v>46068.869444444441</v>
      </c>
      <c r="C406" s="2">
        <v>46070.563997418983</v>
      </c>
      <c r="D406" t="s">
        <v>23</v>
      </c>
      <c r="E406" t="s">
        <v>33</v>
      </c>
      <c r="F406" t="s">
        <v>25</v>
      </c>
      <c r="G406" t="s">
        <v>26</v>
      </c>
      <c r="H406" t="s">
        <v>35</v>
      </c>
      <c r="I406" t="s">
        <v>43</v>
      </c>
      <c r="J406" t="s">
        <v>37</v>
      </c>
      <c r="L406" s="3">
        <v>171</v>
      </c>
      <c r="M406" s="3">
        <v>4</v>
      </c>
      <c r="N406">
        <v>0</v>
      </c>
      <c r="O406">
        <v>5</v>
      </c>
      <c r="P406" t="s">
        <v>31</v>
      </c>
    </row>
    <row r="407" spans="1:16">
      <c r="A407" t="s">
        <v>528</v>
      </c>
      <c r="B407" s="6">
        <v>46261.618750000001</v>
      </c>
      <c r="C407" s="2">
        <v>46262.544761851852</v>
      </c>
      <c r="D407" t="s">
        <v>23</v>
      </c>
      <c r="E407" t="s">
        <v>40</v>
      </c>
      <c r="F407" t="s">
        <v>25</v>
      </c>
      <c r="G407" t="s">
        <v>26</v>
      </c>
      <c r="H407" t="s">
        <v>35</v>
      </c>
      <c r="I407" t="s">
        <v>48</v>
      </c>
      <c r="J407" t="s">
        <v>76</v>
      </c>
      <c r="K407" t="s">
        <v>38</v>
      </c>
      <c r="L407" s="3">
        <v>43</v>
      </c>
      <c r="M407" s="3">
        <v>4</v>
      </c>
      <c r="N407">
        <v>0</v>
      </c>
      <c r="O407">
        <v>2</v>
      </c>
      <c r="P407" t="s">
        <v>31</v>
      </c>
    </row>
    <row r="408" spans="1:16">
      <c r="A408" t="s">
        <v>529</v>
      </c>
      <c r="B408" s="6">
        <v>46046.440972222219</v>
      </c>
      <c r="C408" s="2">
        <v>46048.853260671298</v>
      </c>
      <c r="D408" t="s">
        <v>23</v>
      </c>
      <c r="E408" t="s">
        <v>33</v>
      </c>
      <c r="F408" t="s">
        <v>65</v>
      </c>
      <c r="G408" t="s">
        <v>66</v>
      </c>
      <c r="H408" t="s">
        <v>42</v>
      </c>
      <c r="I408" t="s">
        <v>28</v>
      </c>
      <c r="J408" t="s">
        <v>58</v>
      </c>
      <c r="K408" t="s">
        <v>62</v>
      </c>
      <c r="L408" s="3">
        <v>370</v>
      </c>
      <c r="M408" s="3">
        <v>3</v>
      </c>
      <c r="N408">
        <v>0</v>
      </c>
      <c r="O408">
        <v>5</v>
      </c>
      <c r="P408" t="s">
        <v>31</v>
      </c>
    </row>
    <row r="409" spans="1:16">
      <c r="A409" t="s">
        <v>530</v>
      </c>
      <c r="B409" s="6">
        <v>46162.089583333334</v>
      </c>
      <c r="C409" s="2">
        <v>46164.709459930556</v>
      </c>
      <c r="D409" t="s">
        <v>23</v>
      </c>
      <c r="E409" t="s">
        <v>50</v>
      </c>
      <c r="F409" t="s">
        <v>25</v>
      </c>
      <c r="G409" t="s">
        <v>54</v>
      </c>
      <c r="H409" t="s">
        <v>27</v>
      </c>
      <c r="I409" t="s">
        <v>36</v>
      </c>
      <c r="J409" t="s">
        <v>58</v>
      </c>
      <c r="K409" t="s">
        <v>44</v>
      </c>
      <c r="L409" s="3">
        <v>32</v>
      </c>
      <c r="M409" s="3">
        <v>4</v>
      </c>
      <c r="N409">
        <v>0</v>
      </c>
      <c r="O409">
        <v>3</v>
      </c>
      <c r="P409" t="s">
        <v>31</v>
      </c>
    </row>
    <row r="410" spans="1:16">
      <c r="A410" t="s">
        <v>531</v>
      </c>
      <c r="B410" s="6">
        <v>46163.082638888889</v>
      </c>
      <c r="C410" s="2">
        <v>46163.893192488424</v>
      </c>
      <c r="D410" t="s">
        <v>23</v>
      </c>
      <c r="E410" t="s">
        <v>50</v>
      </c>
      <c r="F410" t="s">
        <v>51</v>
      </c>
      <c r="G410" t="s">
        <v>54</v>
      </c>
      <c r="H410" t="s">
        <v>42</v>
      </c>
      <c r="I410" t="s">
        <v>28</v>
      </c>
      <c r="J410" t="s">
        <v>58</v>
      </c>
      <c r="K410" t="s">
        <v>93</v>
      </c>
      <c r="L410" s="3">
        <v>346</v>
      </c>
      <c r="M410" s="3">
        <v>3</v>
      </c>
      <c r="N410">
        <v>1</v>
      </c>
      <c r="O410">
        <v>8</v>
      </c>
      <c r="P410" t="s">
        <v>31</v>
      </c>
    </row>
    <row r="411" spans="1:16">
      <c r="A411" t="s">
        <v>532</v>
      </c>
      <c r="B411" s="6">
        <v>46092.137499999997</v>
      </c>
      <c r="C411" s="2">
        <v>46093.05921162037</v>
      </c>
      <c r="D411" t="s">
        <v>23</v>
      </c>
      <c r="E411" t="s">
        <v>33</v>
      </c>
      <c r="F411" t="s">
        <v>25</v>
      </c>
      <c r="G411" t="s">
        <v>54</v>
      </c>
      <c r="H411" t="s">
        <v>35</v>
      </c>
      <c r="I411" t="s">
        <v>36</v>
      </c>
      <c r="J411" t="s">
        <v>58</v>
      </c>
      <c r="K411" t="s">
        <v>101</v>
      </c>
      <c r="L411" s="3">
        <v>269</v>
      </c>
      <c r="M411" s="3">
        <v>4</v>
      </c>
      <c r="N411">
        <v>0</v>
      </c>
      <c r="O411">
        <v>6</v>
      </c>
      <c r="P411" t="s">
        <v>31</v>
      </c>
    </row>
    <row r="412" spans="1:16">
      <c r="A412" t="s">
        <v>533</v>
      </c>
      <c r="B412" s="6">
        <v>46090.684027777781</v>
      </c>
      <c r="C412" s="2">
        <v>46091.893167835646</v>
      </c>
      <c r="D412" t="s">
        <v>23</v>
      </c>
      <c r="E412" t="s">
        <v>50</v>
      </c>
      <c r="F412" t="s">
        <v>25</v>
      </c>
      <c r="G412" t="s">
        <v>26</v>
      </c>
      <c r="H412" t="s">
        <v>35</v>
      </c>
      <c r="I412" t="s">
        <v>28</v>
      </c>
      <c r="J412" t="s">
        <v>37</v>
      </c>
      <c r="K412" t="s">
        <v>85</v>
      </c>
      <c r="L412" s="3">
        <v>93</v>
      </c>
      <c r="M412" s="3">
        <v>4</v>
      </c>
      <c r="N412">
        <v>0</v>
      </c>
      <c r="O412">
        <v>2</v>
      </c>
      <c r="P412" t="s">
        <v>31</v>
      </c>
    </row>
    <row r="413" spans="1:16">
      <c r="A413" t="s">
        <v>534</v>
      </c>
      <c r="B413" s="6">
        <v>46103.711805555555</v>
      </c>
      <c r="C413" s="2">
        <v>46106.161245208335</v>
      </c>
      <c r="D413" t="s">
        <v>23</v>
      </c>
      <c r="E413" t="s">
        <v>33</v>
      </c>
      <c r="F413" t="s">
        <v>51</v>
      </c>
      <c r="G413" t="s">
        <v>26</v>
      </c>
      <c r="H413" t="s">
        <v>35</v>
      </c>
      <c r="I413" t="s">
        <v>43</v>
      </c>
      <c r="J413" t="s">
        <v>37</v>
      </c>
      <c r="K413" t="s">
        <v>38</v>
      </c>
      <c r="L413" s="3">
        <v>215</v>
      </c>
      <c r="M413" s="3">
        <v>3</v>
      </c>
      <c r="N413">
        <v>0</v>
      </c>
      <c r="O413">
        <v>5</v>
      </c>
      <c r="P413" t="s">
        <v>31</v>
      </c>
    </row>
    <row r="414" spans="1:16">
      <c r="A414" t="s">
        <v>535</v>
      </c>
      <c r="B414" s="6">
        <v>46044.924305555556</v>
      </c>
      <c r="C414" s="2">
        <v>46046.226289999999</v>
      </c>
      <c r="D414" t="s">
        <v>23</v>
      </c>
      <c r="E414" t="s">
        <v>33</v>
      </c>
      <c r="F414" t="s">
        <v>41</v>
      </c>
      <c r="G414" t="s">
        <v>34</v>
      </c>
      <c r="H414" t="s">
        <v>27</v>
      </c>
      <c r="I414" t="s">
        <v>28</v>
      </c>
      <c r="J414" t="s">
        <v>58</v>
      </c>
      <c r="K414" t="s">
        <v>71</v>
      </c>
      <c r="L414" s="3">
        <v>472</v>
      </c>
      <c r="M414" s="3">
        <v>3</v>
      </c>
      <c r="N414">
        <v>0</v>
      </c>
      <c r="O414">
        <v>7</v>
      </c>
      <c r="P414" t="s">
        <v>31</v>
      </c>
    </row>
    <row r="415" spans="1:16">
      <c r="A415" t="s">
        <v>536</v>
      </c>
      <c r="B415" s="6">
        <v>46068.836805555555</v>
      </c>
      <c r="C415" s="2">
        <v>46069.342811180555</v>
      </c>
      <c r="D415" t="s">
        <v>23</v>
      </c>
      <c r="E415" t="s">
        <v>50</v>
      </c>
      <c r="F415" t="s">
        <v>25</v>
      </c>
      <c r="G415" t="s">
        <v>54</v>
      </c>
      <c r="H415" t="s">
        <v>27</v>
      </c>
      <c r="I415" t="s">
        <v>48</v>
      </c>
      <c r="J415" t="s">
        <v>52</v>
      </c>
      <c r="K415" t="s">
        <v>30</v>
      </c>
      <c r="L415" s="3">
        <v>157</v>
      </c>
      <c r="M415" s="3"/>
      <c r="N415">
        <v>1</v>
      </c>
      <c r="O415">
        <v>11</v>
      </c>
      <c r="P415" t="s">
        <v>31</v>
      </c>
    </row>
    <row r="416" spans="1:16">
      <c r="A416" t="s">
        <v>537</v>
      </c>
      <c r="B416" s="6">
        <v>46183.229166666664</v>
      </c>
      <c r="C416" s="2">
        <v>46183.309539097223</v>
      </c>
      <c r="D416" t="s">
        <v>23</v>
      </c>
      <c r="E416" t="s">
        <v>40</v>
      </c>
      <c r="F416" t="s">
        <v>25</v>
      </c>
      <c r="G416" t="s">
        <v>34</v>
      </c>
      <c r="H416" t="s">
        <v>35</v>
      </c>
      <c r="I416" t="s">
        <v>43</v>
      </c>
      <c r="J416" t="s">
        <v>29</v>
      </c>
      <c r="K416" t="s">
        <v>30</v>
      </c>
      <c r="L416" s="3">
        <v>29</v>
      </c>
      <c r="M416" s="3">
        <v>4</v>
      </c>
      <c r="N416">
        <v>0</v>
      </c>
      <c r="O416">
        <v>7</v>
      </c>
      <c r="P416" t="s">
        <v>31</v>
      </c>
    </row>
    <row r="417" spans="1:16">
      <c r="A417" t="s">
        <v>538</v>
      </c>
      <c r="B417" s="6">
        <v>46220.663888888892</v>
      </c>
      <c r="C417" s="2">
        <v>46221.409435393522</v>
      </c>
      <c r="D417" t="s">
        <v>23</v>
      </c>
      <c r="E417" t="s">
        <v>276</v>
      </c>
      <c r="F417" t="s">
        <v>51</v>
      </c>
      <c r="G417" t="s">
        <v>26</v>
      </c>
      <c r="H417" t="s">
        <v>27</v>
      </c>
      <c r="I417" t="s">
        <v>43</v>
      </c>
      <c r="J417" t="s">
        <v>37</v>
      </c>
      <c r="K417" t="s">
        <v>30</v>
      </c>
      <c r="L417" s="3">
        <v>32</v>
      </c>
      <c r="M417" s="3">
        <v>4</v>
      </c>
      <c r="N417">
        <v>0</v>
      </c>
      <c r="O417">
        <v>10</v>
      </c>
      <c r="P417" t="s">
        <v>63</v>
      </c>
    </row>
    <row r="418" spans="1:16">
      <c r="A418" t="s">
        <v>539</v>
      </c>
      <c r="B418" s="6">
        <v>46033.998611111114</v>
      </c>
      <c r="C418" s="2">
        <v>46034.720303796297</v>
      </c>
      <c r="D418" t="s">
        <v>23</v>
      </c>
      <c r="E418" t="s">
        <v>50</v>
      </c>
      <c r="F418" t="s">
        <v>51</v>
      </c>
      <c r="G418" t="s">
        <v>75</v>
      </c>
      <c r="H418" t="s">
        <v>35</v>
      </c>
      <c r="I418" t="s">
        <v>48</v>
      </c>
      <c r="J418" t="s">
        <v>52</v>
      </c>
      <c r="K418" t="s">
        <v>68</v>
      </c>
      <c r="L418" s="3">
        <v>88</v>
      </c>
      <c r="M418" s="3">
        <v>4</v>
      </c>
      <c r="N418">
        <v>0</v>
      </c>
      <c r="O418">
        <v>5</v>
      </c>
      <c r="P418" t="s">
        <v>31</v>
      </c>
    </row>
    <row r="419" spans="1:16">
      <c r="A419" t="s">
        <v>540</v>
      </c>
      <c r="B419" s="6">
        <v>46242.112500000003</v>
      </c>
      <c r="C419" s="2">
        <v>46244.136426666664</v>
      </c>
      <c r="D419" t="s">
        <v>23</v>
      </c>
      <c r="E419" t="s">
        <v>50</v>
      </c>
      <c r="F419" t="s">
        <v>25</v>
      </c>
      <c r="G419" t="s">
        <v>26</v>
      </c>
      <c r="H419" t="s">
        <v>42</v>
      </c>
      <c r="I419" t="s">
        <v>28</v>
      </c>
      <c r="J419" t="s">
        <v>58</v>
      </c>
      <c r="K419" t="s">
        <v>71</v>
      </c>
      <c r="L419" s="3">
        <v>35</v>
      </c>
      <c r="M419" s="3">
        <v>4</v>
      </c>
      <c r="N419">
        <v>0</v>
      </c>
      <c r="O419">
        <v>5</v>
      </c>
      <c r="P419" t="s">
        <v>31</v>
      </c>
    </row>
    <row r="420" spans="1:16">
      <c r="A420" t="s">
        <v>541</v>
      </c>
      <c r="B420" s="6">
        <v>46094.550694444442</v>
      </c>
      <c r="C420" s="2">
        <v>46095.360115405092</v>
      </c>
      <c r="D420" t="s">
        <v>23</v>
      </c>
      <c r="E420" t="s">
        <v>50</v>
      </c>
      <c r="F420" t="s">
        <v>25</v>
      </c>
      <c r="G420" t="s">
        <v>66</v>
      </c>
      <c r="H420" t="s">
        <v>42</v>
      </c>
      <c r="I420" t="s">
        <v>48</v>
      </c>
      <c r="J420" t="s">
        <v>76</v>
      </c>
      <c r="K420" t="s">
        <v>38</v>
      </c>
      <c r="L420" s="3">
        <v>69</v>
      </c>
      <c r="M420" s="3">
        <v>4</v>
      </c>
      <c r="N420">
        <v>0</v>
      </c>
      <c r="O420">
        <v>3</v>
      </c>
      <c r="P420" t="s">
        <v>31</v>
      </c>
    </row>
    <row r="421" spans="1:16">
      <c r="A421" t="s">
        <v>542</v>
      </c>
      <c r="B421" s="6">
        <v>46190.311111111114</v>
      </c>
      <c r="C421" s="2">
        <v>46191.621344108797</v>
      </c>
      <c r="D421" t="s">
        <v>23</v>
      </c>
      <c r="E421" t="s">
        <v>40</v>
      </c>
      <c r="F421" t="s">
        <v>41</v>
      </c>
      <c r="G421" t="s">
        <v>75</v>
      </c>
      <c r="H421" t="s">
        <v>35</v>
      </c>
      <c r="I421" t="s">
        <v>36</v>
      </c>
      <c r="J421" t="s">
        <v>37</v>
      </c>
      <c r="K421" t="s">
        <v>85</v>
      </c>
      <c r="L421" s="3">
        <v>37</v>
      </c>
      <c r="M421" s="3">
        <v>4</v>
      </c>
      <c r="N421">
        <v>0</v>
      </c>
      <c r="O421">
        <v>3</v>
      </c>
      <c r="P421" t="s">
        <v>31</v>
      </c>
    </row>
    <row r="422" spans="1:16">
      <c r="A422" t="s">
        <v>543</v>
      </c>
      <c r="B422" s="6">
        <v>46040.625694444447</v>
      </c>
      <c r="C422" s="2">
        <v>46042.153139699076</v>
      </c>
      <c r="D422" t="s">
        <v>23</v>
      </c>
      <c r="E422" t="s">
        <v>33</v>
      </c>
      <c r="F422" t="s">
        <v>51</v>
      </c>
      <c r="G422" t="s">
        <v>66</v>
      </c>
      <c r="H422" t="s">
        <v>27</v>
      </c>
      <c r="I422" t="s">
        <v>28</v>
      </c>
      <c r="J422" t="s">
        <v>58</v>
      </c>
      <c r="K422" t="s">
        <v>44</v>
      </c>
      <c r="L422" s="3">
        <v>133</v>
      </c>
      <c r="M422" s="3">
        <v>3</v>
      </c>
      <c r="N422">
        <v>2</v>
      </c>
      <c r="O422">
        <v>9</v>
      </c>
      <c r="P422" t="s">
        <v>31</v>
      </c>
    </row>
    <row r="423" spans="1:16">
      <c r="A423" t="s">
        <v>544</v>
      </c>
      <c r="B423" s="6">
        <v>46255.080555555556</v>
      </c>
      <c r="C423" s="2">
        <v>46255.725398981478</v>
      </c>
      <c r="D423" t="s">
        <v>23</v>
      </c>
      <c r="E423" t="s">
        <v>50</v>
      </c>
      <c r="F423" t="s">
        <v>51</v>
      </c>
      <c r="G423" t="s">
        <v>66</v>
      </c>
      <c r="H423" t="s">
        <v>27</v>
      </c>
      <c r="I423" t="s">
        <v>28</v>
      </c>
      <c r="J423" t="s">
        <v>67</v>
      </c>
      <c r="K423" t="s">
        <v>71</v>
      </c>
      <c r="L423" s="3">
        <v>77</v>
      </c>
      <c r="M423" s="3">
        <v>4</v>
      </c>
      <c r="N423">
        <v>0</v>
      </c>
      <c r="O423">
        <v>7</v>
      </c>
      <c r="P423" t="s">
        <v>31</v>
      </c>
    </row>
    <row r="424" spans="1:16">
      <c r="A424" t="s">
        <v>545</v>
      </c>
      <c r="B424" s="6">
        <v>46118.240277777775</v>
      </c>
      <c r="C424" s="2">
        <v>46121.873341354163</v>
      </c>
      <c r="D424" t="s">
        <v>23</v>
      </c>
      <c r="E424" t="s">
        <v>33</v>
      </c>
      <c r="F424" t="s">
        <v>25</v>
      </c>
      <c r="G424" t="s">
        <v>75</v>
      </c>
      <c r="H424" t="s">
        <v>35</v>
      </c>
      <c r="I424" t="s">
        <v>43</v>
      </c>
      <c r="J424" t="s">
        <v>58</v>
      </c>
      <c r="K424" t="s">
        <v>55</v>
      </c>
      <c r="L424" s="3">
        <v>343</v>
      </c>
      <c r="M424" s="3">
        <v>2</v>
      </c>
      <c r="N424">
        <v>2</v>
      </c>
      <c r="O424">
        <v>9</v>
      </c>
      <c r="P424" t="s">
        <v>31</v>
      </c>
    </row>
    <row r="425" spans="1:16">
      <c r="A425" t="s">
        <v>546</v>
      </c>
      <c r="B425" s="6">
        <v>46257.176388888889</v>
      </c>
      <c r="C425" s="2">
        <v>46258.012203564816</v>
      </c>
      <c r="D425" t="s">
        <v>23</v>
      </c>
      <c r="E425" t="s">
        <v>40</v>
      </c>
      <c r="F425" t="s">
        <v>51</v>
      </c>
      <c r="G425" t="s">
        <v>26</v>
      </c>
      <c r="H425" t="s">
        <v>35</v>
      </c>
      <c r="I425" t="s">
        <v>36</v>
      </c>
      <c r="J425" t="s">
        <v>37</v>
      </c>
      <c r="K425" t="s">
        <v>38</v>
      </c>
      <c r="L425" s="3">
        <v>38</v>
      </c>
      <c r="M425" s="3">
        <v>5</v>
      </c>
      <c r="N425">
        <v>0</v>
      </c>
      <c r="O425">
        <v>2</v>
      </c>
      <c r="P425" t="s">
        <v>31</v>
      </c>
    </row>
    <row r="426" spans="1:16">
      <c r="A426" t="s">
        <v>547</v>
      </c>
      <c r="B426" s="6">
        <v>46183.673611111109</v>
      </c>
      <c r="C426" s="2">
        <v>46187.071788368055</v>
      </c>
      <c r="D426" t="s">
        <v>23</v>
      </c>
      <c r="E426" t="s">
        <v>50</v>
      </c>
      <c r="F426" t="s">
        <v>41</v>
      </c>
      <c r="G426" t="s">
        <v>66</v>
      </c>
      <c r="H426" t="s">
        <v>42</v>
      </c>
      <c r="I426" t="s">
        <v>43</v>
      </c>
      <c r="J426" t="s">
        <v>76</v>
      </c>
      <c r="L426" s="3">
        <v>65</v>
      </c>
      <c r="M426" s="3">
        <v>4</v>
      </c>
      <c r="N426">
        <v>0</v>
      </c>
      <c r="O426">
        <v>5</v>
      </c>
      <c r="P426" t="s">
        <v>31</v>
      </c>
    </row>
    <row r="427" spans="1:16">
      <c r="A427" t="s">
        <v>548</v>
      </c>
      <c r="B427" s="6">
        <v>46135.868750000001</v>
      </c>
      <c r="C427" s="2">
        <v>46136.17904447917</v>
      </c>
      <c r="D427" t="s">
        <v>23</v>
      </c>
      <c r="E427" t="s">
        <v>40</v>
      </c>
      <c r="F427" t="s">
        <v>65</v>
      </c>
      <c r="G427" t="s">
        <v>26</v>
      </c>
      <c r="H427" t="s">
        <v>35</v>
      </c>
      <c r="I427" t="s">
        <v>43</v>
      </c>
      <c r="J427" t="s">
        <v>29</v>
      </c>
      <c r="L427" s="3">
        <v>73</v>
      </c>
      <c r="M427" s="3">
        <v>4</v>
      </c>
      <c r="N427">
        <v>0</v>
      </c>
      <c r="O427">
        <v>3</v>
      </c>
      <c r="P427" t="s">
        <v>31</v>
      </c>
    </row>
    <row r="428" spans="1:16">
      <c r="A428" t="s">
        <v>549</v>
      </c>
      <c r="B428" s="6">
        <v>46173.973611111112</v>
      </c>
      <c r="C428" s="2">
        <v>46175.210112731482</v>
      </c>
      <c r="D428" t="s">
        <v>23</v>
      </c>
      <c r="E428" t="s">
        <v>33</v>
      </c>
      <c r="F428" t="s">
        <v>51</v>
      </c>
      <c r="G428" t="s">
        <v>26</v>
      </c>
      <c r="H428" t="s">
        <v>35</v>
      </c>
      <c r="I428" t="s">
        <v>48</v>
      </c>
      <c r="J428" t="s">
        <v>76</v>
      </c>
      <c r="K428" t="s">
        <v>71</v>
      </c>
      <c r="L428" s="3">
        <v>150</v>
      </c>
      <c r="M428" s="3">
        <v>4</v>
      </c>
      <c r="N428">
        <v>0</v>
      </c>
      <c r="O428">
        <v>3</v>
      </c>
      <c r="P428" t="s">
        <v>31</v>
      </c>
    </row>
    <row r="429" spans="1:16">
      <c r="A429" t="s">
        <v>550</v>
      </c>
      <c r="B429" s="6">
        <v>46210.756944444445</v>
      </c>
      <c r="C429" s="2">
        <v>46211.332566030091</v>
      </c>
      <c r="D429" t="s">
        <v>23</v>
      </c>
      <c r="E429" t="s">
        <v>33</v>
      </c>
      <c r="F429" t="s">
        <v>25</v>
      </c>
      <c r="G429" t="s">
        <v>26</v>
      </c>
      <c r="H429" t="s">
        <v>42</v>
      </c>
      <c r="I429" t="s">
        <v>43</v>
      </c>
      <c r="J429" t="s">
        <v>551</v>
      </c>
      <c r="K429" t="s">
        <v>68</v>
      </c>
      <c r="L429" s="3">
        <v>280</v>
      </c>
      <c r="M429" s="3">
        <v>3</v>
      </c>
      <c r="N429">
        <v>0</v>
      </c>
      <c r="O429">
        <v>2</v>
      </c>
      <c r="P429" t="s">
        <v>31</v>
      </c>
    </row>
    <row r="430" spans="1:16">
      <c r="A430" t="s">
        <v>552</v>
      </c>
      <c r="B430" s="6">
        <v>46165.695833333331</v>
      </c>
      <c r="C430" s="2">
        <v>46166.261606157408</v>
      </c>
      <c r="D430" t="s">
        <v>23</v>
      </c>
      <c r="E430" t="s">
        <v>50</v>
      </c>
      <c r="F430" t="s">
        <v>51</v>
      </c>
      <c r="G430" t="s">
        <v>66</v>
      </c>
      <c r="H430" t="s">
        <v>35</v>
      </c>
      <c r="I430" t="s">
        <v>48</v>
      </c>
      <c r="J430" t="s">
        <v>52</v>
      </c>
      <c r="K430" t="s">
        <v>55</v>
      </c>
      <c r="L430" s="3">
        <v>47</v>
      </c>
      <c r="M430" s="3">
        <v>4</v>
      </c>
      <c r="N430">
        <v>0</v>
      </c>
      <c r="O430">
        <v>3</v>
      </c>
      <c r="P430" t="s">
        <v>31</v>
      </c>
    </row>
    <row r="431" spans="1:16">
      <c r="A431" t="s">
        <v>553</v>
      </c>
      <c r="B431" s="6">
        <v>46208.426388888889</v>
      </c>
      <c r="C431" s="2">
        <v>46211.435260243059</v>
      </c>
      <c r="D431" t="s">
        <v>23</v>
      </c>
      <c r="E431" t="s">
        <v>33</v>
      </c>
      <c r="F431" t="s">
        <v>25</v>
      </c>
      <c r="G431" t="s">
        <v>26</v>
      </c>
      <c r="H431" t="s">
        <v>35</v>
      </c>
      <c r="I431" t="s">
        <v>48</v>
      </c>
      <c r="J431" t="s">
        <v>37</v>
      </c>
      <c r="K431" t="s">
        <v>38</v>
      </c>
      <c r="L431" s="3">
        <v>330</v>
      </c>
      <c r="M431" s="3">
        <v>3</v>
      </c>
      <c r="N431">
        <v>0</v>
      </c>
      <c r="O431">
        <v>6</v>
      </c>
      <c r="P431" t="s">
        <v>31</v>
      </c>
    </row>
    <row r="432" spans="1:16">
      <c r="A432" t="s">
        <v>554</v>
      </c>
      <c r="B432" s="6">
        <v>46070.589583333334</v>
      </c>
      <c r="C432" s="2">
        <v>46071.530382581019</v>
      </c>
      <c r="D432" t="s">
        <v>23</v>
      </c>
      <c r="E432" t="s">
        <v>33</v>
      </c>
      <c r="F432" t="s">
        <v>25</v>
      </c>
      <c r="G432" t="s">
        <v>54</v>
      </c>
      <c r="H432" t="s">
        <v>27</v>
      </c>
      <c r="I432" t="s">
        <v>36</v>
      </c>
      <c r="J432" t="s">
        <v>37</v>
      </c>
      <c r="K432" t="s">
        <v>101</v>
      </c>
      <c r="L432" s="3">
        <v>143</v>
      </c>
      <c r="M432" s="3">
        <v>3</v>
      </c>
      <c r="N432">
        <v>1</v>
      </c>
      <c r="O432">
        <v>10</v>
      </c>
      <c r="P432" t="s">
        <v>31</v>
      </c>
    </row>
    <row r="433" spans="1:16">
      <c r="A433" t="s">
        <v>555</v>
      </c>
      <c r="B433" s="6">
        <v>46176.734722222223</v>
      </c>
      <c r="C433" s="2">
        <v>46177.665950057868</v>
      </c>
      <c r="D433" t="s">
        <v>23</v>
      </c>
      <c r="E433" t="s">
        <v>50</v>
      </c>
      <c r="F433" t="s">
        <v>51</v>
      </c>
      <c r="G433" t="s">
        <v>26</v>
      </c>
      <c r="H433" t="s">
        <v>42</v>
      </c>
      <c r="I433" t="s">
        <v>36</v>
      </c>
      <c r="J433" t="s">
        <v>37</v>
      </c>
      <c r="K433" t="s">
        <v>85</v>
      </c>
      <c r="L433" s="3">
        <v>58</v>
      </c>
      <c r="M433" s="3">
        <v>4</v>
      </c>
      <c r="N433">
        <v>0</v>
      </c>
      <c r="O433">
        <v>3</v>
      </c>
      <c r="P433" t="s">
        <v>31</v>
      </c>
    </row>
    <row r="434" spans="1:16">
      <c r="A434" t="s">
        <v>556</v>
      </c>
      <c r="B434" s="6">
        <v>46177.486805555556</v>
      </c>
      <c r="C434" s="2">
        <v>46179.032200821763</v>
      </c>
      <c r="D434" t="s">
        <v>23</v>
      </c>
      <c r="E434" t="s">
        <v>33</v>
      </c>
      <c r="F434" t="s">
        <v>25</v>
      </c>
      <c r="G434" t="s">
        <v>66</v>
      </c>
      <c r="H434" t="s">
        <v>35</v>
      </c>
      <c r="I434" t="s">
        <v>28</v>
      </c>
      <c r="J434" t="s">
        <v>251</v>
      </c>
      <c r="K434" t="s">
        <v>85</v>
      </c>
      <c r="L434" s="3">
        <v>201</v>
      </c>
      <c r="M434" s="3">
        <v>3</v>
      </c>
      <c r="N434">
        <v>0</v>
      </c>
      <c r="O434">
        <v>7</v>
      </c>
      <c r="P434" t="s">
        <v>31</v>
      </c>
    </row>
    <row r="435" spans="1:16">
      <c r="A435" t="s">
        <v>557</v>
      </c>
      <c r="B435" s="6">
        <v>46073.627083333333</v>
      </c>
      <c r="C435" s="2">
        <v>46074.947384606479</v>
      </c>
      <c r="D435" t="s">
        <v>23</v>
      </c>
      <c r="E435" t="s">
        <v>50</v>
      </c>
      <c r="F435" t="s">
        <v>51</v>
      </c>
      <c r="G435" t="s">
        <v>26</v>
      </c>
      <c r="H435" t="s">
        <v>42</v>
      </c>
      <c r="I435" t="s">
        <v>28</v>
      </c>
      <c r="J435" t="s">
        <v>37</v>
      </c>
      <c r="K435" t="s">
        <v>30</v>
      </c>
      <c r="L435" s="3">
        <v>47</v>
      </c>
      <c r="M435" s="3">
        <v>4</v>
      </c>
      <c r="N435">
        <v>1</v>
      </c>
      <c r="O435">
        <v>7</v>
      </c>
      <c r="P435" t="s">
        <v>31</v>
      </c>
    </row>
    <row r="436" spans="1:16">
      <c r="A436" t="s">
        <v>558</v>
      </c>
      <c r="B436" s="6">
        <v>46163.018750000003</v>
      </c>
      <c r="C436" s="2">
        <v>46163.325430567129</v>
      </c>
      <c r="D436" t="s">
        <v>23</v>
      </c>
      <c r="F436" t="s">
        <v>51</v>
      </c>
      <c r="G436" t="s">
        <v>66</v>
      </c>
      <c r="H436" t="s">
        <v>42</v>
      </c>
      <c r="I436" t="s">
        <v>28</v>
      </c>
      <c r="J436" t="s">
        <v>37</v>
      </c>
      <c r="K436" t="s">
        <v>55</v>
      </c>
      <c r="L436" s="3">
        <v>47</v>
      </c>
      <c r="M436" s="3">
        <v>4</v>
      </c>
      <c r="N436">
        <v>0</v>
      </c>
      <c r="O436">
        <v>7</v>
      </c>
      <c r="P436" t="s">
        <v>31</v>
      </c>
    </row>
    <row r="437" spans="1:16">
      <c r="A437" t="s">
        <v>559</v>
      </c>
      <c r="B437" s="6">
        <v>46124.850694444445</v>
      </c>
      <c r="C437" s="2">
        <v>46128.811341099536</v>
      </c>
      <c r="D437" t="s">
        <v>23</v>
      </c>
      <c r="E437" t="s">
        <v>33</v>
      </c>
      <c r="F437" t="s">
        <v>25</v>
      </c>
      <c r="G437" t="s">
        <v>66</v>
      </c>
      <c r="H437" t="s">
        <v>42</v>
      </c>
      <c r="I437" t="s">
        <v>36</v>
      </c>
      <c r="J437" t="s">
        <v>37</v>
      </c>
      <c r="K437" t="s">
        <v>30</v>
      </c>
      <c r="L437" s="3">
        <v>151</v>
      </c>
      <c r="M437" s="3">
        <v>4</v>
      </c>
      <c r="N437">
        <v>0</v>
      </c>
      <c r="O437">
        <v>4</v>
      </c>
      <c r="P437" t="s">
        <v>31</v>
      </c>
    </row>
    <row r="438" spans="1:16">
      <c r="A438" t="s">
        <v>560</v>
      </c>
      <c r="B438" s="6">
        <v>46040.013194444444</v>
      </c>
      <c r="C438" s="2">
        <v>46040.680624525463</v>
      </c>
      <c r="D438" t="s">
        <v>23</v>
      </c>
      <c r="E438" t="s">
        <v>40</v>
      </c>
      <c r="F438" t="s">
        <v>25</v>
      </c>
      <c r="G438" t="s">
        <v>34</v>
      </c>
      <c r="H438" t="s">
        <v>42</v>
      </c>
      <c r="I438" t="s">
        <v>48</v>
      </c>
      <c r="J438" t="s">
        <v>37</v>
      </c>
      <c r="K438" t="s">
        <v>71</v>
      </c>
      <c r="L438" s="3">
        <v>73</v>
      </c>
      <c r="M438" s="3">
        <v>4</v>
      </c>
      <c r="N438">
        <v>0</v>
      </c>
      <c r="O438">
        <v>8</v>
      </c>
      <c r="P438" t="s">
        <v>63</v>
      </c>
    </row>
    <row r="439" spans="1:16">
      <c r="A439" t="s">
        <v>561</v>
      </c>
      <c r="B439" s="6">
        <v>46167.718055555553</v>
      </c>
      <c r="C439" s="2">
        <v>46169.311722997685</v>
      </c>
      <c r="D439" t="s">
        <v>23</v>
      </c>
      <c r="E439" t="s">
        <v>33</v>
      </c>
      <c r="F439" t="s">
        <v>65</v>
      </c>
      <c r="G439" t="s">
        <v>54</v>
      </c>
      <c r="H439" t="s">
        <v>27</v>
      </c>
      <c r="I439" t="s">
        <v>28</v>
      </c>
      <c r="J439" t="s">
        <v>52</v>
      </c>
      <c r="K439" t="s">
        <v>30</v>
      </c>
      <c r="L439" s="3">
        <v>247</v>
      </c>
      <c r="M439" s="3">
        <v>3</v>
      </c>
      <c r="N439">
        <v>0</v>
      </c>
      <c r="O439">
        <v>3</v>
      </c>
      <c r="P439" t="s">
        <v>31</v>
      </c>
    </row>
    <row r="440" spans="1:16">
      <c r="A440" t="s">
        <v>562</v>
      </c>
      <c r="B440" s="6">
        <v>46062.886111111111</v>
      </c>
      <c r="C440" s="2">
        <v>46064.377654027776</v>
      </c>
      <c r="D440" t="s">
        <v>23</v>
      </c>
      <c r="E440" t="s">
        <v>33</v>
      </c>
      <c r="F440" t="s">
        <v>65</v>
      </c>
      <c r="G440" t="s">
        <v>75</v>
      </c>
      <c r="H440" t="s">
        <v>42</v>
      </c>
      <c r="I440" t="s">
        <v>28</v>
      </c>
      <c r="J440" t="s">
        <v>29</v>
      </c>
      <c r="K440" t="s">
        <v>38</v>
      </c>
      <c r="L440" s="3">
        <v>216</v>
      </c>
      <c r="M440" s="3">
        <v>4</v>
      </c>
      <c r="N440">
        <v>0</v>
      </c>
      <c r="O440">
        <v>7</v>
      </c>
      <c r="P440" t="s">
        <v>31</v>
      </c>
    </row>
    <row r="441" spans="1:16">
      <c r="A441" t="s">
        <v>563</v>
      </c>
      <c r="B441" s="6">
        <v>46140.530555555553</v>
      </c>
      <c r="C441" s="2">
        <v>46141.264946053241</v>
      </c>
      <c r="D441" t="s">
        <v>23</v>
      </c>
      <c r="E441" t="s">
        <v>40</v>
      </c>
      <c r="F441" t="s">
        <v>65</v>
      </c>
      <c r="G441" t="s">
        <v>34</v>
      </c>
      <c r="H441" t="s">
        <v>35</v>
      </c>
      <c r="I441" t="s">
        <v>28</v>
      </c>
      <c r="J441" t="s">
        <v>76</v>
      </c>
      <c r="K441" t="s">
        <v>30</v>
      </c>
      <c r="L441" s="3">
        <v>49</v>
      </c>
      <c r="M441" s="3">
        <v>4</v>
      </c>
      <c r="N441">
        <v>0</v>
      </c>
      <c r="O441">
        <v>3</v>
      </c>
      <c r="P441" t="s">
        <v>31</v>
      </c>
    </row>
    <row r="442" spans="1:16">
      <c r="A442" t="s">
        <v>564</v>
      </c>
      <c r="B442" s="6">
        <v>46140.563888888886</v>
      </c>
      <c r="C442" s="2">
        <v>46141.321727708331</v>
      </c>
      <c r="D442" t="s">
        <v>23</v>
      </c>
      <c r="E442" t="s">
        <v>33</v>
      </c>
      <c r="F442" t="s">
        <v>51</v>
      </c>
      <c r="G442" t="s">
        <v>34</v>
      </c>
      <c r="H442" t="s">
        <v>42</v>
      </c>
      <c r="I442" t="s">
        <v>43</v>
      </c>
      <c r="J442" t="s">
        <v>52</v>
      </c>
      <c r="K442" t="s">
        <v>101</v>
      </c>
      <c r="L442" s="3">
        <v>47</v>
      </c>
      <c r="M442" s="3">
        <v>4</v>
      </c>
      <c r="N442">
        <v>1</v>
      </c>
      <c r="O442">
        <v>8</v>
      </c>
      <c r="P442" t="s">
        <v>31</v>
      </c>
    </row>
    <row r="443" spans="1:16">
      <c r="A443" t="s">
        <v>565</v>
      </c>
      <c r="B443" s="6">
        <v>46197.00277777778</v>
      </c>
      <c r="C443" s="2">
        <v>46198.172292523152</v>
      </c>
      <c r="D443" t="s">
        <v>23</v>
      </c>
      <c r="E443" t="s">
        <v>50</v>
      </c>
      <c r="F443" t="s">
        <v>25</v>
      </c>
      <c r="G443" t="s">
        <v>26</v>
      </c>
      <c r="H443" t="s">
        <v>27</v>
      </c>
      <c r="I443" t="s">
        <v>28</v>
      </c>
      <c r="J443" t="s">
        <v>58</v>
      </c>
      <c r="K443" t="s">
        <v>55</v>
      </c>
      <c r="L443" s="3">
        <v>33</v>
      </c>
      <c r="M443" s="3">
        <v>4</v>
      </c>
      <c r="N443">
        <v>0</v>
      </c>
      <c r="O443">
        <v>6</v>
      </c>
      <c r="P443" t="s">
        <v>31</v>
      </c>
    </row>
    <row r="444" spans="1:16">
      <c r="A444" t="s">
        <v>566</v>
      </c>
      <c r="B444" s="6">
        <v>46163.748611111114</v>
      </c>
      <c r="C444" s="2">
        <v>46164.87806239583</v>
      </c>
      <c r="D444" t="s">
        <v>23</v>
      </c>
      <c r="E444" t="s">
        <v>40</v>
      </c>
      <c r="F444" t="s">
        <v>51</v>
      </c>
      <c r="G444" t="s">
        <v>54</v>
      </c>
      <c r="H444" t="s">
        <v>35</v>
      </c>
      <c r="I444" t="s">
        <v>48</v>
      </c>
      <c r="J444" t="s">
        <v>37</v>
      </c>
      <c r="K444" t="s">
        <v>62</v>
      </c>
      <c r="L444" s="3">
        <v>14</v>
      </c>
      <c r="M444" s="3">
        <v>4</v>
      </c>
      <c r="N444">
        <v>0</v>
      </c>
      <c r="O444">
        <v>2</v>
      </c>
      <c r="P444" t="s">
        <v>31</v>
      </c>
    </row>
    <row r="445" spans="1:16">
      <c r="A445" t="s">
        <v>567</v>
      </c>
      <c r="B445" s="6">
        <v>46069.584722222222</v>
      </c>
      <c r="C445" s="2">
        <v>46074.777427939815</v>
      </c>
      <c r="D445" t="s">
        <v>23</v>
      </c>
      <c r="E445" t="s">
        <v>33</v>
      </c>
      <c r="F445" t="s">
        <v>51</v>
      </c>
      <c r="G445" t="s">
        <v>34</v>
      </c>
      <c r="H445" t="s">
        <v>35</v>
      </c>
      <c r="I445" t="s">
        <v>36</v>
      </c>
      <c r="J445" t="s">
        <v>37</v>
      </c>
      <c r="K445" t="s">
        <v>71</v>
      </c>
      <c r="L445" s="3">
        <v>163</v>
      </c>
      <c r="M445" s="3">
        <v>4</v>
      </c>
      <c r="N445">
        <v>0</v>
      </c>
      <c r="O445">
        <v>4</v>
      </c>
      <c r="P445" t="s">
        <v>31</v>
      </c>
    </row>
    <row r="446" spans="1:16">
      <c r="A446" t="s">
        <v>568</v>
      </c>
      <c r="B446" s="6">
        <v>46040.008333333331</v>
      </c>
      <c r="C446" s="2">
        <v>46041.877245914351</v>
      </c>
      <c r="D446" t="s">
        <v>23</v>
      </c>
      <c r="E446" t="s">
        <v>40</v>
      </c>
      <c r="F446" t="s">
        <v>65</v>
      </c>
      <c r="G446" t="s">
        <v>26</v>
      </c>
      <c r="H446" t="s">
        <v>35</v>
      </c>
      <c r="I446" t="s">
        <v>43</v>
      </c>
      <c r="J446" t="s">
        <v>37</v>
      </c>
      <c r="K446" t="s">
        <v>71</v>
      </c>
      <c r="L446" s="3">
        <v>31</v>
      </c>
      <c r="M446" s="3">
        <v>4</v>
      </c>
      <c r="N446">
        <v>0</v>
      </c>
      <c r="O446">
        <v>10</v>
      </c>
      <c r="P446" t="s">
        <v>63</v>
      </c>
    </row>
    <row r="447" spans="1:16">
      <c r="A447" t="s">
        <v>569</v>
      </c>
      <c r="B447" s="6" t="s">
        <v>570</v>
      </c>
      <c r="C447" s="2">
        <v>46053.907071296293</v>
      </c>
      <c r="D447" t="s">
        <v>23</v>
      </c>
      <c r="E447" t="s">
        <v>40</v>
      </c>
      <c r="F447" t="s">
        <v>51</v>
      </c>
      <c r="G447" t="s">
        <v>26</v>
      </c>
      <c r="H447" t="s">
        <v>27</v>
      </c>
      <c r="I447" t="s">
        <v>48</v>
      </c>
      <c r="J447" t="s">
        <v>67</v>
      </c>
      <c r="K447" t="s">
        <v>30</v>
      </c>
      <c r="L447" s="3">
        <v>103</v>
      </c>
      <c r="M447" s="3"/>
      <c r="N447">
        <v>0</v>
      </c>
      <c r="O447">
        <v>6</v>
      </c>
      <c r="P447" t="s">
        <v>31</v>
      </c>
    </row>
    <row r="448" spans="1:16">
      <c r="A448" t="s">
        <v>571</v>
      </c>
      <c r="B448" s="6">
        <v>46152.671527777777</v>
      </c>
      <c r="C448" s="2">
        <v>46152.865729745368</v>
      </c>
      <c r="D448" t="s">
        <v>23</v>
      </c>
      <c r="E448" t="s">
        <v>40</v>
      </c>
      <c r="F448" t="s">
        <v>41</v>
      </c>
      <c r="G448" t="s">
        <v>54</v>
      </c>
      <c r="H448" t="s">
        <v>35</v>
      </c>
      <c r="I448" t="s">
        <v>28</v>
      </c>
      <c r="J448" t="s">
        <v>29</v>
      </c>
      <c r="K448" t="s">
        <v>68</v>
      </c>
      <c r="L448" s="3">
        <v>21</v>
      </c>
      <c r="M448" s="3">
        <v>5</v>
      </c>
      <c r="N448">
        <v>0</v>
      </c>
      <c r="O448">
        <v>3</v>
      </c>
      <c r="P448" t="s">
        <v>31</v>
      </c>
    </row>
    <row r="449" spans="1:16">
      <c r="A449" t="s">
        <v>572</v>
      </c>
      <c r="B449" s="6">
        <v>46119.555555555555</v>
      </c>
      <c r="C449" s="2">
        <v>46119.880127847224</v>
      </c>
      <c r="D449" t="s">
        <v>23</v>
      </c>
      <c r="E449" t="s">
        <v>40</v>
      </c>
      <c r="F449" t="s">
        <v>41</v>
      </c>
      <c r="G449" t="s">
        <v>54</v>
      </c>
      <c r="H449" t="s">
        <v>27</v>
      </c>
      <c r="I449" t="s">
        <v>28</v>
      </c>
      <c r="J449" t="s">
        <v>52</v>
      </c>
      <c r="K449" t="s">
        <v>55</v>
      </c>
      <c r="L449" s="3">
        <v>26</v>
      </c>
      <c r="M449" s="3">
        <v>4</v>
      </c>
      <c r="N449">
        <v>0</v>
      </c>
      <c r="O449">
        <v>6</v>
      </c>
      <c r="P449" t="s">
        <v>31</v>
      </c>
    </row>
    <row r="450" spans="1:16">
      <c r="A450" t="s">
        <v>573</v>
      </c>
      <c r="B450" s="6">
        <v>46121.240277777775</v>
      </c>
      <c r="C450" s="2">
        <v>46121.552258541669</v>
      </c>
      <c r="D450" t="s">
        <v>23</v>
      </c>
      <c r="E450" t="s">
        <v>40</v>
      </c>
      <c r="F450" t="s">
        <v>25</v>
      </c>
      <c r="G450" t="s">
        <v>34</v>
      </c>
      <c r="H450" t="s">
        <v>35</v>
      </c>
      <c r="I450" t="s">
        <v>28</v>
      </c>
      <c r="J450" t="s">
        <v>52</v>
      </c>
      <c r="K450" t="s">
        <v>55</v>
      </c>
      <c r="L450" s="3">
        <v>82</v>
      </c>
      <c r="M450" s="3">
        <v>4</v>
      </c>
      <c r="N450">
        <v>2</v>
      </c>
      <c r="O450">
        <v>9</v>
      </c>
      <c r="P450" t="s">
        <v>31</v>
      </c>
    </row>
    <row r="451" spans="1:16">
      <c r="A451" t="s">
        <v>574</v>
      </c>
      <c r="B451" s="6">
        <v>46104.995138888888</v>
      </c>
      <c r="C451" s="2" t="s">
        <v>575</v>
      </c>
      <c r="D451" t="s">
        <v>23</v>
      </c>
      <c r="E451" t="s">
        <v>33</v>
      </c>
      <c r="F451" t="s">
        <v>65</v>
      </c>
      <c r="G451" t="s">
        <v>26</v>
      </c>
      <c r="H451" t="s">
        <v>27</v>
      </c>
      <c r="I451" t="s">
        <v>48</v>
      </c>
      <c r="J451" t="s">
        <v>29</v>
      </c>
      <c r="K451" t="s">
        <v>62</v>
      </c>
      <c r="L451" s="3">
        <v>116</v>
      </c>
      <c r="M451" s="3">
        <v>4</v>
      </c>
      <c r="N451">
        <v>1</v>
      </c>
      <c r="O451">
        <v>5</v>
      </c>
      <c r="P451" t="s">
        <v>31</v>
      </c>
    </row>
    <row r="452" spans="1:16">
      <c r="A452" t="s">
        <v>576</v>
      </c>
      <c r="B452" s="6">
        <v>46033.222916666666</v>
      </c>
      <c r="C452" s="2">
        <v>46034.570088541666</v>
      </c>
      <c r="D452" t="s">
        <v>23</v>
      </c>
      <c r="E452" t="s">
        <v>50</v>
      </c>
      <c r="F452" t="s">
        <v>41</v>
      </c>
      <c r="G452" t="s">
        <v>26</v>
      </c>
      <c r="H452" t="s">
        <v>35</v>
      </c>
      <c r="I452" t="s">
        <v>28</v>
      </c>
      <c r="J452" t="s">
        <v>37</v>
      </c>
      <c r="K452" t="s">
        <v>85</v>
      </c>
      <c r="L452" s="3">
        <v>50</v>
      </c>
      <c r="M452" s="3">
        <v>4</v>
      </c>
      <c r="N452">
        <v>2</v>
      </c>
      <c r="O452">
        <v>8</v>
      </c>
      <c r="P452" t="s">
        <v>31</v>
      </c>
    </row>
    <row r="453" spans="1:16">
      <c r="A453" t="s">
        <v>577</v>
      </c>
      <c r="B453" s="6">
        <v>46213.404166666667</v>
      </c>
      <c r="C453" s="2">
        <v>46213.776499745371</v>
      </c>
      <c r="D453" t="s">
        <v>23</v>
      </c>
      <c r="E453" t="s">
        <v>50</v>
      </c>
      <c r="F453" t="s">
        <v>51</v>
      </c>
      <c r="G453" t="s">
        <v>66</v>
      </c>
      <c r="H453" t="s">
        <v>35</v>
      </c>
      <c r="I453" t="s">
        <v>43</v>
      </c>
      <c r="J453" t="s">
        <v>52</v>
      </c>
      <c r="K453" t="s">
        <v>71</v>
      </c>
      <c r="L453" s="3" t="s">
        <v>578</v>
      </c>
      <c r="M453" s="3">
        <v>4</v>
      </c>
      <c r="N453">
        <v>0</v>
      </c>
      <c r="O453">
        <v>2</v>
      </c>
      <c r="P453" t="s">
        <v>31</v>
      </c>
    </row>
    <row r="454" spans="1:16">
      <c r="A454" t="s">
        <v>579</v>
      </c>
      <c r="B454" s="6">
        <v>46143.043055555558</v>
      </c>
      <c r="C454" s="2">
        <v>46144.365856851851</v>
      </c>
      <c r="D454" t="s">
        <v>23</v>
      </c>
      <c r="E454" t="s">
        <v>50</v>
      </c>
      <c r="F454" t="s">
        <v>51</v>
      </c>
      <c r="G454" t="s">
        <v>66</v>
      </c>
      <c r="H454" t="s">
        <v>42</v>
      </c>
      <c r="I454" t="s">
        <v>36</v>
      </c>
      <c r="J454" t="s">
        <v>58</v>
      </c>
      <c r="K454" t="s">
        <v>62</v>
      </c>
      <c r="L454" s="3">
        <v>51</v>
      </c>
      <c r="M454" s="3">
        <v>4</v>
      </c>
      <c r="N454">
        <v>0</v>
      </c>
      <c r="O454">
        <v>4</v>
      </c>
      <c r="P454" t="s">
        <v>31</v>
      </c>
    </row>
    <row r="455" spans="1:16">
      <c r="A455" t="s">
        <v>564</v>
      </c>
      <c r="B455" s="6">
        <v>46140.563888888886</v>
      </c>
      <c r="C455" s="2">
        <v>46141.321727708331</v>
      </c>
      <c r="D455" t="s">
        <v>23</v>
      </c>
      <c r="E455" t="s">
        <v>33</v>
      </c>
      <c r="F455" t="s">
        <v>51</v>
      </c>
      <c r="G455" t="s">
        <v>34</v>
      </c>
      <c r="H455" t="s">
        <v>42</v>
      </c>
      <c r="I455" t="s">
        <v>43</v>
      </c>
      <c r="J455" t="s">
        <v>52</v>
      </c>
      <c r="K455" t="s">
        <v>101</v>
      </c>
      <c r="L455" s="3">
        <v>47</v>
      </c>
      <c r="M455" s="3">
        <v>4</v>
      </c>
      <c r="N455">
        <v>1</v>
      </c>
      <c r="O455">
        <v>8</v>
      </c>
      <c r="P455" t="s">
        <v>31</v>
      </c>
    </row>
    <row r="456" spans="1:16">
      <c r="A456" t="s">
        <v>580</v>
      </c>
      <c r="B456" s="6">
        <v>46038.486111111109</v>
      </c>
      <c r="C456" s="2">
        <v>46039.676754143518</v>
      </c>
      <c r="D456" t="s">
        <v>23</v>
      </c>
      <c r="E456" t="s">
        <v>80</v>
      </c>
      <c r="F456" t="s">
        <v>25</v>
      </c>
      <c r="G456" t="s">
        <v>26</v>
      </c>
      <c r="H456" t="s">
        <v>35</v>
      </c>
      <c r="I456" t="s">
        <v>43</v>
      </c>
      <c r="J456" t="s">
        <v>52</v>
      </c>
      <c r="K456" t="s">
        <v>38</v>
      </c>
      <c r="L456" s="3">
        <v>71</v>
      </c>
      <c r="M456" s="3">
        <v>4</v>
      </c>
      <c r="N456">
        <v>1</v>
      </c>
      <c r="O456">
        <v>5</v>
      </c>
      <c r="P456" t="s">
        <v>31</v>
      </c>
    </row>
    <row r="457" spans="1:16">
      <c r="A457" t="s">
        <v>581</v>
      </c>
      <c r="B457" s="6">
        <v>46092.388194444444</v>
      </c>
      <c r="C457" s="2">
        <v>46092.827100925926</v>
      </c>
      <c r="D457" t="s">
        <v>23</v>
      </c>
      <c r="E457" t="s">
        <v>40</v>
      </c>
      <c r="F457" t="s">
        <v>51</v>
      </c>
      <c r="G457" t="s">
        <v>26</v>
      </c>
      <c r="H457" t="s">
        <v>35</v>
      </c>
      <c r="I457" t="s">
        <v>28</v>
      </c>
      <c r="J457" t="s">
        <v>52</v>
      </c>
      <c r="K457" t="s">
        <v>101</v>
      </c>
      <c r="L457" s="3">
        <v>15</v>
      </c>
      <c r="M457" s="3">
        <v>4</v>
      </c>
      <c r="N457">
        <v>0</v>
      </c>
      <c r="O457">
        <v>3</v>
      </c>
      <c r="P457" t="s">
        <v>31</v>
      </c>
    </row>
    <row r="458" spans="1:16">
      <c r="A458" t="s">
        <v>582</v>
      </c>
      <c r="B458" s="6">
        <v>46183.65625</v>
      </c>
      <c r="C458" s="2">
        <v>46184.434575613428</v>
      </c>
      <c r="D458" t="s">
        <v>23</v>
      </c>
      <c r="E458" t="s">
        <v>33</v>
      </c>
      <c r="F458" t="s">
        <v>51</v>
      </c>
      <c r="G458" t="s">
        <v>26</v>
      </c>
      <c r="H458" t="s">
        <v>27</v>
      </c>
      <c r="I458" t="s">
        <v>28</v>
      </c>
      <c r="J458" t="s">
        <v>52</v>
      </c>
      <c r="K458" t="s">
        <v>55</v>
      </c>
      <c r="L458" s="3">
        <v>146</v>
      </c>
      <c r="M458" s="3">
        <v>4</v>
      </c>
      <c r="N458">
        <v>0</v>
      </c>
      <c r="O458">
        <v>6</v>
      </c>
      <c r="P458" t="s">
        <v>31</v>
      </c>
    </row>
    <row r="459" spans="1:16">
      <c r="A459" t="s">
        <v>583</v>
      </c>
      <c r="B459" s="6">
        <v>46050.990277777775</v>
      </c>
      <c r="C459" s="2">
        <v>46051.313150104164</v>
      </c>
      <c r="D459" t="s">
        <v>23</v>
      </c>
      <c r="E459" t="s">
        <v>50</v>
      </c>
      <c r="F459" t="s">
        <v>51</v>
      </c>
      <c r="G459" t="s">
        <v>26</v>
      </c>
      <c r="H459" t="s">
        <v>27</v>
      </c>
      <c r="I459" t="s">
        <v>28</v>
      </c>
      <c r="J459" t="s">
        <v>52</v>
      </c>
      <c r="K459" t="s">
        <v>93</v>
      </c>
      <c r="L459" s="3">
        <v>106</v>
      </c>
      <c r="M459" s="3">
        <v>4</v>
      </c>
      <c r="N459">
        <v>0</v>
      </c>
      <c r="O459">
        <v>2</v>
      </c>
      <c r="P459" t="s">
        <v>31</v>
      </c>
    </row>
    <row r="460" spans="1:16">
      <c r="A460" t="s">
        <v>584</v>
      </c>
      <c r="B460" s="6">
        <v>46094.479166666664</v>
      </c>
      <c r="C460" s="2">
        <v>46094.907877210651</v>
      </c>
      <c r="D460" t="s">
        <v>23</v>
      </c>
      <c r="E460" t="s">
        <v>50</v>
      </c>
      <c r="F460" t="s">
        <v>25</v>
      </c>
      <c r="G460" t="s">
        <v>34</v>
      </c>
      <c r="H460" t="s">
        <v>35</v>
      </c>
      <c r="I460" t="s">
        <v>48</v>
      </c>
      <c r="J460" t="s">
        <v>29</v>
      </c>
      <c r="K460" t="s">
        <v>62</v>
      </c>
      <c r="L460" s="3">
        <v>111</v>
      </c>
      <c r="M460" s="3">
        <v>4</v>
      </c>
      <c r="N460">
        <v>0</v>
      </c>
      <c r="O460">
        <v>12</v>
      </c>
      <c r="P460" t="s">
        <v>63</v>
      </c>
    </row>
    <row r="461" spans="1:16">
      <c r="A461" t="s">
        <v>585</v>
      </c>
      <c r="B461" s="6">
        <v>46046.281944444447</v>
      </c>
      <c r="C461" s="2">
        <v>46046.808598333337</v>
      </c>
      <c r="D461" t="s">
        <v>23</v>
      </c>
      <c r="E461" t="s">
        <v>50</v>
      </c>
      <c r="F461" t="s">
        <v>332</v>
      </c>
      <c r="G461" t="s">
        <v>26</v>
      </c>
      <c r="H461" t="s">
        <v>27</v>
      </c>
      <c r="I461" t="s">
        <v>48</v>
      </c>
      <c r="J461" t="s">
        <v>37</v>
      </c>
      <c r="K461" t="s">
        <v>85</v>
      </c>
      <c r="L461" s="3">
        <v>69</v>
      </c>
      <c r="M461" s="3">
        <v>4</v>
      </c>
      <c r="N461">
        <v>0</v>
      </c>
      <c r="O461">
        <v>7</v>
      </c>
      <c r="P461" t="s">
        <v>31</v>
      </c>
    </row>
    <row r="462" spans="1:16">
      <c r="A462" t="s">
        <v>586</v>
      </c>
      <c r="B462" s="6">
        <v>46263.147222222222</v>
      </c>
      <c r="C462" s="2">
        <v>46263.968337025464</v>
      </c>
      <c r="D462" t="s">
        <v>23</v>
      </c>
      <c r="E462" t="s">
        <v>33</v>
      </c>
      <c r="F462" t="s">
        <v>41</v>
      </c>
      <c r="G462" t="s">
        <v>26</v>
      </c>
      <c r="H462" t="s">
        <v>42</v>
      </c>
      <c r="I462" t="s">
        <v>43</v>
      </c>
      <c r="J462" t="s">
        <v>52</v>
      </c>
      <c r="K462" t="s">
        <v>55</v>
      </c>
      <c r="L462" s="3">
        <v>133</v>
      </c>
      <c r="M462" s="3">
        <v>3</v>
      </c>
      <c r="N462">
        <v>3</v>
      </c>
      <c r="O462">
        <v>11</v>
      </c>
      <c r="P462" t="s">
        <v>31</v>
      </c>
    </row>
    <row r="463" spans="1:16">
      <c r="A463" t="s">
        <v>587</v>
      </c>
      <c r="B463" s="6">
        <v>46135.821527777778</v>
      </c>
      <c r="C463" s="2">
        <v>46138.584301388888</v>
      </c>
      <c r="D463" t="s">
        <v>23</v>
      </c>
      <c r="E463" t="s">
        <v>50</v>
      </c>
      <c r="F463" t="s">
        <v>65</v>
      </c>
      <c r="G463" t="s">
        <v>26</v>
      </c>
      <c r="H463" t="s">
        <v>42</v>
      </c>
      <c r="I463" t="s">
        <v>48</v>
      </c>
      <c r="J463" t="s">
        <v>76</v>
      </c>
      <c r="K463" t="s">
        <v>30</v>
      </c>
      <c r="L463" s="3">
        <v>80</v>
      </c>
      <c r="M463" s="3">
        <v>3</v>
      </c>
      <c r="N463">
        <v>0</v>
      </c>
      <c r="O463">
        <v>3</v>
      </c>
      <c r="P463" t="s">
        <v>31</v>
      </c>
    </row>
    <row r="464" spans="1:16">
      <c r="A464" t="s">
        <v>588</v>
      </c>
      <c r="B464" s="6">
        <v>46131.180555555555</v>
      </c>
      <c r="C464" s="2">
        <v>46131.913695868054</v>
      </c>
      <c r="D464" t="s">
        <v>23</v>
      </c>
      <c r="E464" t="s">
        <v>50</v>
      </c>
      <c r="F464" t="s">
        <v>51</v>
      </c>
      <c r="G464" t="s">
        <v>54</v>
      </c>
      <c r="H464" t="s">
        <v>35</v>
      </c>
      <c r="I464" t="s">
        <v>48</v>
      </c>
      <c r="J464" t="s">
        <v>37</v>
      </c>
      <c r="K464" t="s">
        <v>85</v>
      </c>
      <c r="L464" s="3">
        <v>98</v>
      </c>
      <c r="M464" s="3">
        <v>4</v>
      </c>
      <c r="N464">
        <v>0</v>
      </c>
      <c r="O464">
        <v>6</v>
      </c>
      <c r="P464" t="s">
        <v>31</v>
      </c>
    </row>
    <row r="465" spans="1:16">
      <c r="A465" t="s">
        <v>589</v>
      </c>
      <c r="B465" s="6">
        <v>46090.818749999999</v>
      </c>
      <c r="C465" s="2">
        <v>46091.932113530092</v>
      </c>
      <c r="D465" t="s">
        <v>23</v>
      </c>
      <c r="E465" t="s">
        <v>50</v>
      </c>
      <c r="F465" t="s">
        <v>51</v>
      </c>
      <c r="G465" t="s">
        <v>66</v>
      </c>
      <c r="H465" t="s">
        <v>35</v>
      </c>
      <c r="I465" t="s">
        <v>48</v>
      </c>
      <c r="J465" t="s">
        <v>37</v>
      </c>
      <c r="K465" t="s">
        <v>62</v>
      </c>
      <c r="L465" s="3">
        <v>33</v>
      </c>
      <c r="M465" s="3">
        <v>4</v>
      </c>
      <c r="N465">
        <v>2</v>
      </c>
      <c r="O465">
        <v>7</v>
      </c>
      <c r="P465" t="s">
        <v>31</v>
      </c>
    </row>
    <row r="466" spans="1:16">
      <c r="A466" t="s">
        <v>590</v>
      </c>
      <c r="B466" s="6">
        <v>46077.499305555553</v>
      </c>
      <c r="C466" s="2">
        <v>46078.558274861112</v>
      </c>
      <c r="D466" t="s">
        <v>23</v>
      </c>
      <c r="E466" t="s">
        <v>50</v>
      </c>
      <c r="F466" t="s">
        <v>51</v>
      </c>
      <c r="G466" t="s">
        <v>26</v>
      </c>
      <c r="H466" t="s">
        <v>27</v>
      </c>
      <c r="I466" t="s">
        <v>48</v>
      </c>
      <c r="J466" t="s">
        <v>37</v>
      </c>
      <c r="K466" t="s">
        <v>101</v>
      </c>
      <c r="L466" s="3">
        <v>156</v>
      </c>
      <c r="M466" s="3">
        <v>4</v>
      </c>
      <c r="N466">
        <v>1</v>
      </c>
      <c r="O466">
        <v>5</v>
      </c>
      <c r="P466" t="s">
        <v>31</v>
      </c>
    </row>
    <row r="467" spans="1:16">
      <c r="A467" t="s">
        <v>591</v>
      </c>
      <c r="B467" s="6">
        <v>46036.84097222222</v>
      </c>
      <c r="C467" s="2">
        <v>46037.540049189818</v>
      </c>
      <c r="D467" t="s">
        <v>23</v>
      </c>
      <c r="E467" t="s">
        <v>40</v>
      </c>
      <c r="F467" t="s">
        <v>41</v>
      </c>
      <c r="G467" t="s">
        <v>66</v>
      </c>
      <c r="H467" t="s">
        <v>42</v>
      </c>
      <c r="I467" t="s">
        <v>28</v>
      </c>
      <c r="J467" t="s">
        <v>76</v>
      </c>
      <c r="K467" t="s">
        <v>85</v>
      </c>
      <c r="L467" s="3">
        <v>36</v>
      </c>
      <c r="M467" s="3">
        <v>4</v>
      </c>
      <c r="N467">
        <v>1</v>
      </c>
      <c r="O467">
        <v>6</v>
      </c>
      <c r="P467" t="s">
        <v>31</v>
      </c>
    </row>
    <row r="468" spans="1:16">
      <c r="A468" t="s">
        <v>592</v>
      </c>
      <c r="B468" s="6">
        <v>46159.802083333336</v>
      </c>
      <c r="C468" s="2">
        <v>46160.409837500003</v>
      </c>
      <c r="D468" t="s">
        <v>23</v>
      </c>
      <c r="E468" t="s">
        <v>40</v>
      </c>
      <c r="F468" t="s">
        <v>51</v>
      </c>
      <c r="G468" t="s">
        <v>34</v>
      </c>
      <c r="H468" t="s">
        <v>27</v>
      </c>
      <c r="I468" t="s">
        <v>43</v>
      </c>
      <c r="J468" t="s">
        <v>58</v>
      </c>
      <c r="K468" t="s">
        <v>68</v>
      </c>
      <c r="L468" s="3">
        <v>65</v>
      </c>
      <c r="M468" s="3">
        <v>5</v>
      </c>
      <c r="N468">
        <v>0</v>
      </c>
      <c r="O468">
        <v>4</v>
      </c>
      <c r="P468" t="s">
        <v>31</v>
      </c>
    </row>
    <row r="469" spans="1:16">
      <c r="A469" t="s">
        <v>593</v>
      </c>
      <c r="B469" s="6">
        <v>46156.34097222222</v>
      </c>
      <c r="C469" s="2">
        <v>46157.19648327546</v>
      </c>
      <c r="D469" t="s">
        <v>23</v>
      </c>
      <c r="E469" t="s">
        <v>33</v>
      </c>
      <c r="F469" t="s">
        <v>41</v>
      </c>
      <c r="G469" t="s">
        <v>66</v>
      </c>
      <c r="H469" t="s">
        <v>42</v>
      </c>
      <c r="I469" t="s">
        <v>48</v>
      </c>
      <c r="J469" t="s">
        <v>76</v>
      </c>
      <c r="K469" t="s">
        <v>68</v>
      </c>
      <c r="L469" s="3">
        <v>105</v>
      </c>
      <c r="M469" s="3">
        <v>4</v>
      </c>
      <c r="N469">
        <v>0</v>
      </c>
      <c r="O469">
        <v>4</v>
      </c>
      <c r="P469" t="s">
        <v>31</v>
      </c>
    </row>
    <row r="470" spans="1:16">
      <c r="A470" t="s">
        <v>594</v>
      </c>
      <c r="B470" s="6">
        <v>46108.176388888889</v>
      </c>
      <c r="C470" s="2">
        <v>46108.757783437497</v>
      </c>
      <c r="D470" t="s">
        <v>23</v>
      </c>
      <c r="E470" t="s">
        <v>595</v>
      </c>
      <c r="F470" t="s">
        <v>51</v>
      </c>
      <c r="G470" t="s">
        <v>26</v>
      </c>
      <c r="H470" t="s">
        <v>35</v>
      </c>
      <c r="I470" t="s">
        <v>28</v>
      </c>
      <c r="J470" t="s">
        <v>29</v>
      </c>
      <c r="K470" t="s">
        <v>62</v>
      </c>
      <c r="L470" s="3">
        <v>72</v>
      </c>
      <c r="M470" s="3">
        <v>4</v>
      </c>
      <c r="N470">
        <v>0</v>
      </c>
      <c r="O470">
        <v>2</v>
      </c>
      <c r="P470" t="s">
        <v>31</v>
      </c>
    </row>
    <row r="471" spans="1:16">
      <c r="A471" t="s">
        <v>596</v>
      </c>
      <c r="B471" s="6">
        <v>46095.061111111114</v>
      </c>
      <c r="C471" s="2"/>
      <c r="D471" t="s">
        <v>57</v>
      </c>
      <c r="E471" t="s">
        <v>40</v>
      </c>
      <c r="F471" t="s">
        <v>25</v>
      </c>
      <c r="G471" t="s">
        <v>26</v>
      </c>
      <c r="H471" t="s">
        <v>35</v>
      </c>
      <c r="I471" t="s">
        <v>36</v>
      </c>
      <c r="J471" t="s">
        <v>52</v>
      </c>
      <c r="K471" t="s">
        <v>44</v>
      </c>
      <c r="L471" s="3">
        <v>65</v>
      </c>
      <c r="M471" s="3"/>
      <c r="N471">
        <v>0</v>
      </c>
      <c r="O471">
        <v>9</v>
      </c>
      <c r="P471" t="s">
        <v>63</v>
      </c>
    </row>
    <row r="472" spans="1:16">
      <c r="A472" t="s">
        <v>597</v>
      </c>
      <c r="B472" s="6">
        <v>46177.734027777777</v>
      </c>
      <c r="C472" s="2">
        <v>46178.532157118054</v>
      </c>
      <c r="D472" t="s">
        <v>23</v>
      </c>
      <c r="E472" t="s">
        <v>50</v>
      </c>
      <c r="F472" t="s">
        <v>51</v>
      </c>
      <c r="G472" t="s">
        <v>34</v>
      </c>
      <c r="H472" t="s">
        <v>35</v>
      </c>
      <c r="I472" t="s">
        <v>36</v>
      </c>
      <c r="J472" t="s">
        <v>67</v>
      </c>
      <c r="K472" t="s">
        <v>85</v>
      </c>
      <c r="L472" s="3">
        <v>211</v>
      </c>
      <c r="M472" s="3">
        <v>4</v>
      </c>
      <c r="N472">
        <v>0</v>
      </c>
      <c r="O472">
        <v>2</v>
      </c>
      <c r="P472" t="s">
        <v>31</v>
      </c>
    </row>
    <row r="473" spans="1:16">
      <c r="A473" t="s">
        <v>598</v>
      </c>
      <c r="B473" s="6">
        <v>46112.384027777778</v>
      </c>
      <c r="C473" s="2">
        <v>46113.140229421297</v>
      </c>
      <c r="D473" t="s">
        <v>23</v>
      </c>
      <c r="E473" t="s">
        <v>40</v>
      </c>
      <c r="F473" t="s">
        <v>51</v>
      </c>
      <c r="G473" t="s">
        <v>26</v>
      </c>
      <c r="H473" t="s">
        <v>35</v>
      </c>
      <c r="I473" t="s">
        <v>36</v>
      </c>
      <c r="J473" t="s">
        <v>76</v>
      </c>
      <c r="K473" t="s">
        <v>85</v>
      </c>
      <c r="L473" s="3">
        <v>45</v>
      </c>
      <c r="M473" s="3">
        <v>4</v>
      </c>
      <c r="N473">
        <v>0</v>
      </c>
      <c r="O473">
        <v>5</v>
      </c>
      <c r="P473" t="s">
        <v>31</v>
      </c>
    </row>
    <row r="474" spans="1:16">
      <c r="A474" t="s">
        <v>599</v>
      </c>
      <c r="B474" s="6">
        <v>46214.941666666666</v>
      </c>
      <c r="C474" s="2">
        <v>46216.3356565625</v>
      </c>
      <c r="D474" t="s">
        <v>23</v>
      </c>
      <c r="E474" t="s">
        <v>50</v>
      </c>
      <c r="F474" t="s">
        <v>51</v>
      </c>
      <c r="G474" t="s">
        <v>54</v>
      </c>
      <c r="H474" t="s">
        <v>35</v>
      </c>
      <c r="I474" t="s">
        <v>48</v>
      </c>
      <c r="J474" t="s">
        <v>37</v>
      </c>
      <c r="K474" t="s">
        <v>44</v>
      </c>
      <c r="L474" s="3">
        <v>72</v>
      </c>
      <c r="M474" s="3">
        <v>4</v>
      </c>
      <c r="N474">
        <v>0</v>
      </c>
      <c r="O474">
        <v>2</v>
      </c>
      <c r="P474" t="s">
        <v>31</v>
      </c>
    </row>
    <row r="475" spans="1:16">
      <c r="A475" t="s">
        <v>600</v>
      </c>
      <c r="B475" s="6">
        <v>46083.086111111108</v>
      </c>
      <c r="C475" s="2">
        <v>46084.950304074075</v>
      </c>
      <c r="D475" t="s">
        <v>23</v>
      </c>
      <c r="E475" t="s">
        <v>50</v>
      </c>
      <c r="F475" t="s">
        <v>65</v>
      </c>
      <c r="G475" t="s">
        <v>34</v>
      </c>
      <c r="H475" t="s">
        <v>42</v>
      </c>
      <c r="I475" t="s">
        <v>48</v>
      </c>
      <c r="J475" t="s">
        <v>601</v>
      </c>
      <c r="K475" t="s">
        <v>71</v>
      </c>
      <c r="L475" s="3">
        <v>134</v>
      </c>
      <c r="M475" s="3">
        <v>3</v>
      </c>
      <c r="N475">
        <v>1</v>
      </c>
      <c r="O475">
        <v>10</v>
      </c>
      <c r="P475" t="s">
        <v>63</v>
      </c>
    </row>
    <row r="476" spans="1:16">
      <c r="A476" t="s">
        <v>602</v>
      </c>
      <c r="B476" s="6">
        <v>46058.771527777775</v>
      </c>
      <c r="C476" s="2">
        <v>46058.9232362037</v>
      </c>
      <c r="D476" t="s">
        <v>23</v>
      </c>
      <c r="E476" t="s">
        <v>24</v>
      </c>
      <c r="F476" t="s">
        <v>51</v>
      </c>
      <c r="G476" t="s">
        <v>603</v>
      </c>
      <c r="H476" t="s">
        <v>35</v>
      </c>
      <c r="I476" t="s">
        <v>43</v>
      </c>
      <c r="J476" t="s">
        <v>67</v>
      </c>
      <c r="K476" t="s">
        <v>93</v>
      </c>
      <c r="L476" s="3">
        <v>31</v>
      </c>
      <c r="M476" s="3">
        <v>5</v>
      </c>
      <c r="N476">
        <v>0</v>
      </c>
      <c r="O476">
        <v>2</v>
      </c>
      <c r="P476" t="s">
        <v>31</v>
      </c>
    </row>
    <row r="477" spans="1:16">
      <c r="A477" t="s">
        <v>604</v>
      </c>
      <c r="B477" s="6">
        <v>46230.184027777781</v>
      </c>
      <c r="C477" s="2">
        <v>46231.35215525463</v>
      </c>
      <c r="D477" t="s">
        <v>23</v>
      </c>
      <c r="E477" t="s">
        <v>50</v>
      </c>
      <c r="F477" t="s">
        <v>51</v>
      </c>
      <c r="G477" t="s">
        <v>54</v>
      </c>
      <c r="H477" t="s">
        <v>35</v>
      </c>
      <c r="I477" t="s">
        <v>43</v>
      </c>
      <c r="J477" t="s">
        <v>37</v>
      </c>
      <c r="K477" t="s">
        <v>30</v>
      </c>
      <c r="L477" s="3">
        <v>71</v>
      </c>
      <c r="M477" s="3">
        <v>4</v>
      </c>
      <c r="N477">
        <v>0</v>
      </c>
      <c r="O477">
        <v>2</v>
      </c>
      <c r="P477" t="s">
        <v>31</v>
      </c>
    </row>
    <row r="478" spans="1:16">
      <c r="A478" t="s">
        <v>605</v>
      </c>
      <c r="B478" s="6">
        <v>46174.628472222219</v>
      </c>
      <c r="C478" s="2">
        <v>46175.734516793978</v>
      </c>
      <c r="D478" t="s">
        <v>23</v>
      </c>
      <c r="E478" t="s">
        <v>50</v>
      </c>
      <c r="F478" t="s">
        <v>41</v>
      </c>
      <c r="G478" t="s">
        <v>34</v>
      </c>
      <c r="H478" t="s">
        <v>35</v>
      </c>
      <c r="I478" t="s">
        <v>36</v>
      </c>
      <c r="J478" t="s">
        <v>29</v>
      </c>
      <c r="K478" t="s">
        <v>93</v>
      </c>
      <c r="L478" s="3">
        <v>202</v>
      </c>
      <c r="M478" s="3">
        <v>3</v>
      </c>
      <c r="N478">
        <v>1</v>
      </c>
      <c r="O478">
        <v>7</v>
      </c>
      <c r="P478" t="s">
        <v>31</v>
      </c>
    </row>
    <row r="479" spans="1:16">
      <c r="A479" t="s">
        <v>606</v>
      </c>
      <c r="B479" s="6">
        <v>46136.428472222222</v>
      </c>
      <c r="C479" s="2">
        <v>46136.927549282409</v>
      </c>
      <c r="D479" t="s">
        <v>23</v>
      </c>
      <c r="E479" t="s">
        <v>40</v>
      </c>
      <c r="F479" t="s">
        <v>25</v>
      </c>
      <c r="G479" t="s">
        <v>75</v>
      </c>
      <c r="H479" t="s">
        <v>35</v>
      </c>
      <c r="I479" t="s">
        <v>48</v>
      </c>
      <c r="J479" t="s">
        <v>52</v>
      </c>
      <c r="K479" t="s">
        <v>68</v>
      </c>
      <c r="L479" s="3">
        <v>18</v>
      </c>
      <c r="M479" s="3">
        <v>5</v>
      </c>
      <c r="N479">
        <v>0</v>
      </c>
      <c r="O479">
        <v>2</v>
      </c>
      <c r="P479" t="s">
        <v>31</v>
      </c>
    </row>
    <row r="480" spans="1:16">
      <c r="A480" t="s">
        <v>607</v>
      </c>
      <c r="B480" s="6">
        <v>46042.42291666667</v>
      </c>
      <c r="C480" s="2">
        <v>46044.331081562501</v>
      </c>
      <c r="D480" t="s">
        <v>23</v>
      </c>
      <c r="E480" t="s">
        <v>50</v>
      </c>
      <c r="F480" t="s">
        <v>25</v>
      </c>
      <c r="G480" t="s">
        <v>26</v>
      </c>
      <c r="H480" t="s">
        <v>42</v>
      </c>
      <c r="I480" t="s">
        <v>36</v>
      </c>
      <c r="J480" t="s">
        <v>58</v>
      </c>
      <c r="K480" t="s">
        <v>93</v>
      </c>
      <c r="L480" s="3">
        <v>56</v>
      </c>
      <c r="M480" s="3">
        <v>3</v>
      </c>
      <c r="N480">
        <v>1</v>
      </c>
      <c r="O480">
        <v>6</v>
      </c>
      <c r="P480" t="s">
        <v>31</v>
      </c>
    </row>
    <row r="481" spans="1:16">
      <c r="A481" t="s">
        <v>608</v>
      </c>
      <c r="B481" s="6">
        <v>46129.682638888888</v>
      </c>
      <c r="C481" s="2">
        <v>46130.221323298611</v>
      </c>
      <c r="D481" t="s">
        <v>23</v>
      </c>
      <c r="E481" t="s">
        <v>50</v>
      </c>
      <c r="F481" t="s">
        <v>51</v>
      </c>
      <c r="G481" t="s">
        <v>54</v>
      </c>
      <c r="H481" t="s">
        <v>27</v>
      </c>
      <c r="I481" t="s">
        <v>43</v>
      </c>
      <c r="J481" t="s">
        <v>58</v>
      </c>
      <c r="K481" t="s">
        <v>85</v>
      </c>
      <c r="L481" s="3">
        <v>154</v>
      </c>
      <c r="M481" s="3">
        <v>4</v>
      </c>
      <c r="N481">
        <v>0</v>
      </c>
      <c r="O481">
        <v>5</v>
      </c>
      <c r="P481" t="s">
        <v>31</v>
      </c>
    </row>
    <row r="482" spans="1:16">
      <c r="A482" t="s">
        <v>609</v>
      </c>
      <c r="B482" s="6">
        <v>46178.770138888889</v>
      </c>
      <c r="C482" s="2">
        <v>46179.147351192129</v>
      </c>
      <c r="D482" t="s">
        <v>23</v>
      </c>
      <c r="E482" t="s">
        <v>33</v>
      </c>
      <c r="F482" t="s">
        <v>51</v>
      </c>
      <c r="G482" t="s">
        <v>54</v>
      </c>
      <c r="H482" t="s">
        <v>35</v>
      </c>
      <c r="I482" t="s">
        <v>36</v>
      </c>
      <c r="J482" t="s">
        <v>52</v>
      </c>
      <c r="K482" t="s">
        <v>101</v>
      </c>
      <c r="L482" s="3">
        <v>181</v>
      </c>
      <c r="M482" s="3">
        <v>4</v>
      </c>
      <c r="N482">
        <v>0</v>
      </c>
      <c r="O482">
        <v>7</v>
      </c>
      <c r="P482" t="s">
        <v>31</v>
      </c>
    </row>
    <row r="483" spans="1:16">
      <c r="A483" t="s">
        <v>610</v>
      </c>
      <c r="B483" s="6">
        <v>46106.242361111108</v>
      </c>
      <c r="C483" s="2"/>
      <c r="D483" t="s">
        <v>74</v>
      </c>
      <c r="E483" t="s">
        <v>40</v>
      </c>
      <c r="F483" t="s">
        <v>51</v>
      </c>
      <c r="G483" t="s">
        <v>26</v>
      </c>
      <c r="H483" t="s">
        <v>35</v>
      </c>
      <c r="I483" t="s">
        <v>28</v>
      </c>
      <c r="J483" t="s">
        <v>52</v>
      </c>
      <c r="K483" t="s">
        <v>101</v>
      </c>
      <c r="L483" s="3">
        <v>27</v>
      </c>
      <c r="M483" s="3"/>
      <c r="N483">
        <v>0</v>
      </c>
      <c r="O483">
        <v>3</v>
      </c>
      <c r="P483" t="s">
        <v>31</v>
      </c>
    </row>
    <row r="484" spans="1:16">
      <c r="A484" t="s">
        <v>611</v>
      </c>
      <c r="B484" s="6">
        <v>46113.095138888886</v>
      </c>
      <c r="C484" s="2">
        <v>46113.380835439813</v>
      </c>
      <c r="D484" t="s">
        <v>23</v>
      </c>
      <c r="E484" t="s">
        <v>40</v>
      </c>
      <c r="F484" t="s">
        <v>51</v>
      </c>
      <c r="G484" t="s">
        <v>26</v>
      </c>
      <c r="H484" t="s">
        <v>27</v>
      </c>
      <c r="I484" t="s">
        <v>36</v>
      </c>
      <c r="J484" t="s">
        <v>52</v>
      </c>
      <c r="K484" t="s">
        <v>55</v>
      </c>
      <c r="L484" s="3">
        <v>79</v>
      </c>
      <c r="M484" s="3">
        <v>4</v>
      </c>
      <c r="N484">
        <v>0</v>
      </c>
      <c r="O484">
        <v>6</v>
      </c>
      <c r="P484" t="s">
        <v>31</v>
      </c>
    </row>
    <row r="485" spans="1:16">
      <c r="A485" t="s">
        <v>612</v>
      </c>
      <c r="B485" s="6">
        <v>46125.211805555555</v>
      </c>
      <c r="C485" s="2">
        <v>46126.13374646991</v>
      </c>
      <c r="D485" t="s">
        <v>23</v>
      </c>
      <c r="E485" t="s">
        <v>33</v>
      </c>
      <c r="F485" t="s">
        <v>100</v>
      </c>
      <c r="G485" t="s">
        <v>54</v>
      </c>
      <c r="H485" t="s">
        <v>35</v>
      </c>
      <c r="I485" t="s">
        <v>43</v>
      </c>
      <c r="J485" t="s">
        <v>58</v>
      </c>
      <c r="K485" t="s">
        <v>71</v>
      </c>
      <c r="L485" s="3">
        <v>683</v>
      </c>
      <c r="M485" s="3">
        <v>2</v>
      </c>
      <c r="N485">
        <v>2</v>
      </c>
      <c r="O485">
        <v>14</v>
      </c>
      <c r="P485" t="s">
        <v>63</v>
      </c>
    </row>
    <row r="486" spans="1:16">
      <c r="A486" t="s">
        <v>613</v>
      </c>
      <c r="B486" s="6">
        <v>46162.981944444444</v>
      </c>
      <c r="C486" s="2">
        <v>46163.714192129628</v>
      </c>
      <c r="D486" t="s">
        <v>23</v>
      </c>
      <c r="E486" t="s">
        <v>33</v>
      </c>
      <c r="F486" t="s">
        <v>41</v>
      </c>
      <c r="G486" t="s">
        <v>26</v>
      </c>
      <c r="H486" t="s">
        <v>42</v>
      </c>
      <c r="I486" t="s">
        <v>48</v>
      </c>
      <c r="J486" t="s">
        <v>37</v>
      </c>
      <c r="K486" t="s">
        <v>93</v>
      </c>
      <c r="L486" s="3">
        <v>225</v>
      </c>
      <c r="M486" s="3">
        <v>4</v>
      </c>
      <c r="N486">
        <v>0</v>
      </c>
      <c r="O486">
        <v>4</v>
      </c>
      <c r="P486" t="s">
        <v>31</v>
      </c>
    </row>
    <row r="487" spans="1:16">
      <c r="A487" t="s">
        <v>614</v>
      </c>
      <c r="B487" s="6">
        <v>46033.655555555553</v>
      </c>
      <c r="C487" s="2">
        <v>46036.885246504629</v>
      </c>
      <c r="D487" t="s">
        <v>23</v>
      </c>
      <c r="E487" t="s">
        <v>112</v>
      </c>
      <c r="F487" t="s">
        <v>41</v>
      </c>
      <c r="G487" t="s">
        <v>26</v>
      </c>
      <c r="H487" t="s">
        <v>27</v>
      </c>
      <c r="I487" t="s">
        <v>36</v>
      </c>
      <c r="J487" t="s">
        <v>76</v>
      </c>
      <c r="K487" t="s">
        <v>62</v>
      </c>
      <c r="L487" s="3">
        <v>265</v>
      </c>
      <c r="M487" s="3">
        <v>3</v>
      </c>
      <c r="N487">
        <v>0</v>
      </c>
      <c r="O487">
        <v>2</v>
      </c>
      <c r="P487" t="s">
        <v>31</v>
      </c>
    </row>
    <row r="488" spans="1:16">
      <c r="A488" t="s">
        <v>615</v>
      </c>
      <c r="B488" s="6">
        <v>46061.825694444444</v>
      </c>
      <c r="C488" s="2">
        <v>46063.101093611112</v>
      </c>
      <c r="D488" t="s">
        <v>23</v>
      </c>
      <c r="E488" t="s">
        <v>33</v>
      </c>
      <c r="F488" t="s">
        <v>51</v>
      </c>
      <c r="G488" t="s">
        <v>26</v>
      </c>
      <c r="H488" t="s">
        <v>42</v>
      </c>
      <c r="I488" t="s">
        <v>36</v>
      </c>
      <c r="J488" t="s">
        <v>76</v>
      </c>
      <c r="K488" t="s">
        <v>44</v>
      </c>
      <c r="L488" s="3">
        <v>160</v>
      </c>
      <c r="M488" s="3">
        <v>4</v>
      </c>
      <c r="N488">
        <v>0</v>
      </c>
      <c r="O488">
        <v>7</v>
      </c>
      <c r="P488" t="s">
        <v>31</v>
      </c>
    </row>
    <row r="489" spans="1:16">
      <c r="A489" t="s">
        <v>616</v>
      </c>
      <c r="B489" s="6">
        <v>46109.260416666664</v>
      </c>
      <c r="C489" s="2">
        <v>46111.282776296299</v>
      </c>
      <c r="D489" t="s">
        <v>23</v>
      </c>
      <c r="E489" t="s">
        <v>50</v>
      </c>
      <c r="F489" t="s">
        <v>25</v>
      </c>
      <c r="G489" t="s">
        <v>75</v>
      </c>
      <c r="H489" t="s">
        <v>35</v>
      </c>
      <c r="I489" t="s">
        <v>28</v>
      </c>
      <c r="J489" t="s">
        <v>37</v>
      </c>
      <c r="K489" t="s">
        <v>55</v>
      </c>
      <c r="L489" s="3">
        <v>55</v>
      </c>
      <c r="M489" s="3">
        <v>4</v>
      </c>
      <c r="N489">
        <v>0</v>
      </c>
      <c r="O489">
        <v>4</v>
      </c>
      <c r="P489" t="s">
        <v>31</v>
      </c>
    </row>
    <row r="490" spans="1:16">
      <c r="A490" t="s">
        <v>617</v>
      </c>
      <c r="B490" s="6" t="s">
        <v>618</v>
      </c>
      <c r="C490" s="2">
        <v>46056.16121791667</v>
      </c>
      <c r="D490" t="s">
        <v>23</v>
      </c>
      <c r="E490" t="s">
        <v>50</v>
      </c>
      <c r="F490" t="s">
        <v>25</v>
      </c>
      <c r="G490" t="s">
        <v>26</v>
      </c>
      <c r="H490" t="s">
        <v>42</v>
      </c>
      <c r="I490" t="s">
        <v>43</v>
      </c>
      <c r="J490" t="s">
        <v>58</v>
      </c>
      <c r="K490" t="s">
        <v>55</v>
      </c>
      <c r="L490" s="3" t="s">
        <v>619</v>
      </c>
      <c r="M490" s="3">
        <v>4</v>
      </c>
      <c r="N490">
        <v>0</v>
      </c>
      <c r="O490">
        <v>6</v>
      </c>
      <c r="P490" t="s">
        <v>31</v>
      </c>
    </row>
    <row r="491" spans="1:16">
      <c r="A491" t="s">
        <v>620</v>
      </c>
      <c r="B491" s="6">
        <v>46141.597222222219</v>
      </c>
      <c r="C491" s="2">
        <v>46146.118132569442</v>
      </c>
      <c r="D491" t="s">
        <v>23</v>
      </c>
      <c r="E491" t="s">
        <v>33</v>
      </c>
      <c r="F491" t="s">
        <v>51</v>
      </c>
      <c r="G491" t="s">
        <v>75</v>
      </c>
      <c r="H491" t="s">
        <v>42</v>
      </c>
      <c r="I491" t="s">
        <v>43</v>
      </c>
      <c r="J491" t="s">
        <v>37</v>
      </c>
      <c r="K491" t="s">
        <v>30</v>
      </c>
      <c r="L491" s="3">
        <v>146</v>
      </c>
      <c r="M491" s="3">
        <v>3</v>
      </c>
      <c r="N491">
        <v>0</v>
      </c>
      <c r="O491">
        <v>8</v>
      </c>
      <c r="P491" t="s">
        <v>63</v>
      </c>
    </row>
    <row r="492" spans="1:16">
      <c r="A492" t="s">
        <v>135</v>
      </c>
      <c r="B492" s="6">
        <v>46124.964583333334</v>
      </c>
      <c r="C492" s="2">
        <v>46125.712921423612</v>
      </c>
      <c r="D492" t="s">
        <v>23</v>
      </c>
      <c r="E492" t="s">
        <v>50</v>
      </c>
      <c r="F492" t="s">
        <v>25</v>
      </c>
      <c r="G492" t="s">
        <v>54</v>
      </c>
      <c r="H492" t="s">
        <v>42</v>
      </c>
      <c r="I492" t="s">
        <v>48</v>
      </c>
      <c r="J492" t="s">
        <v>52</v>
      </c>
      <c r="K492" t="s">
        <v>38</v>
      </c>
      <c r="L492" s="3">
        <v>142</v>
      </c>
      <c r="M492" s="3">
        <v>4</v>
      </c>
      <c r="N492">
        <v>0</v>
      </c>
      <c r="O492">
        <v>7</v>
      </c>
      <c r="P492" t="s">
        <v>31</v>
      </c>
    </row>
    <row r="493" spans="1:16">
      <c r="A493" t="s">
        <v>621</v>
      </c>
      <c r="B493" s="6">
        <v>46088.754166666666</v>
      </c>
      <c r="C493" s="2">
        <v>46090.622084710645</v>
      </c>
      <c r="D493" t="s">
        <v>23</v>
      </c>
      <c r="E493" t="s">
        <v>33</v>
      </c>
      <c r="F493" t="s">
        <v>51</v>
      </c>
      <c r="G493" t="s">
        <v>54</v>
      </c>
      <c r="H493" t="s">
        <v>42</v>
      </c>
      <c r="I493" t="s">
        <v>43</v>
      </c>
      <c r="J493" t="s">
        <v>67</v>
      </c>
      <c r="K493" t="s">
        <v>62</v>
      </c>
      <c r="L493" s="3">
        <v>116</v>
      </c>
      <c r="M493" s="3">
        <v>4</v>
      </c>
      <c r="N493">
        <v>0</v>
      </c>
      <c r="O493">
        <v>7</v>
      </c>
      <c r="P493" t="s">
        <v>31</v>
      </c>
    </row>
    <row r="494" spans="1:16">
      <c r="A494" t="s">
        <v>622</v>
      </c>
      <c r="B494" s="6">
        <v>46044.888194444444</v>
      </c>
      <c r="C494" s="2">
        <v>46045.448520590275</v>
      </c>
      <c r="D494" t="s">
        <v>23</v>
      </c>
      <c r="E494" t="s">
        <v>50</v>
      </c>
      <c r="F494" t="s">
        <v>51</v>
      </c>
      <c r="G494" t="s">
        <v>34</v>
      </c>
      <c r="H494" t="s">
        <v>27</v>
      </c>
      <c r="I494" t="s">
        <v>43</v>
      </c>
      <c r="J494" t="s">
        <v>29</v>
      </c>
      <c r="K494" t="s">
        <v>62</v>
      </c>
      <c r="L494" s="3">
        <v>337</v>
      </c>
      <c r="M494" s="3">
        <v>3</v>
      </c>
      <c r="N494">
        <v>1</v>
      </c>
      <c r="O494">
        <v>9</v>
      </c>
      <c r="P494" t="s">
        <v>31</v>
      </c>
    </row>
    <row r="495" spans="1:16">
      <c r="A495" t="s">
        <v>623</v>
      </c>
      <c r="B495" s="6">
        <v>46120.140972222223</v>
      </c>
      <c r="C495" s="2">
        <v>46120.289466666669</v>
      </c>
      <c r="D495" t="s">
        <v>23</v>
      </c>
      <c r="E495" t="s">
        <v>624</v>
      </c>
      <c r="F495" t="s">
        <v>25</v>
      </c>
      <c r="G495" t="s">
        <v>34</v>
      </c>
      <c r="H495" t="s">
        <v>35</v>
      </c>
      <c r="I495" t="s">
        <v>48</v>
      </c>
      <c r="J495" t="s">
        <v>37</v>
      </c>
      <c r="K495" t="s">
        <v>38</v>
      </c>
      <c r="L495" s="3">
        <v>42</v>
      </c>
      <c r="M495" s="3">
        <v>5</v>
      </c>
      <c r="N495">
        <v>0</v>
      </c>
      <c r="O495">
        <v>2</v>
      </c>
      <c r="P495" t="s">
        <v>31</v>
      </c>
    </row>
    <row r="496" spans="1:16">
      <c r="A496" t="s">
        <v>625</v>
      </c>
      <c r="B496" s="6">
        <v>46195.372916666667</v>
      </c>
      <c r="C496" s="2">
        <v>46195.622103090274</v>
      </c>
      <c r="D496" t="s">
        <v>23</v>
      </c>
      <c r="E496" t="s">
        <v>40</v>
      </c>
      <c r="F496" t="s">
        <v>51</v>
      </c>
      <c r="G496" t="s">
        <v>26</v>
      </c>
      <c r="H496" t="s">
        <v>42</v>
      </c>
      <c r="I496" t="s">
        <v>36</v>
      </c>
      <c r="J496" t="s">
        <v>29</v>
      </c>
      <c r="K496" t="s">
        <v>44</v>
      </c>
      <c r="L496" s="3">
        <v>20</v>
      </c>
      <c r="M496" s="3">
        <v>5</v>
      </c>
      <c r="N496">
        <v>0</v>
      </c>
      <c r="O496">
        <v>4</v>
      </c>
      <c r="P496" t="s">
        <v>31</v>
      </c>
    </row>
    <row r="497" spans="1:16">
      <c r="A497" t="s">
        <v>626</v>
      </c>
      <c r="B497" s="6">
        <v>46194.052777777775</v>
      </c>
      <c r="C497" s="2">
        <v>46196.02279447917</v>
      </c>
      <c r="D497" t="s">
        <v>23</v>
      </c>
      <c r="E497" t="s">
        <v>33</v>
      </c>
      <c r="F497" t="s">
        <v>51</v>
      </c>
      <c r="G497" t="s">
        <v>26</v>
      </c>
      <c r="H497" t="s">
        <v>35</v>
      </c>
      <c r="I497" t="s">
        <v>48</v>
      </c>
      <c r="J497" t="s">
        <v>37</v>
      </c>
      <c r="K497" t="s">
        <v>44</v>
      </c>
      <c r="L497" s="3" t="s">
        <v>627</v>
      </c>
      <c r="M497" s="3">
        <v>3</v>
      </c>
      <c r="N497">
        <v>2</v>
      </c>
      <c r="O497">
        <v>15</v>
      </c>
      <c r="P497" t="s">
        <v>31</v>
      </c>
    </row>
    <row r="498" spans="1:16">
      <c r="A498" t="s">
        <v>628</v>
      </c>
      <c r="B498" s="6">
        <v>46034.383333333331</v>
      </c>
      <c r="C498" s="2">
        <v>46034.733509733793</v>
      </c>
      <c r="D498" t="s">
        <v>23</v>
      </c>
      <c r="E498" t="s">
        <v>50</v>
      </c>
      <c r="F498" t="s">
        <v>41</v>
      </c>
      <c r="G498" t="s">
        <v>26</v>
      </c>
      <c r="H498" t="s">
        <v>35</v>
      </c>
      <c r="I498" t="s">
        <v>43</v>
      </c>
      <c r="J498" t="s">
        <v>29</v>
      </c>
      <c r="K498" t="s">
        <v>85</v>
      </c>
      <c r="L498" s="3">
        <v>206</v>
      </c>
      <c r="M498" s="3">
        <v>4</v>
      </c>
      <c r="N498">
        <v>0</v>
      </c>
      <c r="O498">
        <v>6</v>
      </c>
      <c r="P498" t="s">
        <v>31</v>
      </c>
    </row>
    <row r="499" spans="1:16">
      <c r="A499" t="s">
        <v>629</v>
      </c>
      <c r="B499" s="6">
        <v>46154.334027777775</v>
      </c>
      <c r="C499" s="2">
        <v>46155.100094016205</v>
      </c>
      <c r="D499" t="s">
        <v>23</v>
      </c>
      <c r="E499" t="s">
        <v>40</v>
      </c>
      <c r="F499" t="s">
        <v>65</v>
      </c>
      <c r="G499" t="s">
        <v>75</v>
      </c>
      <c r="H499" t="s">
        <v>42</v>
      </c>
      <c r="I499" t="s">
        <v>43</v>
      </c>
      <c r="J499" t="s">
        <v>52</v>
      </c>
      <c r="K499" t="s">
        <v>71</v>
      </c>
      <c r="L499" s="3">
        <v>47</v>
      </c>
      <c r="M499" s="3">
        <v>4</v>
      </c>
      <c r="N499">
        <v>0</v>
      </c>
      <c r="O499">
        <v>10</v>
      </c>
      <c r="P499" t="s">
        <v>63</v>
      </c>
    </row>
    <row r="500" spans="1:16">
      <c r="A500" t="s">
        <v>630</v>
      </c>
      <c r="B500" s="6">
        <v>46262.224305555559</v>
      </c>
      <c r="C500" s="2">
        <v>46262.808089606478</v>
      </c>
      <c r="D500" t="s">
        <v>23</v>
      </c>
      <c r="E500" t="s">
        <v>50</v>
      </c>
      <c r="F500" t="s">
        <v>51</v>
      </c>
      <c r="G500" t="s">
        <v>66</v>
      </c>
      <c r="H500" t="s">
        <v>27</v>
      </c>
      <c r="I500" t="s">
        <v>28</v>
      </c>
      <c r="J500" t="s">
        <v>29</v>
      </c>
      <c r="K500" t="s">
        <v>93</v>
      </c>
      <c r="L500" s="3">
        <v>338</v>
      </c>
      <c r="M500" s="3">
        <v>4</v>
      </c>
      <c r="N500">
        <v>0</v>
      </c>
      <c r="O500">
        <v>2</v>
      </c>
      <c r="P500" t="s">
        <v>31</v>
      </c>
    </row>
    <row r="501" spans="1:16">
      <c r="A501" t="s">
        <v>631</v>
      </c>
      <c r="B501" s="6">
        <v>46097.859722222223</v>
      </c>
      <c r="C501" s="2" t="s">
        <v>632</v>
      </c>
      <c r="D501" t="s">
        <v>23</v>
      </c>
      <c r="E501" t="s">
        <v>50</v>
      </c>
      <c r="F501" t="s">
        <v>25</v>
      </c>
      <c r="G501" t="s">
        <v>66</v>
      </c>
      <c r="H501" t="s">
        <v>42</v>
      </c>
      <c r="I501" t="s">
        <v>48</v>
      </c>
      <c r="J501" t="s">
        <v>76</v>
      </c>
      <c r="K501" t="s">
        <v>93</v>
      </c>
      <c r="L501" s="3">
        <v>63</v>
      </c>
      <c r="M501" s="3">
        <v>4</v>
      </c>
      <c r="N501">
        <v>0</v>
      </c>
      <c r="O501">
        <v>3</v>
      </c>
      <c r="P501" t="s">
        <v>31</v>
      </c>
    </row>
    <row r="502" spans="1:16">
      <c r="A502" t="s">
        <v>633</v>
      </c>
      <c r="B502" s="6">
        <v>46104.488888888889</v>
      </c>
      <c r="C502" s="2">
        <v>46105.006239247683</v>
      </c>
      <c r="D502" t="s">
        <v>23</v>
      </c>
      <c r="E502" t="s">
        <v>24</v>
      </c>
      <c r="F502" t="s">
        <v>25</v>
      </c>
      <c r="G502" t="s">
        <v>66</v>
      </c>
      <c r="H502" t="s">
        <v>35</v>
      </c>
      <c r="I502" t="s">
        <v>36</v>
      </c>
      <c r="J502" t="s">
        <v>76</v>
      </c>
      <c r="K502" t="s">
        <v>93</v>
      </c>
      <c r="L502" s="3">
        <v>19</v>
      </c>
      <c r="M502" s="3">
        <v>4</v>
      </c>
      <c r="N502">
        <v>1</v>
      </c>
      <c r="O502">
        <v>4</v>
      </c>
      <c r="P502" t="s">
        <v>31</v>
      </c>
    </row>
    <row r="503" spans="1:16">
      <c r="A503" t="s">
        <v>634</v>
      </c>
      <c r="B503" s="6">
        <v>46058.957638888889</v>
      </c>
      <c r="C503" s="2">
        <v>46060.19442511574</v>
      </c>
      <c r="D503" t="s">
        <v>23</v>
      </c>
      <c r="E503" t="s">
        <v>50</v>
      </c>
      <c r="F503" t="s">
        <v>51</v>
      </c>
      <c r="G503" t="s">
        <v>54</v>
      </c>
      <c r="H503" t="s">
        <v>42</v>
      </c>
      <c r="I503" t="s">
        <v>48</v>
      </c>
      <c r="J503" t="s">
        <v>58</v>
      </c>
      <c r="K503" t="s">
        <v>62</v>
      </c>
      <c r="L503" s="3">
        <v>123</v>
      </c>
      <c r="M503" s="3">
        <v>4</v>
      </c>
      <c r="N503">
        <v>1</v>
      </c>
      <c r="O503">
        <v>8</v>
      </c>
      <c r="P503" t="s">
        <v>31</v>
      </c>
    </row>
    <row r="504" spans="1:16">
      <c r="A504" t="s">
        <v>635</v>
      </c>
      <c r="B504" s="6">
        <v>46144.852777777778</v>
      </c>
      <c r="C504" s="2">
        <v>46145.094636851849</v>
      </c>
      <c r="D504" t="s">
        <v>23</v>
      </c>
      <c r="E504" t="s">
        <v>24</v>
      </c>
      <c r="F504" t="s">
        <v>51</v>
      </c>
      <c r="G504" t="s">
        <v>26</v>
      </c>
      <c r="H504" t="s">
        <v>27</v>
      </c>
      <c r="I504" t="s">
        <v>48</v>
      </c>
      <c r="J504" t="s">
        <v>37</v>
      </c>
      <c r="K504" t="s">
        <v>71</v>
      </c>
      <c r="L504" s="3">
        <v>57</v>
      </c>
      <c r="M504" s="3">
        <v>5</v>
      </c>
      <c r="N504">
        <v>0</v>
      </c>
      <c r="O504">
        <v>5</v>
      </c>
      <c r="P504" t="s">
        <v>31</v>
      </c>
    </row>
    <row r="505" spans="1:16">
      <c r="A505" t="s">
        <v>636</v>
      </c>
      <c r="B505" s="6">
        <v>46215.412499999999</v>
      </c>
      <c r="C505" s="2">
        <v>46216.527842488424</v>
      </c>
      <c r="D505" t="s">
        <v>23</v>
      </c>
      <c r="E505" t="s">
        <v>33</v>
      </c>
      <c r="F505" t="s">
        <v>25</v>
      </c>
      <c r="G505" t="s">
        <v>54</v>
      </c>
      <c r="H505" t="s">
        <v>35</v>
      </c>
      <c r="I505" t="s">
        <v>36</v>
      </c>
      <c r="J505" t="s">
        <v>37</v>
      </c>
      <c r="K505" t="s">
        <v>71</v>
      </c>
      <c r="L505" s="3">
        <v>218</v>
      </c>
      <c r="M505" s="3">
        <v>4</v>
      </c>
      <c r="N505">
        <v>0</v>
      </c>
      <c r="O505">
        <v>7</v>
      </c>
      <c r="P505" t="s">
        <v>31</v>
      </c>
    </row>
    <row r="506" spans="1:16">
      <c r="A506" t="s">
        <v>637</v>
      </c>
      <c r="B506" s="6">
        <v>46035.76666666667</v>
      </c>
      <c r="C506" s="2">
        <v>46039.133804016201</v>
      </c>
      <c r="D506" t="s">
        <v>23</v>
      </c>
      <c r="E506" t="s">
        <v>33</v>
      </c>
      <c r="F506" t="s">
        <v>41</v>
      </c>
      <c r="G506" t="s">
        <v>26</v>
      </c>
      <c r="H506" t="s">
        <v>35</v>
      </c>
      <c r="I506" t="s">
        <v>36</v>
      </c>
      <c r="J506" t="s">
        <v>37</v>
      </c>
      <c r="K506" t="s">
        <v>68</v>
      </c>
      <c r="L506" s="3">
        <v>447</v>
      </c>
      <c r="M506" s="3">
        <v>2</v>
      </c>
      <c r="N506">
        <v>0</v>
      </c>
      <c r="O506">
        <v>4</v>
      </c>
      <c r="P506" t="s">
        <v>63</v>
      </c>
    </row>
    <row r="507" spans="1:16">
      <c r="A507" t="s">
        <v>638</v>
      </c>
      <c r="B507" s="6">
        <v>46219.655555555553</v>
      </c>
      <c r="C507" s="2">
        <v>46220.864732708331</v>
      </c>
      <c r="D507" t="s">
        <v>23</v>
      </c>
      <c r="E507" t="s">
        <v>50</v>
      </c>
      <c r="F507" t="s">
        <v>25</v>
      </c>
      <c r="G507" t="s">
        <v>75</v>
      </c>
      <c r="H507" t="s">
        <v>42</v>
      </c>
      <c r="I507" t="s">
        <v>28</v>
      </c>
      <c r="J507" t="s">
        <v>37</v>
      </c>
      <c r="K507" t="s">
        <v>85</v>
      </c>
      <c r="L507" s="3">
        <v>270</v>
      </c>
      <c r="M507" s="3">
        <v>3</v>
      </c>
      <c r="N507">
        <v>0</v>
      </c>
      <c r="O507">
        <v>7</v>
      </c>
      <c r="P507" t="s">
        <v>31</v>
      </c>
    </row>
    <row r="508" spans="1:16">
      <c r="A508" t="s">
        <v>639</v>
      </c>
      <c r="B508" s="6">
        <v>46097.510416666664</v>
      </c>
      <c r="C508" s="2">
        <v>46098.740587719905</v>
      </c>
      <c r="D508" t="s">
        <v>23</v>
      </c>
      <c r="E508" t="s">
        <v>50</v>
      </c>
      <c r="F508" t="s">
        <v>25</v>
      </c>
      <c r="G508" t="s">
        <v>26</v>
      </c>
      <c r="H508" t="s">
        <v>42</v>
      </c>
      <c r="I508" t="s">
        <v>48</v>
      </c>
      <c r="J508" t="s">
        <v>76</v>
      </c>
      <c r="K508" t="s">
        <v>30</v>
      </c>
      <c r="L508" s="3">
        <v>44</v>
      </c>
      <c r="M508" s="3">
        <v>4</v>
      </c>
      <c r="N508">
        <v>0</v>
      </c>
      <c r="O508">
        <v>4</v>
      </c>
      <c r="P508" t="s">
        <v>31</v>
      </c>
    </row>
    <row r="509" spans="1:16">
      <c r="A509" t="s">
        <v>640</v>
      </c>
      <c r="B509" s="6">
        <v>46144.472222222219</v>
      </c>
      <c r="C509" s="2">
        <v>46145.547874421296</v>
      </c>
      <c r="D509" t="s">
        <v>23</v>
      </c>
      <c r="E509" t="s">
        <v>50</v>
      </c>
      <c r="F509" t="s">
        <v>51</v>
      </c>
      <c r="G509" t="s">
        <v>26</v>
      </c>
      <c r="H509" t="s">
        <v>35</v>
      </c>
      <c r="I509" t="s">
        <v>36</v>
      </c>
      <c r="J509" t="s">
        <v>37</v>
      </c>
      <c r="K509" t="s">
        <v>93</v>
      </c>
      <c r="L509" s="3">
        <v>139</v>
      </c>
      <c r="M509" s="3">
        <v>4</v>
      </c>
      <c r="N509">
        <v>0</v>
      </c>
      <c r="O509">
        <v>3</v>
      </c>
      <c r="P509" t="s">
        <v>31</v>
      </c>
    </row>
    <row r="510" spans="1:16">
      <c r="A510" t="s">
        <v>641</v>
      </c>
      <c r="B510" s="6">
        <v>46234.595833333333</v>
      </c>
      <c r="C510" s="2"/>
      <c r="D510" t="s">
        <v>74</v>
      </c>
      <c r="E510" t="s">
        <v>112</v>
      </c>
      <c r="F510" t="s">
        <v>25</v>
      </c>
      <c r="G510" t="s">
        <v>54</v>
      </c>
      <c r="H510" t="s">
        <v>42</v>
      </c>
      <c r="I510" t="s">
        <v>48</v>
      </c>
      <c r="J510" t="s">
        <v>29</v>
      </c>
      <c r="K510" t="s">
        <v>44</v>
      </c>
      <c r="L510" s="3">
        <v>179</v>
      </c>
      <c r="M510" s="3"/>
      <c r="N510">
        <v>0</v>
      </c>
      <c r="O510">
        <v>4</v>
      </c>
      <c r="P510" t="s">
        <v>63</v>
      </c>
    </row>
    <row r="511" spans="1:16">
      <c r="A511" t="s">
        <v>642</v>
      </c>
      <c r="B511" s="6">
        <v>46190.39166666667</v>
      </c>
      <c r="C511" s="2">
        <v>46191.659127708335</v>
      </c>
      <c r="D511" t="s">
        <v>23</v>
      </c>
      <c r="E511" t="s">
        <v>50</v>
      </c>
      <c r="F511" t="s">
        <v>65</v>
      </c>
      <c r="G511" t="s">
        <v>75</v>
      </c>
      <c r="H511" t="s">
        <v>42</v>
      </c>
      <c r="I511" t="s">
        <v>36</v>
      </c>
      <c r="J511" t="s">
        <v>37</v>
      </c>
      <c r="K511" t="s">
        <v>93</v>
      </c>
      <c r="L511" s="3">
        <v>147</v>
      </c>
      <c r="M511" s="3">
        <v>4</v>
      </c>
      <c r="N511">
        <v>0</v>
      </c>
      <c r="O511">
        <v>2</v>
      </c>
      <c r="P511" t="s">
        <v>31</v>
      </c>
    </row>
    <row r="512" spans="1:16">
      <c r="A512" t="s">
        <v>643</v>
      </c>
      <c r="B512" s="6">
        <v>46101.731944444444</v>
      </c>
      <c r="C512" s="2">
        <v>46102.140817812498</v>
      </c>
      <c r="D512" t="s">
        <v>23</v>
      </c>
      <c r="E512" t="s">
        <v>50</v>
      </c>
      <c r="F512" t="s">
        <v>51</v>
      </c>
      <c r="G512" t="s">
        <v>26</v>
      </c>
      <c r="H512" t="s">
        <v>35</v>
      </c>
      <c r="I512" t="s">
        <v>36</v>
      </c>
      <c r="J512" t="s">
        <v>52</v>
      </c>
      <c r="K512" t="s">
        <v>101</v>
      </c>
      <c r="L512" s="3">
        <v>92</v>
      </c>
      <c r="M512" s="3">
        <v>4</v>
      </c>
      <c r="N512">
        <v>0</v>
      </c>
      <c r="O512">
        <v>5</v>
      </c>
      <c r="P512" t="s">
        <v>31</v>
      </c>
    </row>
    <row r="513" spans="1:16">
      <c r="A513" t="s">
        <v>644</v>
      </c>
      <c r="B513" s="6">
        <v>46083.716666666667</v>
      </c>
      <c r="C513" s="2">
        <v>46085.160415416663</v>
      </c>
      <c r="D513" t="s">
        <v>23</v>
      </c>
      <c r="E513" t="s">
        <v>50</v>
      </c>
      <c r="F513" t="s">
        <v>25</v>
      </c>
      <c r="G513" t="s">
        <v>54</v>
      </c>
      <c r="H513" t="s">
        <v>27</v>
      </c>
      <c r="I513" t="s">
        <v>48</v>
      </c>
      <c r="J513" t="s">
        <v>37</v>
      </c>
      <c r="K513" t="s">
        <v>44</v>
      </c>
      <c r="L513" s="3">
        <v>65</v>
      </c>
      <c r="M513" s="3">
        <v>4</v>
      </c>
      <c r="N513">
        <v>0</v>
      </c>
      <c r="O513">
        <v>4</v>
      </c>
      <c r="P513" t="s">
        <v>31</v>
      </c>
    </row>
    <row r="514" spans="1:16">
      <c r="A514" t="s">
        <v>645</v>
      </c>
      <c r="B514" s="6">
        <v>46049.364583333336</v>
      </c>
      <c r="C514" s="2">
        <v>46050.28317052083</v>
      </c>
      <c r="D514" t="s">
        <v>23</v>
      </c>
      <c r="E514" t="s">
        <v>50</v>
      </c>
      <c r="F514" t="s">
        <v>100</v>
      </c>
      <c r="G514" t="s">
        <v>34</v>
      </c>
      <c r="H514" t="s">
        <v>42</v>
      </c>
      <c r="I514" t="s">
        <v>28</v>
      </c>
      <c r="J514" t="s">
        <v>29</v>
      </c>
      <c r="K514" t="s">
        <v>38</v>
      </c>
      <c r="L514" s="3">
        <v>58</v>
      </c>
      <c r="M514" s="3">
        <v>4</v>
      </c>
      <c r="N514">
        <v>0</v>
      </c>
      <c r="O514">
        <v>7</v>
      </c>
      <c r="P514" t="s">
        <v>31</v>
      </c>
    </row>
    <row r="515" spans="1:16">
      <c r="A515" t="s">
        <v>646</v>
      </c>
      <c r="B515" s="6">
        <v>46122.261805555558</v>
      </c>
      <c r="C515" s="2">
        <v>46125.077279826386</v>
      </c>
      <c r="D515" t="s">
        <v>23</v>
      </c>
      <c r="E515" t="s">
        <v>33</v>
      </c>
      <c r="F515" t="s">
        <v>25</v>
      </c>
      <c r="G515" t="s">
        <v>34</v>
      </c>
      <c r="H515" t="s">
        <v>35</v>
      </c>
      <c r="I515" t="s">
        <v>48</v>
      </c>
      <c r="J515" t="s">
        <v>37</v>
      </c>
      <c r="K515" t="s">
        <v>93</v>
      </c>
      <c r="L515" s="3">
        <v>631</v>
      </c>
      <c r="M515" s="3">
        <v>2</v>
      </c>
      <c r="N515">
        <v>0</v>
      </c>
      <c r="O515">
        <v>13</v>
      </c>
      <c r="P515" t="s">
        <v>63</v>
      </c>
    </row>
    <row r="516" spans="1:16">
      <c r="A516" t="s">
        <v>647</v>
      </c>
      <c r="B516" s="6">
        <v>46067.109722222223</v>
      </c>
      <c r="C516" s="2" t="s">
        <v>648</v>
      </c>
      <c r="D516" t="s">
        <v>23</v>
      </c>
      <c r="E516" t="s">
        <v>50</v>
      </c>
      <c r="F516" t="s">
        <v>25</v>
      </c>
      <c r="G516" t="s">
        <v>26</v>
      </c>
      <c r="H516" t="s">
        <v>35</v>
      </c>
      <c r="I516" t="s">
        <v>43</v>
      </c>
      <c r="J516" t="s">
        <v>52</v>
      </c>
      <c r="K516" t="s">
        <v>55</v>
      </c>
      <c r="L516" s="3">
        <v>114</v>
      </c>
      <c r="M516" s="3">
        <v>3</v>
      </c>
      <c r="N516">
        <v>0</v>
      </c>
      <c r="O516">
        <v>7</v>
      </c>
      <c r="P516" t="s">
        <v>31</v>
      </c>
    </row>
    <row r="517" spans="1:16">
      <c r="A517" t="s">
        <v>649</v>
      </c>
      <c r="B517" s="6">
        <v>46067.961111111108</v>
      </c>
      <c r="C517" s="2">
        <v>46068.821530810186</v>
      </c>
      <c r="D517" t="s">
        <v>23</v>
      </c>
      <c r="E517" t="s">
        <v>33</v>
      </c>
      <c r="F517" t="s">
        <v>51</v>
      </c>
      <c r="G517" t="s">
        <v>26</v>
      </c>
      <c r="H517" t="s">
        <v>42</v>
      </c>
      <c r="I517" t="s">
        <v>48</v>
      </c>
      <c r="J517" t="s">
        <v>52</v>
      </c>
      <c r="K517" t="s">
        <v>93</v>
      </c>
      <c r="L517" s="3">
        <v>138</v>
      </c>
      <c r="M517" s="3">
        <v>3</v>
      </c>
      <c r="N517">
        <v>1</v>
      </c>
      <c r="O517">
        <v>13</v>
      </c>
      <c r="P517" t="s">
        <v>63</v>
      </c>
    </row>
    <row r="518" spans="1:16">
      <c r="A518" t="s">
        <v>650</v>
      </c>
      <c r="B518" s="6">
        <v>46262.972222222219</v>
      </c>
      <c r="C518" s="2">
        <v>46265.756856377317</v>
      </c>
      <c r="D518" t="s">
        <v>23</v>
      </c>
      <c r="E518" t="s">
        <v>50</v>
      </c>
      <c r="F518" t="s">
        <v>25</v>
      </c>
      <c r="G518" t="s">
        <v>34</v>
      </c>
      <c r="H518" t="s">
        <v>42</v>
      </c>
      <c r="I518" t="s">
        <v>36</v>
      </c>
      <c r="J518" t="s">
        <v>76</v>
      </c>
      <c r="K518" t="s">
        <v>38</v>
      </c>
      <c r="L518" s="3">
        <v>54</v>
      </c>
      <c r="M518" s="3">
        <v>4</v>
      </c>
      <c r="N518">
        <v>0</v>
      </c>
      <c r="O518">
        <v>2</v>
      </c>
      <c r="P518" t="s">
        <v>31</v>
      </c>
    </row>
    <row r="519" spans="1:16">
      <c r="A519" t="s">
        <v>651</v>
      </c>
      <c r="B519" s="6">
        <v>46028.839583333334</v>
      </c>
      <c r="C519" s="2">
        <v>46029.517384270832</v>
      </c>
      <c r="D519" t="s">
        <v>23</v>
      </c>
      <c r="E519" t="s">
        <v>50</v>
      </c>
      <c r="F519" t="s">
        <v>41</v>
      </c>
      <c r="G519" t="s">
        <v>54</v>
      </c>
      <c r="H519" t="s">
        <v>42</v>
      </c>
      <c r="I519" t="s">
        <v>43</v>
      </c>
      <c r="J519" t="s">
        <v>37</v>
      </c>
      <c r="K519" t="s">
        <v>44</v>
      </c>
      <c r="L519" s="3">
        <v>143</v>
      </c>
      <c r="M519" s="3">
        <v>4</v>
      </c>
      <c r="N519">
        <v>0</v>
      </c>
      <c r="O519">
        <v>5</v>
      </c>
      <c r="P519" t="s">
        <v>31</v>
      </c>
    </row>
    <row r="520" spans="1:16">
      <c r="A520" t="s">
        <v>652</v>
      </c>
      <c r="B520" s="6">
        <v>46204.695138888892</v>
      </c>
      <c r="C520" s="2">
        <v>46206.061356550927</v>
      </c>
      <c r="D520" t="s">
        <v>23</v>
      </c>
      <c r="E520" t="s">
        <v>33</v>
      </c>
      <c r="F520" t="s">
        <v>41</v>
      </c>
      <c r="G520" t="s">
        <v>26</v>
      </c>
      <c r="H520" t="s">
        <v>27</v>
      </c>
      <c r="I520" t="s">
        <v>28</v>
      </c>
      <c r="J520" t="s">
        <v>52</v>
      </c>
      <c r="K520" t="s">
        <v>101</v>
      </c>
      <c r="L520" s="3">
        <v>279</v>
      </c>
      <c r="M520" s="3">
        <v>3</v>
      </c>
      <c r="N520">
        <v>0</v>
      </c>
      <c r="O520">
        <v>4</v>
      </c>
      <c r="P520" t="s">
        <v>31</v>
      </c>
    </row>
    <row r="521" spans="1:16">
      <c r="A521" t="s">
        <v>653</v>
      </c>
      <c r="B521" s="6">
        <v>46074.040972222225</v>
      </c>
      <c r="C521" s="2">
        <v>46075.141782557868</v>
      </c>
      <c r="D521" t="s">
        <v>23</v>
      </c>
      <c r="E521" t="s">
        <v>33</v>
      </c>
      <c r="F521" t="s">
        <v>51</v>
      </c>
      <c r="G521" t="s">
        <v>26</v>
      </c>
      <c r="H521" t="s">
        <v>42</v>
      </c>
      <c r="I521" t="s">
        <v>43</v>
      </c>
      <c r="J521" t="s">
        <v>37</v>
      </c>
      <c r="L521" s="3">
        <v>215</v>
      </c>
      <c r="M521" s="3">
        <v>4</v>
      </c>
      <c r="N521">
        <v>0</v>
      </c>
      <c r="O521">
        <v>7</v>
      </c>
      <c r="P521" t="s">
        <v>31</v>
      </c>
    </row>
    <row r="522" spans="1:16">
      <c r="A522" t="s">
        <v>654</v>
      </c>
      <c r="B522" s="6">
        <v>46110.680555555555</v>
      </c>
      <c r="C522" s="2">
        <v>46111.126560636571</v>
      </c>
      <c r="D522" t="s">
        <v>23</v>
      </c>
      <c r="E522" t="s">
        <v>50</v>
      </c>
      <c r="F522" t="s">
        <v>41</v>
      </c>
      <c r="G522" t="s">
        <v>34</v>
      </c>
      <c r="H522" t="s">
        <v>27</v>
      </c>
      <c r="I522" t="s">
        <v>36</v>
      </c>
      <c r="J522" t="s">
        <v>52</v>
      </c>
      <c r="K522" t="s">
        <v>55</v>
      </c>
      <c r="L522" s="3">
        <v>213</v>
      </c>
      <c r="M522" s="3">
        <v>4</v>
      </c>
      <c r="N522">
        <v>0</v>
      </c>
      <c r="O522">
        <v>5</v>
      </c>
      <c r="P522" t="s">
        <v>31</v>
      </c>
    </row>
    <row r="523" spans="1:16">
      <c r="A523" t="s">
        <v>655</v>
      </c>
      <c r="B523" s="6">
        <v>46176.87222222222</v>
      </c>
      <c r="C523" s="2">
        <v>46177.047228414354</v>
      </c>
      <c r="D523" t="s">
        <v>23</v>
      </c>
      <c r="E523" t="s">
        <v>40</v>
      </c>
      <c r="F523" t="s">
        <v>41</v>
      </c>
      <c r="G523" t="s">
        <v>54</v>
      </c>
      <c r="H523" t="s">
        <v>42</v>
      </c>
      <c r="I523" t="s">
        <v>28</v>
      </c>
      <c r="J523" t="s">
        <v>37</v>
      </c>
      <c r="K523" t="s">
        <v>93</v>
      </c>
      <c r="L523" s="3">
        <v>5</v>
      </c>
      <c r="M523" s="3">
        <v>5</v>
      </c>
      <c r="N523">
        <v>0</v>
      </c>
      <c r="O523">
        <v>6</v>
      </c>
      <c r="P523" t="s">
        <v>31</v>
      </c>
    </row>
    <row r="524" spans="1:16">
      <c r="A524" t="s">
        <v>656</v>
      </c>
      <c r="B524" s="6">
        <v>46137.541666666664</v>
      </c>
      <c r="C524" s="2">
        <v>46137.79108260417</v>
      </c>
      <c r="D524" t="s">
        <v>23</v>
      </c>
      <c r="E524" t="s">
        <v>40</v>
      </c>
      <c r="F524" t="s">
        <v>51</v>
      </c>
      <c r="G524" t="s">
        <v>26</v>
      </c>
      <c r="H524" t="s">
        <v>35</v>
      </c>
      <c r="I524" t="s">
        <v>43</v>
      </c>
      <c r="J524" t="s">
        <v>67</v>
      </c>
      <c r="K524" t="s">
        <v>38</v>
      </c>
      <c r="L524" s="3">
        <v>44</v>
      </c>
      <c r="M524" s="3">
        <v>4</v>
      </c>
      <c r="N524">
        <v>1</v>
      </c>
      <c r="O524">
        <v>8</v>
      </c>
      <c r="P524" t="s">
        <v>31</v>
      </c>
    </row>
    <row r="525" spans="1:16">
      <c r="A525" t="s">
        <v>657</v>
      </c>
      <c r="B525" s="6">
        <v>46081.430555555555</v>
      </c>
      <c r="C525" s="2">
        <v>46082.022262812498</v>
      </c>
      <c r="D525" t="s">
        <v>23</v>
      </c>
      <c r="E525" t="s">
        <v>40</v>
      </c>
      <c r="F525" t="s">
        <v>25</v>
      </c>
      <c r="G525" t="s">
        <v>75</v>
      </c>
      <c r="H525" t="s">
        <v>35</v>
      </c>
      <c r="I525" t="s">
        <v>43</v>
      </c>
      <c r="J525" t="s">
        <v>37</v>
      </c>
      <c r="K525" t="s">
        <v>93</v>
      </c>
      <c r="L525" s="3">
        <v>102</v>
      </c>
      <c r="M525" s="3">
        <v>4</v>
      </c>
      <c r="N525">
        <v>1</v>
      </c>
      <c r="O525">
        <v>8</v>
      </c>
      <c r="P525" t="s">
        <v>31</v>
      </c>
    </row>
    <row r="526" spans="1:16">
      <c r="A526" t="s">
        <v>658</v>
      </c>
      <c r="B526" s="6" t="s">
        <v>659</v>
      </c>
      <c r="C526" s="2">
        <v>46064.679448541669</v>
      </c>
      <c r="D526" t="s">
        <v>23</v>
      </c>
      <c r="E526" t="s">
        <v>40</v>
      </c>
      <c r="F526" t="s">
        <v>65</v>
      </c>
      <c r="G526" t="s">
        <v>75</v>
      </c>
      <c r="H526" t="s">
        <v>42</v>
      </c>
      <c r="I526" t="s">
        <v>48</v>
      </c>
      <c r="J526" t="s">
        <v>58</v>
      </c>
      <c r="K526" t="s">
        <v>44</v>
      </c>
      <c r="L526" s="3">
        <v>42</v>
      </c>
      <c r="M526" s="3">
        <v>4</v>
      </c>
      <c r="N526">
        <v>1</v>
      </c>
      <c r="O526">
        <v>7</v>
      </c>
      <c r="P526" t="s">
        <v>31</v>
      </c>
    </row>
    <row r="527" spans="1:16">
      <c r="A527" t="s">
        <v>660</v>
      </c>
      <c r="B527" s="6">
        <v>46151.581250000003</v>
      </c>
      <c r="C527" s="2">
        <v>46152.273011168982</v>
      </c>
      <c r="D527" t="s">
        <v>23</v>
      </c>
      <c r="E527" t="s">
        <v>33</v>
      </c>
      <c r="F527" t="s">
        <v>41</v>
      </c>
      <c r="G527" t="s">
        <v>26</v>
      </c>
      <c r="H527" t="s">
        <v>35</v>
      </c>
      <c r="I527" t="s">
        <v>48</v>
      </c>
      <c r="J527" t="s">
        <v>251</v>
      </c>
      <c r="K527" t="s">
        <v>68</v>
      </c>
      <c r="L527" s="3">
        <v>258</v>
      </c>
      <c r="M527" s="3">
        <v>2</v>
      </c>
      <c r="N527">
        <v>2</v>
      </c>
      <c r="O527">
        <v>15</v>
      </c>
      <c r="P527" t="s">
        <v>31</v>
      </c>
    </row>
    <row r="528" spans="1:16">
      <c r="A528" t="s">
        <v>661</v>
      </c>
      <c r="B528" s="6">
        <v>46157.609027777777</v>
      </c>
      <c r="C528" s="2">
        <v>46157.997052523147</v>
      </c>
      <c r="D528" t="s">
        <v>23</v>
      </c>
      <c r="E528" t="s">
        <v>50</v>
      </c>
      <c r="F528" t="s">
        <v>65</v>
      </c>
      <c r="G528" t="s">
        <v>34</v>
      </c>
      <c r="H528" t="s">
        <v>35</v>
      </c>
      <c r="I528" t="s">
        <v>36</v>
      </c>
      <c r="J528" t="s">
        <v>37</v>
      </c>
      <c r="K528" t="s">
        <v>71</v>
      </c>
      <c r="L528" s="3">
        <v>135</v>
      </c>
      <c r="M528" s="3">
        <v>4</v>
      </c>
      <c r="N528">
        <v>0</v>
      </c>
      <c r="O528">
        <v>11</v>
      </c>
      <c r="P528" t="s">
        <v>63</v>
      </c>
    </row>
    <row r="529" spans="1:16">
      <c r="A529" t="s">
        <v>662</v>
      </c>
      <c r="B529" s="6">
        <v>46137.871527777781</v>
      </c>
      <c r="C529" s="2">
        <v>46140.225818425926</v>
      </c>
      <c r="D529" t="s">
        <v>23</v>
      </c>
      <c r="E529" t="s">
        <v>33</v>
      </c>
      <c r="F529" t="s">
        <v>65</v>
      </c>
      <c r="G529" t="s">
        <v>34</v>
      </c>
      <c r="H529" t="s">
        <v>35</v>
      </c>
      <c r="I529" t="s">
        <v>43</v>
      </c>
      <c r="J529" t="s">
        <v>58</v>
      </c>
      <c r="L529" s="3">
        <v>110</v>
      </c>
      <c r="M529" s="3">
        <v>4</v>
      </c>
      <c r="N529">
        <v>0</v>
      </c>
      <c r="O529">
        <v>2</v>
      </c>
      <c r="P529" t="s">
        <v>31</v>
      </c>
    </row>
    <row r="530" spans="1:16">
      <c r="A530" t="s">
        <v>663</v>
      </c>
      <c r="B530" s="6">
        <v>46040.71597222222</v>
      </c>
      <c r="C530" s="2">
        <v>46042.498467824073</v>
      </c>
      <c r="D530" t="s">
        <v>23</v>
      </c>
      <c r="E530" t="s">
        <v>50</v>
      </c>
      <c r="F530" t="s">
        <v>25</v>
      </c>
      <c r="G530" t="s">
        <v>54</v>
      </c>
      <c r="H530" t="s">
        <v>35</v>
      </c>
      <c r="I530" t="s">
        <v>43</v>
      </c>
      <c r="J530" t="s">
        <v>37</v>
      </c>
      <c r="K530" t="s">
        <v>62</v>
      </c>
      <c r="L530" s="3">
        <v>206</v>
      </c>
      <c r="M530" s="3">
        <v>4</v>
      </c>
      <c r="N530">
        <v>0</v>
      </c>
      <c r="O530">
        <v>5</v>
      </c>
      <c r="P530" t="s">
        <v>31</v>
      </c>
    </row>
    <row r="531" spans="1:16">
      <c r="A531" t="s">
        <v>664</v>
      </c>
      <c r="B531" s="6">
        <v>46157.888194444444</v>
      </c>
      <c r="C531" s="2">
        <v>46159.967898009258</v>
      </c>
      <c r="D531" t="s">
        <v>23</v>
      </c>
      <c r="E531" t="s">
        <v>33</v>
      </c>
      <c r="F531" t="s">
        <v>41</v>
      </c>
      <c r="G531" t="s">
        <v>26</v>
      </c>
      <c r="H531" t="s">
        <v>42</v>
      </c>
      <c r="I531" t="s">
        <v>43</v>
      </c>
      <c r="J531" t="s">
        <v>601</v>
      </c>
      <c r="K531" t="s">
        <v>71</v>
      </c>
      <c r="L531" s="3">
        <v>147</v>
      </c>
      <c r="M531" s="3">
        <v>4</v>
      </c>
      <c r="N531">
        <v>0</v>
      </c>
      <c r="O531">
        <v>5</v>
      </c>
      <c r="P531" t="s">
        <v>31</v>
      </c>
    </row>
    <row r="532" spans="1:16">
      <c r="A532" t="s">
        <v>665</v>
      </c>
      <c r="B532" s="6">
        <v>46060.260416666664</v>
      </c>
      <c r="C532" s="2">
        <v>46061.501147233794</v>
      </c>
      <c r="D532" t="s">
        <v>23</v>
      </c>
      <c r="E532" t="s">
        <v>33</v>
      </c>
      <c r="F532" t="s">
        <v>25</v>
      </c>
      <c r="G532" t="s">
        <v>26</v>
      </c>
      <c r="H532" t="s">
        <v>35</v>
      </c>
      <c r="I532" t="s">
        <v>48</v>
      </c>
      <c r="J532" t="s">
        <v>76</v>
      </c>
      <c r="K532" t="s">
        <v>85</v>
      </c>
      <c r="L532" s="3">
        <v>85</v>
      </c>
      <c r="M532" s="3">
        <v>4</v>
      </c>
      <c r="N532">
        <v>0</v>
      </c>
      <c r="O532">
        <v>5</v>
      </c>
      <c r="P532" t="s">
        <v>31</v>
      </c>
    </row>
    <row r="533" spans="1:16">
      <c r="A533" t="s">
        <v>666</v>
      </c>
      <c r="B533" s="6">
        <v>46167.600694444445</v>
      </c>
      <c r="C533" s="2">
        <v>46170.709725555556</v>
      </c>
      <c r="D533" t="s">
        <v>23</v>
      </c>
      <c r="E533" t="s">
        <v>50</v>
      </c>
      <c r="F533" t="s">
        <v>41</v>
      </c>
      <c r="G533" t="s">
        <v>54</v>
      </c>
      <c r="H533" t="s">
        <v>42</v>
      </c>
      <c r="I533" t="s">
        <v>28</v>
      </c>
      <c r="J533" t="s">
        <v>67</v>
      </c>
      <c r="K533" t="s">
        <v>71</v>
      </c>
      <c r="L533" s="3">
        <v>141</v>
      </c>
      <c r="M533" s="3">
        <v>4</v>
      </c>
      <c r="N533">
        <v>0</v>
      </c>
      <c r="O533">
        <v>2</v>
      </c>
      <c r="P533" t="s">
        <v>31</v>
      </c>
    </row>
    <row r="534" spans="1:16">
      <c r="A534" t="s">
        <v>667</v>
      </c>
      <c r="B534" s="6">
        <v>46216.370138888888</v>
      </c>
      <c r="C534" s="2">
        <v>46218.937331261572</v>
      </c>
      <c r="D534" t="s">
        <v>23</v>
      </c>
      <c r="E534" t="s">
        <v>33</v>
      </c>
      <c r="F534" t="s">
        <v>51</v>
      </c>
      <c r="G534" t="s">
        <v>26</v>
      </c>
      <c r="H534" t="s">
        <v>27</v>
      </c>
      <c r="I534" t="s">
        <v>43</v>
      </c>
      <c r="J534" t="s">
        <v>76</v>
      </c>
      <c r="K534" t="s">
        <v>38</v>
      </c>
      <c r="L534" s="3">
        <v>165</v>
      </c>
      <c r="M534" s="3">
        <v>4</v>
      </c>
      <c r="N534">
        <v>0</v>
      </c>
      <c r="O534">
        <v>3</v>
      </c>
      <c r="P534" t="s">
        <v>31</v>
      </c>
    </row>
    <row r="535" spans="1:16">
      <c r="A535" t="s">
        <v>668</v>
      </c>
      <c r="B535" s="6">
        <v>46226.361111111109</v>
      </c>
      <c r="C535" s="2">
        <v>46229.411171817126</v>
      </c>
      <c r="D535" t="s">
        <v>23</v>
      </c>
      <c r="E535" t="s">
        <v>33</v>
      </c>
      <c r="F535" t="s">
        <v>65</v>
      </c>
      <c r="G535" t="s">
        <v>34</v>
      </c>
      <c r="H535" t="s">
        <v>27</v>
      </c>
      <c r="I535" t="s">
        <v>43</v>
      </c>
      <c r="J535" t="s">
        <v>58</v>
      </c>
      <c r="K535" t="s">
        <v>55</v>
      </c>
      <c r="L535" s="3">
        <v>217</v>
      </c>
      <c r="M535" s="3">
        <v>3</v>
      </c>
      <c r="N535">
        <v>1</v>
      </c>
      <c r="O535">
        <v>6</v>
      </c>
      <c r="P535" t="s">
        <v>31</v>
      </c>
    </row>
    <row r="536" spans="1:16">
      <c r="A536" t="s">
        <v>669</v>
      </c>
      <c r="B536" s="6">
        <v>46157.363194444442</v>
      </c>
      <c r="C536" s="2">
        <v>46158.534175324072</v>
      </c>
      <c r="D536" t="s">
        <v>23</v>
      </c>
      <c r="E536" t="s">
        <v>50</v>
      </c>
      <c r="F536" t="s">
        <v>51</v>
      </c>
      <c r="G536" t="s">
        <v>66</v>
      </c>
      <c r="H536" t="s">
        <v>35</v>
      </c>
      <c r="I536" t="s">
        <v>48</v>
      </c>
      <c r="J536" t="s">
        <v>52</v>
      </c>
      <c r="K536" t="s">
        <v>71</v>
      </c>
      <c r="L536" s="3">
        <v>85</v>
      </c>
      <c r="M536" s="3">
        <v>4</v>
      </c>
      <c r="N536">
        <v>0</v>
      </c>
      <c r="O536">
        <v>7</v>
      </c>
      <c r="P536" t="s">
        <v>31</v>
      </c>
    </row>
    <row r="537" spans="1:16">
      <c r="A537" t="s">
        <v>670</v>
      </c>
      <c r="B537" s="6">
        <v>46227.737500000003</v>
      </c>
      <c r="C537" s="2">
        <v>46231.733607372684</v>
      </c>
      <c r="D537" t="s">
        <v>23</v>
      </c>
      <c r="E537" t="s">
        <v>33</v>
      </c>
      <c r="F537" t="s">
        <v>41</v>
      </c>
      <c r="G537" t="s">
        <v>26</v>
      </c>
      <c r="H537" t="s">
        <v>27</v>
      </c>
      <c r="I537" t="s">
        <v>36</v>
      </c>
      <c r="J537" t="s">
        <v>76</v>
      </c>
      <c r="K537" t="s">
        <v>93</v>
      </c>
      <c r="L537" s="3">
        <v>92</v>
      </c>
      <c r="M537" s="3">
        <v>4</v>
      </c>
      <c r="N537">
        <v>0</v>
      </c>
      <c r="O537">
        <v>6</v>
      </c>
      <c r="P537" t="s">
        <v>31</v>
      </c>
    </row>
    <row r="538" spans="1:16">
      <c r="A538" t="s">
        <v>671</v>
      </c>
      <c r="B538" s="6">
        <v>46214.36041666667</v>
      </c>
      <c r="C538" s="2">
        <v>46214.654882187497</v>
      </c>
      <c r="D538" t="s">
        <v>23</v>
      </c>
      <c r="E538" t="s">
        <v>40</v>
      </c>
      <c r="F538" t="s">
        <v>51</v>
      </c>
      <c r="G538" t="s">
        <v>75</v>
      </c>
      <c r="H538" t="s">
        <v>35</v>
      </c>
      <c r="I538" t="s">
        <v>48</v>
      </c>
      <c r="J538" t="s">
        <v>29</v>
      </c>
      <c r="K538" t="s">
        <v>44</v>
      </c>
      <c r="L538" s="3">
        <v>66</v>
      </c>
      <c r="M538" s="3">
        <v>3</v>
      </c>
      <c r="N538">
        <v>1</v>
      </c>
      <c r="O538">
        <v>14</v>
      </c>
      <c r="P538" t="s">
        <v>63</v>
      </c>
    </row>
    <row r="539" spans="1:16">
      <c r="A539" t="s">
        <v>672</v>
      </c>
      <c r="B539" s="6">
        <v>46229.929861111108</v>
      </c>
      <c r="C539" s="2">
        <v>46230.630661134259</v>
      </c>
      <c r="D539" t="s">
        <v>23</v>
      </c>
      <c r="E539" t="s">
        <v>40</v>
      </c>
      <c r="F539" t="s">
        <v>51</v>
      </c>
      <c r="G539" t="s">
        <v>75</v>
      </c>
      <c r="H539" t="s">
        <v>35</v>
      </c>
      <c r="I539" t="s">
        <v>36</v>
      </c>
      <c r="J539" t="s">
        <v>58</v>
      </c>
      <c r="K539" t="s">
        <v>30</v>
      </c>
      <c r="L539" s="3">
        <v>7</v>
      </c>
      <c r="M539" s="3">
        <v>4</v>
      </c>
      <c r="N539">
        <v>0</v>
      </c>
      <c r="O539">
        <v>4</v>
      </c>
      <c r="P539" t="s">
        <v>31</v>
      </c>
    </row>
    <row r="540" spans="1:16">
      <c r="A540" t="s">
        <v>673</v>
      </c>
      <c r="B540" s="6">
        <v>46102.786111111112</v>
      </c>
      <c r="C540" s="2">
        <v>46104.470577511573</v>
      </c>
      <c r="D540" t="s">
        <v>23</v>
      </c>
      <c r="E540" t="s">
        <v>33</v>
      </c>
      <c r="F540" t="s">
        <v>65</v>
      </c>
      <c r="G540" t="s">
        <v>75</v>
      </c>
      <c r="H540" t="s">
        <v>42</v>
      </c>
      <c r="I540" t="s">
        <v>43</v>
      </c>
      <c r="J540" t="s">
        <v>37</v>
      </c>
      <c r="K540" t="s">
        <v>93</v>
      </c>
      <c r="L540" s="3">
        <v>113</v>
      </c>
      <c r="M540" s="3">
        <v>4</v>
      </c>
      <c r="N540">
        <v>0</v>
      </c>
      <c r="O540">
        <v>5</v>
      </c>
      <c r="P540" t="s">
        <v>31</v>
      </c>
    </row>
    <row r="541" spans="1:16">
      <c r="A541" t="s">
        <v>674</v>
      </c>
      <c r="B541" s="6">
        <v>46217.383333333331</v>
      </c>
      <c r="C541" s="2">
        <v>46218.840218067133</v>
      </c>
      <c r="D541" t="s">
        <v>23</v>
      </c>
      <c r="E541" t="s">
        <v>33</v>
      </c>
      <c r="F541" t="s">
        <v>25</v>
      </c>
      <c r="G541" t="s">
        <v>34</v>
      </c>
      <c r="H541" t="s">
        <v>42</v>
      </c>
      <c r="I541" t="s">
        <v>48</v>
      </c>
      <c r="J541" t="s">
        <v>58</v>
      </c>
      <c r="K541" t="s">
        <v>93</v>
      </c>
      <c r="L541" s="3">
        <v>291</v>
      </c>
      <c r="M541" s="3">
        <v>3</v>
      </c>
      <c r="N541">
        <v>0</v>
      </c>
      <c r="O541">
        <v>5</v>
      </c>
      <c r="P541" t="s">
        <v>63</v>
      </c>
    </row>
    <row r="542" spans="1:16">
      <c r="A542" t="s">
        <v>675</v>
      </c>
      <c r="B542" s="6">
        <v>46161.073611111111</v>
      </c>
      <c r="C542" s="2">
        <v>46161.375126770836</v>
      </c>
      <c r="D542" t="s">
        <v>23</v>
      </c>
      <c r="E542" t="s">
        <v>40</v>
      </c>
      <c r="F542" t="s">
        <v>25</v>
      </c>
      <c r="G542" t="s">
        <v>75</v>
      </c>
      <c r="H542" t="s">
        <v>35</v>
      </c>
      <c r="I542" t="s">
        <v>43</v>
      </c>
      <c r="J542" t="s">
        <v>29</v>
      </c>
      <c r="K542" t="s">
        <v>71</v>
      </c>
      <c r="L542" s="3">
        <v>36</v>
      </c>
      <c r="M542" s="3">
        <v>5</v>
      </c>
      <c r="N542">
        <v>0</v>
      </c>
      <c r="O542">
        <v>4</v>
      </c>
      <c r="P542" t="s">
        <v>31</v>
      </c>
    </row>
    <row r="543" spans="1:16">
      <c r="A543" t="s">
        <v>676</v>
      </c>
      <c r="B543" s="6">
        <v>46245.790277777778</v>
      </c>
      <c r="C543" s="2">
        <v>46246.343914722223</v>
      </c>
      <c r="D543" t="s">
        <v>23</v>
      </c>
      <c r="E543" t="s">
        <v>50</v>
      </c>
      <c r="F543" t="s">
        <v>41</v>
      </c>
      <c r="G543" t="s">
        <v>26</v>
      </c>
      <c r="H543" t="s">
        <v>27</v>
      </c>
      <c r="I543" t="s">
        <v>48</v>
      </c>
      <c r="J543" t="s">
        <v>67</v>
      </c>
      <c r="K543" t="s">
        <v>55</v>
      </c>
      <c r="L543" s="3">
        <v>108</v>
      </c>
      <c r="M543" s="3">
        <v>4</v>
      </c>
      <c r="N543">
        <v>1</v>
      </c>
      <c r="O543">
        <v>5</v>
      </c>
      <c r="P543" t="s">
        <v>31</v>
      </c>
    </row>
    <row r="544" spans="1:16">
      <c r="A544" t="s">
        <v>677</v>
      </c>
      <c r="B544" s="6">
        <v>46097.691666666666</v>
      </c>
      <c r="C544" s="2">
        <v>46098.337940335645</v>
      </c>
      <c r="D544" t="s">
        <v>23</v>
      </c>
      <c r="E544" t="s">
        <v>50</v>
      </c>
      <c r="F544" t="s">
        <v>51</v>
      </c>
      <c r="G544" t="s">
        <v>75</v>
      </c>
      <c r="H544" t="s">
        <v>35</v>
      </c>
      <c r="I544" t="s">
        <v>36</v>
      </c>
      <c r="J544" t="s">
        <v>601</v>
      </c>
      <c r="K544" t="s">
        <v>68</v>
      </c>
      <c r="L544" s="3">
        <v>111</v>
      </c>
      <c r="M544" s="3">
        <v>4</v>
      </c>
      <c r="N544">
        <v>1</v>
      </c>
      <c r="O544">
        <v>10</v>
      </c>
      <c r="P544" t="s">
        <v>31</v>
      </c>
    </row>
    <row r="545" spans="1:16">
      <c r="A545" t="s">
        <v>678</v>
      </c>
      <c r="B545" s="6">
        <v>46125.82916666667</v>
      </c>
      <c r="C545" s="2">
        <v>46126.092203298613</v>
      </c>
      <c r="D545" t="s">
        <v>23</v>
      </c>
      <c r="E545" t="s">
        <v>33</v>
      </c>
      <c r="F545" t="s">
        <v>41</v>
      </c>
      <c r="G545" t="s">
        <v>26</v>
      </c>
      <c r="H545" t="s">
        <v>35</v>
      </c>
      <c r="I545" t="s">
        <v>43</v>
      </c>
      <c r="J545" t="s">
        <v>52</v>
      </c>
      <c r="K545" t="s">
        <v>30</v>
      </c>
      <c r="L545" s="3">
        <v>447</v>
      </c>
      <c r="M545" s="3">
        <v>3</v>
      </c>
      <c r="N545">
        <v>0</v>
      </c>
      <c r="O545">
        <v>6</v>
      </c>
      <c r="P545" t="s">
        <v>31</v>
      </c>
    </row>
    <row r="546" spans="1:16">
      <c r="A546" t="s">
        <v>679</v>
      </c>
      <c r="B546" s="6">
        <v>46032.967361111114</v>
      </c>
      <c r="C546" s="2">
        <v>46033.397329120373</v>
      </c>
      <c r="D546" t="s">
        <v>23</v>
      </c>
      <c r="E546" t="s">
        <v>50</v>
      </c>
      <c r="F546" t="s">
        <v>25</v>
      </c>
      <c r="G546" t="s">
        <v>26</v>
      </c>
      <c r="H546" t="s">
        <v>42</v>
      </c>
      <c r="I546" t="s">
        <v>28</v>
      </c>
      <c r="J546" t="s">
        <v>52</v>
      </c>
      <c r="K546" t="s">
        <v>101</v>
      </c>
      <c r="L546" s="3">
        <v>174</v>
      </c>
      <c r="M546" s="3">
        <v>4</v>
      </c>
      <c r="N546">
        <v>0</v>
      </c>
      <c r="O546">
        <v>5</v>
      </c>
      <c r="P546" t="s">
        <v>31</v>
      </c>
    </row>
    <row r="547" spans="1:16">
      <c r="A547" t="s">
        <v>680</v>
      </c>
      <c r="B547" s="6">
        <v>46129.584027777775</v>
      </c>
      <c r="C547" s="2">
        <v>46129.747156423611</v>
      </c>
      <c r="D547" t="s">
        <v>23</v>
      </c>
      <c r="E547" t="s">
        <v>40</v>
      </c>
      <c r="F547" t="s">
        <v>25</v>
      </c>
      <c r="G547" t="s">
        <v>34</v>
      </c>
      <c r="H547" t="s">
        <v>35</v>
      </c>
      <c r="I547" t="s">
        <v>48</v>
      </c>
      <c r="J547" t="s">
        <v>52</v>
      </c>
      <c r="K547" t="s">
        <v>62</v>
      </c>
      <c r="L547" s="3">
        <v>28</v>
      </c>
      <c r="M547" s="3">
        <v>5</v>
      </c>
      <c r="N547">
        <v>0</v>
      </c>
      <c r="O547">
        <v>2</v>
      </c>
      <c r="P547" t="s">
        <v>31</v>
      </c>
    </row>
    <row r="548" spans="1:16">
      <c r="A548" t="s">
        <v>681</v>
      </c>
      <c r="B548" s="6">
        <v>46119.70208333333</v>
      </c>
      <c r="C548" s="2">
        <v>46120.836444872686</v>
      </c>
      <c r="D548" t="s">
        <v>23</v>
      </c>
      <c r="E548" t="s">
        <v>33</v>
      </c>
      <c r="F548" t="s">
        <v>51</v>
      </c>
      <c r="G548" t="s">
        <v>34</v>
      </c>
      <c r="H548" t="s">
        <v>35</v>
      </c>
      <c r="I548" t="s">
        <v>28</v>
      </c>
      <c r="J548" t="s">
        <v>37</v>
      </c>
      <c r="K548" t="s">
        <v>85</v>
      </c>
      <c r="L548" s="3">
        <v>382</v>
      </c>
      <c r="M548" s="3">
        <v>2</v>
      </c>
      <c r="N548">
        <v>3</v>
      </c>
      <c r="O548">
        <v>13</v>
      </c>
      <c r="P548" t="s">
        <v>31</v>
      </c>
    </row>
    <row r="549" spans="1:16">
      <c r="A549" t="s">
        <v>682</v>
      </c>
      <c r="B549" s="6">
        <v>46045.46875</v>
      </c>
      <c r="C549" s="2">
        <v>46046.270959988426</v>
      </c>
      <c r="D549" t="s">
        <v>23</v>
      </c>
      <c r="E549" t="s">
        <v>40</v>
      </c>
      <c r="F549" t="s">
        <v>41</v>
      </c>
      <c r="G549" t="s">
        <v>26</v>
      </c>
      <c r="H549" t="s">
        <v>42</v>
      </c>
      <c r="I549" t="s">
        <v>36</v>
      </c>
      <c r="J549" t="s">
        <v>37</v>
      </c>
      <c r="K549" t="s">
        <v>44</v>
      </c>
      <c r="L549" s="3">
        <v>27</v>
      </c>
      <c r="M549" s="3">
        <v>4</v>
      </c>
      <c r="N549">
        <v>0</v>
      </c>
      <c r="O549">
        <v>7</v>
      </c>
      <c r="P549" t="s">
        <v>31</v>
      </c>
    </row>
    <row r="550" spans="1:16">
      <c r="A550" t="s">
        <v>683</v>
      </c>
      <c r="B550" s="6">
        <v>46251.138194444444</v>
      </c>
      <c r="C550" s="2">
        <v>46251.643904976852</v>
      </c>
      <c r="D550" t="s">
        <v>23</v>
      </c>
      <c r="E550" t="s">
        <v>33</v>
      </c>
      <c r="F550" t="s">
        <v>51</v>
      </c>
      <c r="G550" t="s">
        <v>34</v>
      </c>
      <c r="H550" t="s">
        <v>35</v>
      </c>
      <c r="I550" t="s">
        <v>28</v>
      </c>
      <c r="J550" t="s">
        <v>52</v>
      </c>
      <c r="K550" t="s">
        <v>38</v>
      </c>
      <c r="L550" s="3">
        <v>323</v>
      </c>
      <c r="M550" s="3">
        <v>3</v>
      </c>
      <c r="N550">
        <v>0</v>
      </c>
      <c r="O550">
        <v>5</v>
      </c>
      <c r="P550" t="s">
        <v>31</v>
      </c>
    </row>
    <row r="551" spans="1:16">
      <c r="A551" t="s">
        <v>684</v>
      </c>
      <c r="B551" s="6">
        <v>46219.347222222219</v>
      </c>
      <c r="C551" s="2">
        <v>46219.568223414353</v>
      </c>
      <c r="D551" t="s">
        <v>23</v>
      </c>
      <c r="E551" t="s">
        <v>24</v>
      </c>
      <c r="F551" t="s">
        <v>65</v>
      </c>
      <c r="G551" t="s">
        <v>34</v>
      </c>
      <c r="H551" t="s">
        <v>27</v>
      </c>
      <c r="I551" t="s">
        <v>48</v>
      </c>
      <c r="J551" t="s">
        <v>67</v>
      </c>
      <c r="K551" t="s">
        <v>71</v>
      </c>
      <c r="L551" s="3">
        <v>20</v>
      </c>
      <c r="M551" s="3">
        <v>5</v>
      </c>
      <c r="N551">
        <v>0</v>
      </c>
      <c r="O551">
        <v>2</v>
      </c>
      <c r="P551" t="s">
        <v>31</v>
      </c>
    </row>
    <row r="552" spans="1:16">
      <c r="A552" t="s">
        <v>685</v>
      </c>
      <c r="B552" s="6">
        <v>46203.994444444441</v>
      </c>
      <c r="C552" s="2">
        <v>46204.398297222222</v>
      </c>
      <c r="D552" t="s">
        <v>23</v>
      </c>
      <c r="E552" t="s">
        <v>33</v>
      </c>
      <c r="F552" t="s">
        <v>25</v>
      </c>
      <c r="G552" t="s">
        <v>26</v>
      </c>
      <c r="H552" t="s">
        <v>35</v>
      </c>
      <c r="I552" t="s">
        <v>48</v>
      </c>
      <c r="J552" t="s">
        <v>52</v>
      </c>
      <c r="K552" t="s">
        <v>85</v>
      </c>
      <c r="L552" s="3">
        <v>248</v>
      </c>
      <c r="M552" s="3">
        <v>4</v>
      </c>
      <c r="N552">
        <v>0</v>
      </c>
      <c r="O552">
        <v>5</v>
      </c>
      <c r="P552" t="s">
        <v>31</v>
      </c>
    </row>
    <row r="553" spans="1:16">
      <c r="A553" t="s">
        <v>686</v>
      </c>
      <c r="B553" s="6">
        <v>46246.536805555559</v>
      </c>
      <c r="C553" s="2">
        <v>46247.144382094906</v>
      </c>
      <c r="D553" t="s">
        <v>23</v>
      </c>
      <c r="E553" t="s">
        <v>50</v>
      </c>
      <c r="F553" t="s">
        <v>65</v>
      </c>
      <c r="G553" t="s">
        <v>66</v>
      </c>
      <c r="H553" t="s">
        <v>35</v>
      </c>
      <c r="I553" t="s">
        <v>43</v>
      </c>
      <c r="J553" t="s">
        <v>52</v>
      </c>
      <c r="K553" t="s">
        <v>93</v>
      </c>
      <c r="L553" s="3">
        <v>148</v>
      </c>
      <c r="M553" s="3">
        <v>4</v>
      </c>
      <c r="N553">
        <v>0</v>
      </c>
      <c r="O553">
        <v>7</v>
      </c>
      <c r="P553" t="s">
        <v>31</v>
      </c>
    </row>
    <row r="554" spans="1:16">
      <c r="A554" t="s">
        <v>687</v>
      </c>
      <c r="B554" s="6">
        <v>46123.326388888891</v>
      </c>
      <c r="C554" s="2">
        <v>46123.700355428242</v>
      </c>
      <c r="D554" t="s">
        <v>23</v>
      </c>
      <c r="E554" t="s">
        <v>40</v>
      </c>
      <c r="F554" t="s">
        <v>51</v>
      </c>
      <c r="G554" t="s">
        <v>26</v>
      </c>
      <c r="H554" t="s">
        <v>27</v>
      </c>
      <c r="I554" t="s">
        <v>36</v>
      </c>
      <c r="J554" t="s">
        <v>37</v>
      </c>
      <c r="K554" t="s">
        <v>38</v>
      </c>
      <c r="L554" s="3">
        <v>79</v>
      </c>
      <c r="M554" s="3">
        <v>4</v>
      </c>
      <c r="N554">
        <v>0</v>
      </c>
      <c r="O554">
        <v>2</v>
      </c>
      <c r="P554" t="s">
        <v>31</v>
      </c>
    </row>
    <row r="555" spans="1:16">
      <c r="A555" t="s">
        <v>688</v>
      </c>
      <c r="B555" s="6">
        <v>46113.194444444445</v>
      </c>
      <c r="C555" s="2" t="s">
        <v>689</v>
      </c>
      <c r="D555" t="s">
        <v>23</v>
      </c>
      <c r="E555" t="s">
        <v>40</v>
      </c>
      <c r="F555" t="s">
        <v>25</v>
      </c>
      <c r="G555" t="s">
        <v>54</v>
      </c>
      <c r="H555" t="s">
        <v>35</v>
      </c>
      <c r="I555" t="s">
        <v>48</v>
      </c>
      <c r="J555" t="s">
        <v>37</v>
      </c>
      <c r="K555" t="s">
        <v>93</v>
      </c>
      <c r="L555" s="3">
        <v>16</v>
      </c>
      <c r="M555" s="3">
        <v>4</v>
      </c>
      <c r="N555">
        <v>0</v>
      </c>
      <c r="O555">
        <v>7</v>
      </c>
      <c r="P555" t="s">
        <v>31</v>
      </c>
    </row>
    <row r="556" spans="1:16">
      <c r="A556" t="s">
        <v>690</v>
      </c>
      <c r="B556" s="6" t="s">
        <v>691</v>
      </c>
      <c r="C556" s="2">
        <v>46222.920579062498</v>
      </c>
      <c r="D556" t="s">
        <v>23</v>
      </c>
      <c r="E556" t="s">
        <v>50</v>
      </c>
      <c r="F556" t="s">
        <v>65</v>
      </c>
      <c r="G556" t="s">
        <v>34</v>
      </c>
      <c r="H556" t="s">
        <v>42</v>
      </c>
      <c r="I556" t="s">
        <v>28</v>
      </c>
      <c r="J556" t="s">
        <v>58</v>
      </c>
      <c r="K556" t="s">
        <v>85</v>
      </c>
      <c r="L556" s="3">
        <v>132</v>
      </c>
      <c r="M556" s="3">
        <v>4</v>
      </c>
      <c r="N556">
        <v>0</v>
      </c>
      <c r="O556">
        <v>7</v>
      </c>
      <c r="P556" t="s">
        <v>31</v>
      </c>
    </row>
    <row r="557" spans="1:16">
      <c r="A557" t="s">
        <v>692</v>
      </c>
      <c r="B557" s="6">
        <v>46111.807638888888</v>
      </c>
      <c r="C557" s="2">
        <v>46112.417949224538</v>
      </c>
      <c r="D557" t="s">
        <v>23</v>
      </c>
      <c r="E557" t="s">
        <v>33</v>
      </c>
      <c r="F557" t="s">
        <v>51</v>
      </c>
      <c r="G557" t="s">
        <v>26</v>
      </c>
      <c r="H557" t="s">
        <v>42</v>
      </c>
      <c r="I557" t="s">
        <v>48</v>
      </c>
      <c r="J557" t="s">
        <v>29</v>
      </c>
      <c r="K557" t="s">
        <v>55</v>
      </c>
      <c r="L557" s="3">
        <v>407</v>
      </c>
      <c r="M557" s="3">
        <v>3</v>
      </c>
      <c r="N557">
        <v>0</v>
      </c>
      <c r="O557">
        <v>2</v>
      </c>
      <c r="P557" t="s">
        <v>31</v>
      </c>
    </row>
    <row r="558" spans="1:16">
      <c r="A558" t="s">
        <v>693</v>
      </c>
      <c r="B558" s="6">
        <v>46250.147222222222</v>
      </c>
      <c r="C558" s="2">
        <v>46251.117932615743</v>
      </c>
      <c r="D558" t="s">
        <v>23</v>
      </c>
      <c r="E558" t="s">
        <v>40</v>
      </c>
      <c r="F558" t="s">
        <v>100</v>
      </c>
      <c r="G558" t="s">
        <v>26</v>
      </c>
      <c r="H558" t="s">
        <v>42</v>
      </c>
      <c r="I558" t="s">
        <v>28</v>
      </c>
      <c r="J558" t="s">
        <v>37</v>
      </c>
      <c r="K558" t="s">
        <v>101</v>
      </c>
      <c r="L558" s="3">
        <v>46</v>
      </c>
      <c r="M558" s="3">
        <v>4</v>
      </c>
      <c r="N558">
        <v>0</v>
      </c>
      <c r="O558">
        <v>3</v>
      </c>
      <c r="P558" t="s">
        <v>31</v>
      </c>
    </row>
    <row r="559" spans="1:16">
      <c r="A559" t="s">
        <v>694</v>
      </c>
      <c r="B559" s="6">
        <v>46104.646527777775</v>
      </c>
      <c r="C559" s="2">
        <v>46106.840205486114</v>
      </c>
      <c r="D559" t="s">
        <v>23</v>
      </c>
      <c r="E559" t="s">
        <v>33</v>
      </c>
      <c r="F559" t="s">
        <v>65</v>
      </c>
      <c r="G559" t="s">
        <v>26</v>
      </c>
      <c r="H559" t="s">
        <v>42</v>
      </c>
      <c r="I559" t="s">
        <v>28</v>
      </c>
      <c r="J559" t="s">
        <v>76</v>
      </c>
      <c r="K559" t="s">
        <v>62</v>
      </c>
      <c r="L559" s="3">
        <v>209</v>
      </c>
      <c r="M559" s="3">
        <v>3</v>
      </c>
      <c r="N559">
        <v>0</v>
      </c>
      <c r="O559">
        <v>7</v>
      </c>
      <c r="P559" t="s">
        <v>31</v>
      </c>
    </row>
    <row r="560" spans="1:16">
      <c r="A560" t="s">
        <v>695</v>
      </c>
      <c r="B560" s="6">
        <v>46145.829861111109</v>
      </c>
      <c r="C560" s="2">
        <v>46146.503808472226</v>
      </c>
      <c r="D560" t="s">
        <v>23</v>
      </c>
      <c r="E560" t="s">
        <v>40</v>
      </c>
      <c r="F560" t="s">
        <v>51</v>
      </c>
      <c r="G560" t="s">
        <v>26</v>
      </c>
      <c r="H560" t="s">
        <v>42</v>
      </c>
      <c r="I560" t="s">
        <v>43</v>
      </c>
      <c r="J560" t="s">
        <v>37</v>
      </c>
      <c r="K560" t="s">
        <v>93</v>
      </c>
      <c r="L560" s="3">
        <v>20</v>
      </c>
      <c r="M560" s="3">
        <v>4</v>
      </c>
      <c r="N560">
        <v>0</v>
      </c>
      <c r="O560">
        <v>5</v>
      </c>
      <c r="P560" t="s">
        <v>31</v>
      </c>
    </row>
    <row r="561" spans="1:16">
      <c r="A561" t="s">
        <v>696</v>
      </c>
      <c r="B561" s="6">
        <v>46194.207638888889</v>
      </c>
      <c r="C561" s="2">
        <v>46194.680552048609</v>
      </c>
      <c r="D561" t="s">
        <v>23</v>
      </c>
      <c r="E561" t="s">
        <v>40</v>
      </c>
      <c r="F561" t="s">
        <v>65</v>
      </c>
      <c r="G561" t="s">
        <v>34</v>
      </c>
      <c r="H561" t="s">
        <v>35</v>
      </c>
      <c r="I561" t="s">
        <v>43</v>
      </c>
      <c r="J561" t="s">
        <v>37</v>
      </c>
      <c r="K561" t="s">
        <v>68</v>
      </c>
      <c r="L561" s="3">
        <v>31</v>
      </c>
      <c r="M561" s="3">
        <v>4</v>
      </c>
      <c r="N561">
        <v>0</v>
      </c>
      <c r="O561">
        <v>2</v>
      </c>
      <c r="P561" t="s">
        <v>31</v>
      </c>
    </row>
    <row r="562" spans="1:16">
      <c r="A562" t="s">
        <v>697</v>
      </c>
      <c r="B562" s="6">
        <v>46242.90347222222</v>
      </c>
      <c r="C562" s="2">
        <v>46243.569306458332</v>
      </c>
      <c r="D562" t="s">
        <v>23</v>
      </c>
      <c r="E562" t="s">
        <v>40</v>
      </c>
      <c r="F562" t="s">
        <v>25</v>
      </c>
      <c r="G562" t="s">
        <v>120</v>
      </c>
      <c r="H562" t="s">
        <v>42</v>
      </c>
      <c r="I562" t="s">
        <v>43</v>
      </c>
      <c r="J562" t="s">
        <v>76</v>
      </c>
      <c r="K562" t="s">
        <v>62</v>
      </c>
      <c r="L562" s="3">
        <v>46</v>
      </c>
      <c r="M562" s="3">
        <v>4</v>
      </c>
      <c r="N562">
        <v>1</v>
      </c>
      <c r="O562">
        <v>16</v>
      </c>
      <c r="P562" t="s">
        <v>63</v>
      </c>
    </row>
    <row r="563" spans="1:16">
      <c r="A563" t="s">
        <v>698</v>
      </c>
      <c r="B563" s="6">
        <v>46230.263888888891</v>
      </c>
      <c r="C563" s="2">
        <v>46231.168092233798</v>
      </c>
      <c r="D563" t="s">
        <v>23</v>
      </c>
      <c r="E563" t="s">
        <v>40</v>
      </c>
      <c r="F563" t="s">
        <v>41</v>
      </c>
      <c r="G563" t="s">
        <v>26</v>
      </c>
      <c r="H563" t="s">
        <v>27</v>
      </c>
      <c r="I563" t="s">
        <v>48</v>
      </c>
      <c r="J563" t="s">
        <v>76</v>
      </c>
      <c r="K563" t="s">
        <v>55</v>
      </c>
      <c r="L563" s="3">
        <v>25</v>
      </c>
      <c r="M563" s="3">
        <v>4</v>
      </c>
      <c r="N563">
        <v>1</v>
      </c>
      <c r="O563">
        <v>8</v>
      </c>
      <c r="P563" t="s">
        <v>31</v>
      </c>
    </row>
    <row r="564" spans="1:16">
      <c r="A564" t="s">
        <v>699</v>
      </c>
      <c r="B564" s="6">
        <v>46043.175000000003</v>
      </c>
      <c r="C564" s="2">
        <v>46044.735218761576</v>
      </c>
      <c r="D564" t="s">
        <v>23</v>
      </c>
      <c r="E564" t="s">
        <v>33</v>
      </c>
      <c r="F564" t="s">
        <v>41</v>
      </c>
      <c r="G564" t="s">
        <v>66</v>
      </c>
      <c r="H564" t="s">
        <v>42</v>
      </c>
      <c r="I564" t="s">
        <v>43</v>
      </c>
      <c r="J564" t="s">
        <v>58</v>
      </c>
      <c r="K564" t="s">
        <v>101</v>
      </c>
      <c r="L564" s="3">
        <v>252</v>
      </c>
      <c r="M564" s="3">
        <v>3</v>
      </c>
      <c r="N564">
        <v>0</v>
      </c>
      <c r="O564">
        <v>3</v>
      </c>
      <c r="P564" t="s">
        <v>31</v>
      </c>
    </row>
    <row r="565" spans="1:16">
      <c r="A565" t="s">
        <v>700</v>
      </c>
      <c r="B565" s="6">
        <v>46054.213194444441</v>
      </c>
      <c r="C565" s="2">
        <v>46054.761794328704</v>
      </c>
      <c r="D565" t="s">
        <v>23</v>
      </c>
      <c r="F565" t="s">
        <v>51</v>
      </c>
      <c r="G565" t="s">
        <v>26</v>
      </c>
      <c r="H565" t="s">
        <v>42</v>
      </c>
      <c r="I565" t="s">
        <v>28</v>
      </c>
      <c r="J565" t="s">
        <v>37</v>
      </c>
      <c r="K565" t="s">
        <v>30</v>
      </c>
      <c r="L565" s="3">
        <v>41</v>
      </c>
      <c r="M565" s="3">
        <v>4</v>
      </c>
      <c r="N565">
        <v>1</v>
      </c>
      <c r="O565">
        <v>8</v>
      </c>
      <c r="P565" t="s">
        <v>31</v>
      </c>
    </row>
    <row r="566" spans="1:16">
      <c r="A566" t="s">
        <v>701</v>
      </c>
      <c r="B566" s="6">
        <v>46246.4375</v>
      </c>
      <c r="C566" s="2">
        <v>46246.989233437504</v>
      </c>
      <c r="D566" t="s">
        <v>23</v>
      </c>
      <c r="E566" t="s">
        <v>50</v>
      </c>
      <c r="F566" t="s">
        <v>51</v>
      </c>
      <c r="G566" t="s">
        <v>75</v>
      </c>
      <c r="H566" t="s">
        <v>35</v>
      </c>
      <c r="I566" t="s">
        <v>43</v>
      </c>
      <c r="J566" t="s">
        <v>37</v>
      </c>
      <c r="K566" t="s">
        <v>71</v>
      </c>
      <c r="L566" s="3">
        <v>139</v>
      </c>
      <c r="M566" s="3">
        <v>4</v>
      </c>
      <c r="N566">
        <v>0</v>
      </c>
      <c r="O566">
        <v>7</v>
      </c>
      <c r="P566" t="s">
        <v>31</v>
      </c>
    </row>
    <row r="567" spans="1:16">
      <c r="A567" t="s">
        <v>702</v>
      </c>
      <c r="B567" s="6" t="s">
        <v>703</v>
      </c>
      <c r="C567" s="2">
        <v>46053.232002013887</v>
      </c>
      <c r="D567" t="s">
        <v>23</v>
      </c>
      <c r="E567" t="s">
        <v>595</v>
      </c>
      <c r="F567" t="s">
        <v>51</v>
      </c>
      <c r="G567" t="s">
        <v>26</v>
      </c>
      <c r="H567" t="s">
        <v>35</v>
      </c>
      <c r="I567" t="s">
        <v>43</v>
      </c>
      <c r="J567" t="s">
        <v>67</v>
      </c>
      <c r="K567" t="s">
        <v>30</v>
      </c>
      <c r="L567" s="3">
        <v>153</v>
      </c>
      <c r="M567" s="3">
        <v>4</v>
      </c>
      <c r="N567">
        <v>0</v>
      </c>
      <c r="O567">
        <v>6</v>
      </c>
      <c r="P567" t="s">
        <v>31</v>
      </c>
    </row>
    <row r="568" spans="1:16">
      <c r="A568" t="s">
        <v>704</v>
      </c>
      <c r="B568" s="6">
        <v>46215.974999999999</v>
      </c>
      <c r="C568" s="2">
        <v>46219.343896446757</v>
      </c>
      <c r="D568" t="s">
        <v>23</v>
      </c>
      <c r="E568" t="s">
        <v>33</v>
      </c>
      <c r="F568" t="s">
        <v>51</v>
      </c>
      <c r="G568" t="s">
        <v>26</v>
      </c>
      <c r="H568" t="s">
        <v>42</v>
      </c>
      <c r="I568" t="s">
        <v>28</v>
      </c>
      <c r="J568" t="s">
        <v>37</v>
      </c>
      <c r="K568" t="s">
        <v>85</v>
      </c>
      <c r="L568" s="3">
        <v>285</v>
      </c>
      <c r="M568" s="3">
        <v>3</v>
      </c>
      <c r="N568">
        <v>0</v>
      </c>
      <c r="O568">
        <v>5</v>
      </c>
      <c r="P568" t="s">
        <v>31</v>
      </c>
    </row>
    <row r="569" spans="1:16">
      <c r="A569" t="s">
        <v>705</v>
      </c>
      <c r="B569" s="6">
        <v>46184.29583333333</v>
      </c>
      <c r="C569" s="2">
        <v>46185.136176122687</v>
      </c>
      <c r="D569" t="s">
        <v>23</v>
      </c>
      <c r="E569" t="s">
        <v>50</v>
      </c>
      <c r="F569" t="s">
        <v>65</v>
      </c>
      <c r="G569" t="s">
        <v>54</v>
      </c>
      <c r="H569" t="s">
        <v>27</v>
      </c>
      <c r="I569" t="s">
        <v>28</v>
      </c>
      <c r="J569" t="s">
        <v>52</v>
      </c>
      <c r="K569" t="s">
        <v>55</v>
      </c>
      <c r="L569" s="3">
        <v>83</v>
      </c>
      <c r="M569" s="3">
        <v>4</v>
      </c>
      <c r="N569">
        <v>0</v>
      </c>
      <c r="O569">
        <v>5</v>
      </c>
      <c r="P569" t="s">
        <v>31</v>
      </c>
    </row>
    <row r="570" spans="1:16">
      <c r="A570" t="s">
        <v>706</v>
      </c>
      <c r="B570" s="6">
        <v>46144.693055555559</v>
      </c>
      <c r="C570" s="2" t="s">
        <v>707</v>
      </c>
      <c r="D570" t="s">
        <v>23</v>
      </c>
      <c r="E570" t="s">
        <v>33</v>
      </c>
      <c r="F570" t="s">
        <v>25</v>
      </c>
      <c r="G570" t="s">
        <v>26</v>
      </c>
      <c r="H570" t="s">
        <v>35</v>
      </c>
      <c r="I570" t="s">
        <v>28</v>
      </c>
      <c r="J570" t="s">
        <v>67</v>
      </c>
      <c r="K570" t="s">
        <v>55</v>
      </c>
      <c r="L570" s="3">
        <v>338</v>
      </c>
      <c r="M570" s="3">
        <v>3</v>
      </c>
      <c r="N570">
        <v>0</v>
      </c>
      <c r="O570">
        <v>2</v>
      </c>
      <c r="P570" t="s">
        <v>31</v>
      </c>
    </row>
    <row r="571" spans="1:16">
      <c r="A571" t="s">
        <v>708</v>
      </c>
      <c r="B571" s="6">
        <v>46169.736111111109</v>
      </c>
      <c r="C571" s="2">
        <v>46172.288026296294</v>
      </c>
      <c r="D571" t="s">
        <v>23</v>
      </c>
      <c r="E571" t="s">
        <v>33</v>
      </c>
      <c r="F571" t="s">
        <v>25</v>
      </c>
      <c r="G571" t="s">
        <v>66</v>
      </c>
      <c r="H571" t="s">
        <v>35</v>
      </c>
      <c r="I571" t="s">
        <v>28</v>
      </c>
      <c r="J571" t="s">
        <v>58</v>
      </c>
      <c r="K571" t="s">
        <v>101</v>
      </c>
      <c r="L571" s="3">
        <v>121</v>
      </c>
      <c r="M571" s="3">
        <v>4</v>
      </c>
      <c r="N571">
        <v>0</v>
      </c>
      <c r="O571">
        <v>2</v>
      </c>
      <c r="P571" t="s">
        <v>31</v>
      </c>
    </row>
    <row r="572" spans="1:16">
      <c r="A572" t="s">
        <v>709</v>
      </c>
      <c r="B572" s="6">
        <v>46112.593055555553</v>
      </c>
      <c r="C572" s="2">
        <v>46113.001441099535</v>
      </c>
      <c r="D572" t="s">
        <v>23</v>
      </c>
      <c r="E572" t="s">
        <v>50</v>
      </c>
      <c r="F572" t="s">
        <v>41</v>
      </c>
      <c r="G572" t="s">
        <v>75</v>
      </c>
      <c r="H572" t="s">
        <v>27</v>
      </c>
      <c r="I572" t="s">
        <v>28</v>
      </c>
      <c r="J572" t="s">
        <v>52</v>
      </c>
      <c r="K572" t="s">
        <v>38</v>
      </c>
      <c r="L572" s="3">
        <v>40</v>
      </c>
      <c r="M572" s="3">
        <v>4</v>
      </c>
      <c r="N572">
        <v>0</v>
      </c>
      <c r="O572">
        <v>7</v>
      </c>
      <c r="P572" t="s">
        <v>31</v>
      </c>
    </row>
    <row r="573" spans="1:16">
      <c r="A573" t="s">
        <v>104</v>
      </c>
      <c r="B573" s="6">
        <v>46110.943749999999</v>
      </c>
      <c r="C573" s="2">
        <v>46111.867542256943</v>
      </c>
      <c r="D573" t="s">
        <v>23</v>
      </c>
      <c r="F573" t="s">
        <v>25</v>
      </c>
      <c r="G573" t="s">
        <v>26</v>
      </c>
      <c r="H573" t="s">
        <v>42</v>
      </c>
      <c r="I573" t="s">
        <v>43</v>
      </c>
      <c r="J573" t="s">
        <v>52</v>
      </c>
      <c r="K573" t="s">
        <v>85</v>
      </c>
      <c r="L573" s="3">
        <v>256</v>
      </c>
      <c r="M573" s="3">
        <v>4</v>
      </c>
      <c r="N573">
        <v>0</v>
      </c>
      <c r="O573">
        <v>3</v>
      </c>
      <c r="P573" t="s">
        <v>31</v>
      </c>
    </row>
    <row r="574" spans="1:16">
      <c r="A574" t="s">
        <v>710</v>
      </c>
      <c r="B574" s="6">
        <v>46182.42083333333</v>
      </c>
      <c r="C574" s="2">
        <v>46183.764714305558</v>
      </c>
      <c r="D574" t="s">
        <v>23</v>
      </c>
      <c r="E574" t="s">
        <v>50</v>
      </c>
      <c r="F574" t="s">
        <v>51</v>
      </c>
      <c r="G574" t="s">
        <v>66</v>
      </c>
      <c r="H574" t="s">
        <v>42</v>
      </c>
      <c r="I574" t="s">
        <v>43</v>
      </c>
      <c r="J574" t="s">
        <v>37</v>
      </c>
      <c r="K574" t="s">
        <v>55</v>
      </c>
      <c r="L574" s="3">
        <v>63</v>
      </c>
      <c r="M574" s="3">
        <v>4</v>
      </c>
      <c r="N574">
        <v>1</v>
      </c>
      <c r="O574">
        <v>9</v>
      </c>
      <c r="P574" t="s">
        <v>31</v>
      </c>
    </row>
    <row r="575" spans="1:16">
      <c r="A575" t="s">
        <v>711</v>
      </c>
      <c r="B575" s="6">
        <v>46249.852083333331</v>
      </c>
      <c r="C575" s="2">
        <v>46251.514131678239</v>
      </c>
      <c r="D575" t="s">
        <v>23</v>
      </c>
      <c r="E575" t="s">
        <v>40</v>
      </c>
      <c r="F575" t="s">
        <v>65</v>
      </c>
      <c r="G575" t="s">
        <v>26</v>
      </c>
      <c r="H575" t="s">
        <v>35</v>
      </c>
      <c r="I575" t="s">
        <v>28</v>
      </c>
      <c r="J575" t="s">
        <v>52</v>
      </c>
      <c r="K575" t="s">
        <v>44</v>
      </c>
      <c r="L575" s="3">
        <v>48</v>
      </c>
      <c r="M575" s="3">
        <v>4</v>
      </c>
      <c r="N575">
        <v>0</v>
      </c>
      <c r="O575">
        <v>8</v>
      </c>
      <c r="P575" t="s">
        <v>63</v>
      </c>
    </row>
    <row r="576" spans="1:16">
      <c r="A576" t="s">
        <v>712</v>
      </c>
      <c r="B576" s="6">
        <v>46123.816666666666</v>
      </c>
      <c r="C576" s="2" t="s">
        <v>713</v>
      </c>
      <c r="D576" t="s">
        <v>23</v>
      </c>
      <c r="E576" t="s">
        <v>24</v>
      </c>
      <c r="F576" t="s">
        <v>51</v>
      </c>
      <c r="G576" t="s">
        <v>66</v>
      </c>
      <c r="H576" t="s">
        <v>35</v>
      </c>
      <c r="I576" t="s">
        <v>43</v>
      </c>
      <c r="J576" t="s">
        <v>76</v>
      </c>
      <c r="K576" t="s">
        <v>62</v>
      </c>
      <c r="L576" s="3">
        <v>12</v>
      </c>
      <c r="M576" s="3">
        <v>5</v>
      </c>
      <c r="N576">
        <v>0</v>
      </c>
      <c r="O576">
        <v>2</v>
      </c>
      <c r="P576" t="s">
        <v>31</v>
      </c>
    </row>
    <row r="577" spans="1:16">
      <c r="A577" t="s">
        <v>714</v>
      </c>
      <c r="B577" s="6">
        <v>46154.925694444442</v>
      </c>
      <c r="C577" s="2">
        <v>46156.761451342594</v>
      </c>
      <c r="D577" t="s">
        <v>23</v>
      </c>
      <c r="E577" t="s">
        <v>33</v>
      </c>
      <c r="F577" t="s">
        <v>51</v>
      </c>
      <c r="G577" t="s">
        <v>54</v>
      </c>
      <c r="H577" t="s">
        <v>42</v>
      </c>
      <c r="I577" t="s">
        <v>36</v>
      </c>
      <c r="J577" t="s">
        <v>58</v>
      </c>
      <c r="K577" t="s">
        <v>62</v>
      </c>
      <c r="L577" s="3">
        <v>534</v>
      </c>
      <c r="M577" s="3">
        <v>3</v>
      </c>
      <c r="N577">
        <v>0</v>
      </c>
      <c r="O577">
        <v>4</v>
      </c>
      <c r="P577" t="s">
        <v>31</v>
      </c>
    </row>
    <row r="578" spans="1:16">
      <c r="A578" t="s">
        <v>715</v>
      </c>
      <c r="B578" s="6">
        <v>46141.706250000003</v>
      </c>
      <c r="C578" s="2">
        <v>46142.347678344908</v>
      </c>
      <c r="D578" t="s">
        <v>23</v>
      </c>
      <c r="E578" t="s">
        <v>24</v>
      </c>
      <c r="F578" t="s">
        <v>65</v>
      </c>
      <c r="G578" t="s">
        <v>75</v>
      </c>
      <c r="H578" t="s">
        <v>35</v>
      </c>
      <c r="I578" t="s">
        <v>48</v>
      </c>
      <c r="J578" t="s">
        <v>76</v>
      </c>
      <c r="K578" t="s">
        <v>55</v>
      </c>
      <c r="L578" s="3">
        <v>7</v>
      </c>
      <c r="M578" s="3">
        <v>5</v>
      </c>
      <c r="N578">
        <v>0</v>
      </c>
      <c r="O578">
        <v>5</v>
      </c>
      <c r="P578" t="s">
        <v>31</v>
      </c>
    </row>
    <row r="579" spans="1:16">
      <c r="A579" t="s">
        <v>716</v>
      </c>
      <c r="B579" s="6">
        <v>46221.132638888892</v>
      </c>
      <c r="C579" s="2">
        <v>46221.304881550925</v>
      </c>
      <c r="D579" t="s">
        <v>23</v>
      </c>
      <c r="E579" t="s">
        <v>40</v>
      </c>
      <c r="F579" t="s">
        <v>41</v>
      </c>
      <c r="G579" t="s">
        <v>34</v>
      </c>
      <c r="H579" t="s">
        <v>27</v>
      </c>
      <c r="I579" t="s">
        <v>43</v>
      </c>
      <c r="J579" t="s">
        <v>52</v>
      </c>
      <c r="K579" t="s">
        <v>44</v>
      </c>
      <c r="L579" s="3">
        <v>58</v>
      </c>
      <c r="M579" s="3">
        <v>5</v>
      </c>
      <c r="N579">
        <v>0</v>
      </c>
      <c r="O579">
        <v>3</v>
      </c>
      <c r="P579" t="s">
        <v>31</v>
      </c>
    </row>
    <row r="580" spans="1:16">
      <c r="A580" t="s">
        <v>717</v>
      </c>
      <c r="B580" s="6">
        <v>46250.540972222225</v>
      </c>
      <c r="C580" s="2">
        <v>46252.261205983799</v>
      </c>
      <c r="D580" t="s">
        <v>23</v>
      </c>
      <c r="E580" t="s">
        <v>50</v>
      </c>
      <c r="F580" t="s">
        <v>41</v>
      </c>
      <c r="G580" t="s">
        <v>259</v>
      </c>
      <c r="H580" t="s">
        <v>35</v>
      </c>
      <c r="I580" t="s">
        <v>28</v>
      </c>
      <c r="J580" t="s">
        <v>37</v>
      </c>
      <c r="K580" t="s">
        <v>93</v>
      </c>
      <c r="L580" s="3">
        <v>48</v>
      </c>
      <c r="M580" s="3">
        <v>4</v>
      </c>
      <c r="N580">
        <v>0</v>
      </c>
      <c r="O580">
        <v>7</v>
      </c>
      <c r="P580" t="s">
        <v>31</v>
      </c>
    </row>
    <row r="581" spans="1:16">
      <c r="A581" t="s">
        <v>718</v>
      </c>
      <c r="B581" s="6">
        <v>46242.450694444444</v>
      </c>
      <c r="C581" s="2">
        <v>46243.260639143518</v>
      </c>
      <c r="D581" t="s">
        <v>23</v>
      </c>
      <c r="E581" t="s">
        <v>40</v>
      </c>
      <c r="F581" t="s">
        <v>41</v>
      </c>
      <c r="G581" t="s">
        <v>54</v>
      </c>
      <c r="H581" t="s">
        <v>27</v>
      </c>
      <c r="I581" t="s">
        <v>48</v>
      </c>
      <c r="J581" t="s">
        <v>58</v>
      </c>
      <c r="K581" t="s">
        <v>68</v>
      </c>
      <c r="L581" s="3">
        <v>59</v>
      </c>
      <c r="M581" s="3">
        <v>3</v>
      </c>
      <c r="N581">
        <v>2</v>
      </c>
      <c r="O581">
        <v>11</v>
      </c>
      <c r="P581" t="s">
        <v>31</v>
      </c>
    </row>
    <row r="582" spans="1:16">
      <c r="A582" t="s">
        <v>719</v>
      </c>
      <c r="B582" s="6">
        <v>46162.9</v>
      </c>
      <c r="C582" s="2">
        <v>46164.326090902781</v>
      </c>
      <c r="D582" t="s">
        <v>23</v>
      </c>
      <c r="E582" t="s">
        <v>50</v>
      </c>
      <c r="F582" t="s">
        <v>51</v>
      </c>
      <c r="G582" t="s">
        <v>54</v>
      </c>
      <c r="H582" t="s">
        <v>42</v>
      </c>
      <c r="I582" t="s">
        <v>28</v>
      </c>
      <c r="J582" t="s">
        <v>76</v>
      </c>
      <c r="K582" t="s">
        <v>101</v>
      </c>
      <c r="L582" s="3">
        <v>172</v>
      </c>
      <c r="M582" s="3">
        <v>3</v>
      </c>
      <c r="N582">
        <v>0</v>
      </c>
      <c r="O582">
        <v>3</v>
      </c>
      <c r="P582" t="s">
        <v>31</v>
      </c>
    </row>
    <row r="583" spans="1:16">
      <c r="A583" t="s">
        <v>720</v>
      </c>
      <c r="B583" s="6">
        <v>46104.37777777778</v>
      </c>
      <c r="C583" s="2">
        <v>46105.268754050929</v>
      </c>
      <c r="D583" t="s">
        <v>23</v>
      </c>
      <c r="E583" t="s">
        <v>50</v>
      </c>
      <c r="F583" t="s">
        <v>51</v>
      </c>
      <c r="G583" t="s">
        <v>26</v>
      </c>
      <c r="H583" t="s">
        <v>42</v>
      </c>
      <c r="I583" t="s">
        <v>28</v>
      </c>
      <c r="J583" t="s">
        <v>52</v>
      </c>
      <c r="K583" t="s">
        <v>101</v>
      </c>
      <c r="L583" s="3">
        <v>651</v>
      </c>
      <c r="M583" s="3">
        <v>4</v>
      </c>
      <c r="N583">
        <v>0</v>
      </c>
      <c r="O583">
        <v>6</v>
      </c>
      <c r="P583" t="s">
        <v>31</v>
      </c>
    </row>
    <row r="584" spans="1:16">
      <c r="A584" t="s">
        <v>721</v>
      </c>
      <c r="B584" s="6">
        <v>46113.054861111108</v>
      </c>
      <c r="C584" s="2">
        <v>46113.282082060185</v>
      </c>
      <c r="D584" t="s">
        <v>23</v>
      </c>
      <c r="E584" t="s">
        <v>40</v>
      </c>
      <c r="F584" t="s">
        <v>51</v>
      </c>
      <c r="G584" t="s">
        <v>54</v>
      </c>
      <c r="H584" t="s">
        <v>35</v>
      </c>
      <c r="I584" t="s">
        <v>48</v>
      </c>
      <c r="J584" t="s">
        <v>37</v>
      </c>
      <c r="K584" t="s">
        <v>38</v>
      </c>
      <c r="L584" s="3">
        <v>23</v>
      </c>
      <c r="M584" s="3">
        <v>4</v>
      </c>
      <c r="N584">
        <v>2</v>
      </c>
      <c r="O584">
        <v>14</v>
      </c>
      <c r="P584" t="s">
        <v>31</v>
      </c>
    </row>
    <row r="585" spans="1:16">
      <c r="A585" t="s">
        <v>722</v>
      </c>
      <c r="B585" s="6">
        <v>46240.588888888888</v>
      </c>
      <c r="C585" s="2">
        <v>46241.413326412039</v>
      </c>
      <c r="D585" t="s">
        <v>23</v>
      </c>
      <c r="E585" t="s">
        <v>50</v>
      </c>
      <c r="F585" t="s">
        <v>41</v>
      </c>
      <c r="G585" t="s">
        <v>54</v>
      </c>
      <c r="H585" t="s">
        <v>42</v>
      </c>
      <c r="I585" t="s">
        <v>48</v>
      </c>
      <c r="J585" t="s">
        <v>52</v>
      </c>
      <c r="K585" t="s">
        <v>101</v>
      </c>
      <c r="L585" s="3">
        <v>79</v>
      </c>
      <c r="M585" s="3">
        <v>4</v>
      </c>
      <c r="N585">
        <v>0</v>
      </c>
      <c r="O585">
        <v>2</v>
      </c>
      <c r="P585" t="s">
        <v>31</v>
      </c>
    </row>
    <row r="586" spans="1:16">
      <c r="A586" t="s">
        <v>723</v>
      </c>
      <c r="B586" s="6">
        <v>46215.825694444444</v>
      </c>
      <c r="C586" s="2">
        <v>46216.441234467595</v>
      </c>
      <c r="D586" t="s">
        <v>23</v>
      </c>
      <c r="E586" t="s">
        <v>50</v>
      </c>
      <c r="F586" t="s">
        <v>51</v>
      </c>
      <c r="G586" t="s">
        <v>75</v>
      </c>
      <c r="H586" t="s">
        <v>35</v>
      </c>
      <c r="I586" t="s">
        <v>43</v>
      </c>
      <c r="J586" t="s">
        <v>58</v>
      </c>
      <c r="K586" t="s">
        <v>71</v>
      </c>
      <c r="L586" s="3">
        <v>91</v>
      </c>
      <c r="M586" s="3">
        <v>4</v>
      </c>
      <c r="N586">
        <v>0</v>
      </c>
      <c r="O586">
        <v>6</v>
      </c>
      <c r="P586" t="s">
        <v>31</v>
      </c>
    </row>
    <row r="587" spans="1:16">
      <c r="A587" t="s">
        <v>724</v>
      </c>
      <c r="B587" s="6">
        <v>46245.182638888888</v>
      </c>
      <c r="C587" s="2">
        <v>46245.465210254632</v>
      </c>
      <c r="D587" t="s">
        <v>23</v>
      </c>
      <c r="E587" t="s">
        <v>40</v>
      </c>
      <c r="F587" t="s">
        <v>51</v>
      </c>
      <c r="G587" t="s">
        <v>54</v>
      </c>
      <c r="H587" t="s">
        <v>42</v>
      </c>
      <c r="I587" t="s">
        <v>28</v>
      </c>
      <c r="J587" t="s">
        <v>37</v>
      </c>
      <c r="K587" t="s">
        <v>85</v>
      </c>
      <c r="L587" s="3">
        <v>60</v>
      </c>
      <c r="M587" s="3">
        <v>5</v>
      </c>
      <c r="N587">
        <v>0</v>
      </c>
      <c r="O587">
        <v>4</v>
      </c>
      <c r="P587" t="s">
        <v>31</v>
      </c>
    </row>
    <row r="588" spans="1:16">
      <c r="A588" t="s">
        <v>725</v>
      </c>
      <c r="B588" s="6">
        <v>46124.195138888892</v>
      </c>
      <c r="C588" s="2" t="s">
        <v>726</v>
      </c>
      <c r="D588" t="s">
        <v>23</v>
      </c>
      <c r="E588" t="s">
        <v>24</v>
      </c>
      <c r="F588" t="s">
        <v>41</v>
      </c>
      <c r="G588" t="s">
        <v>54</v>
      </c>
      <c r="H588" t="s">
        <v>35</v>
      </c>
      <c r="I588" t="s">
        <v>43</v>
      </c>
      <c r="J588" t="s">
        <v>52</v>
      </c>
      <c r="K588" t="s">
        <v>101</v>
      </c>
      <c r="L588" s="3">
        <v>31</v>
      </c>
      <c r="M588" s="3">
        <v>4</v>
      </c>
      <c r="N588">
        <v>0</v>
      </c>
      <c r="O588">
        <v>3</v>
      </c>
      <c r="P588" t="s">
        <v>31</v>
      </c>
    </row>
    <row r="589" spans="1:16">
      <c r="A589" t="s">
        <v>727</v>
      </c>
      <c r="B589" s="6">
        <v>46192.405555555553</v>
      </c>
      <c r="C589" s="2">
        <v>46193.746903136576</v>
      </c>
      <c r="D589" t="s">
        <v>23</v>
      </c>
      <c r="E589" t="s">
        <v>33</v>
      </c>
      <c r="F589" t="s">
        <v>51</v>
      </c>
      <c r="G589" t="s">
        <v>26</v>
      </c>
      <c r="H589" t="s">
        <v>27</v>
      </c>
      <c r="I589" t="s">
        <v>28</v>
      </c>
      <c r="J589" t="s">
        <v>76</v>
      </c>
      <c r="K589" t="s">
        <v>38</v>
      </c>
      <c r="L589" s="3">
        <v>228</v>
      </c>
      <c r="M589" s="3">
        <v>3</v>
      </c>
      <c r="N589">
        <v>0</v>
      </c>
      <c r="O589">
        <v>7</v>
      </c>
      <c r="P589" t="s">
        <v>31</v>
      </c>
    </row>
    <row r="590" spans="1:16">
      <c r="A590" t="s">
        <v>728</v>
      </c>
      <c r="B590" s="6">
        <v>46142.184027777781</v>
      </c>
      <c r="C590" s="2">
        <v>46142.599304456016</v>
      </c>
      <c r="D590" t="s">
        <v>23</v>
      </c>
      <c r="E590" t="s">
        <v>50</v>
      </c>
      <c r="F590" t="s">
        <v>51</v>
      </c>
      <c r="G590" t="s">
        <v>34</v>
      </c>
      <c r="H590" t="s">
        <v>42</v>
      </c>
      <c r="I590" t="s">
        <v>43</v>
      </c>
      <c r="J590" t="s">
        <v>52</v>
      </c>
      <c r="K590" t="s">
        <v>85</v>
      </c>
      <c r="L590" s="3">
        <v>156</v>
      </c>
      <c r="M590" s="3">
        <v>4</v>
      </c>
      <c r="N590">
        <v>0</v>
      </c>
      <c r="O590">
        <v>4</v>
      </c>
      <c r="P590" t="s">
        <v>31</v>
      </c>
    </row>
    <row r="591" spans="1:16">
      <c r="A591" t="s">
        <v>729</v>
      </c>
      <c r="B591" s="6">
        <v>46051.425694444442</v>
      </c>
      <c r="C591" s="2">
        <v>46052.784770636572</v>
      </c>
      <c r="D591" t="s">
        <v>23</v>
      </c>
      <c r="E591" t="s">
        <v>50</v>
      </c>
      <c r="F591" t="s">
        <v>51</v>
      </c>
      <c r="G591" t="s">
        <v>34</v>
      </c>
      <c r="H591" t="s">
        <v>27</v>
      </c>
      <c r="I591" t="s">
        <v>36</v>
      </c>
      <c r="J591" t="s">
        <v>37</v>
      </c>
      <c r="K591" t="s">
        <v>55</v>
      </c>
      <c r="L591" s="3">
        <v>39</v>
      </c>
      <c r="M591" s="3">
        <v>4</v>
      </c>
      <c r="N591">
        <v>0</v>
      </c>
      <c r="O591">
        <v>3</v>
      </c>
      <c r="P591" t="s">
        <v>31</v>
      </c>
    </row>
    <row r="592" spans="1:16">
      <c r="A592" t="s">
        <v>730</v>
      </c>
      <c r="B592" s="6">
        <v>46053.040277777778</v>
      </c>
      <c r="C592" s="2">
        <v>46053.99436527778</v>
      </c>
      <c r="D592" t="s">
        <v>23</v>
      </c>
      <c r="E592" t="s">
        <v>33</v>
      </c>
      <c r="F592" t="s">
        <v>41</v>
      </c>
      <c r="G592" t="s">
        <v>66</v>
      </c>
      <c r="H592" t="s">
        <v>27</v>
      </c>
      <c r="I592" t="s">
        <v>43</v>
      </c>
      <c r="J592" t="s">
        <v>52</v>
      </c>
      <c r="K592" t="s">
        <v>101</v>
      </c>
      <c r="L592" s="3">
        <v>206</v>
      </c>
      <c r="M592" s="3">
        <v>4</v>
      </c>
      <c r="N592">
        <v>0</v>
      </c>
      <c r="O592">
        <v>4</v>
      </c>
      <c r="P592" t="s">
        <v>31</v>
      </c>
    </row>
    <row r="593" spans="1:16">
      <c r="A593" t="s">
        <v>731</v>
      </c>
      <c r="B593" s="6">
        <v>46143.84652777778</v>
      </c>
      <c r="C593" s="2">
        <v>46144.663094756943</v>
      </c>
      <c r="D593" t="s">
        <v>23</v>
      </c>
      <c r="E593" t="s">
        <v>50</v>
      </c>
      <c r="F593" t="s">
        <v>41</v>
      </c>
      <c r="G593" t="s">
        <v>26</v>
      </c>
      <c r="H593" t="s">
        <v>42</v>
      </c>
      <c r="I593" t="s">
        <v>43</v>
      </c>
      <c r="J593" t="s">
        <v>52</v>
      </c>
      <c r="K593" t="s">
        <v>62</v>
      </c>
      <c r="L593" s="3">
        <v>102</v>
      </c>
      <c r="M593" s="3">
        <v>4</v>
      </c>
      <c r="N593">
        <v>0</v>
      </c>
      <c r="O593">
        <v>7</v>
      </c>
      <c r="P593" t="s">
        <v>31</v>
      </c>
    </row>
    <row r="594" spans="1:16">
      <c r="A594" t="s">
        <v>732</v>
      </c>
      <c r="B594" s="6">
        <v>46204.306944444441</v>
      </c>
      <c r="C594" s="2">
        <v>46205.056598298608</v>
      </c>
      <c r="D594" t="s">
        <v>23</v>
      </c>
      <c r="E594" t="s">
        <v>33</v>
      </c>
      <c r="F594" t="s">
        <v>65</v>
      </c>
      <c r="G594" t="s">
        <v>54</v>
      </c>
      <c r="H594" t="s">
        <v>35</v>
      </c>
      <c r="I594" t="s">
        <v>43</v>
      </c>
      <c r="J594" t="s">
        <v>52</v>
      </c>
      <c r="K594" t="s">
        <v>93</v>
      </c>
      <c r="L594" s="3">
        <v>240</v>
      </c>
      <c r="M594" s="3">
        <v>4</v>
      </c>
      <c r="N594">
        <v>0</v>
      </c>
      <c r="O594">
        <v>6</v>
      </c>
      <c r="P594" t="s">
        <v>31</v>
      </c>
    </row>
    <row r="595" spans="1:16">
      <c r="A595" t="s">
        <v>733</v>
      </c>
      <c r="B595" s="6">
        <v>46142.551388888889</v>
      </c>
      <c r="C595" s="2">
        <v>46143.404141898151</v>
      </c>
      <c r="D595" t="s">
        <v>23</v>
      </c>
      <c r="E595" t="s">
        <v>50</v>
      </c>
      <c r="F595" t="s">
        <v>51</v>
      </c>
      <c r="G595" t="s">
        <v>26</v>
      </c>
      <c r="H595" t="s">
        <v>42</v>
      </c>
      <c r="I595" t="s">
        <v>36</v>
      </c>
      <c r="J595" t="s">
        <v>52</v>
      </c>
      <c r="K595" t="s">
        <v>85</v>
      </c>
      <c r="L595" s="3">
        <v>45</v>
      </c>
      <c r="M595" s="3">
        <v>4</v>
      </c>
      <c r="N595">
        <v>0</v>
      </c>
      <c r="O595">
        <v>4</v>
      </c>
      <c r="P595" t="s">
        <v>31</v>
      </c>
    </row>
    <row r="596" spans="1:16">
      <c r="A596" t="s">
        <v>734</v>
      </c>
      <c r="B596" s="6">
        <v>46121.949305555558</v>
      </c>
      <c r="C596" s="2">
        <v>46123.384846226851</v>
      </c>
      <c r="D596" t="s">
        <v>23</v>
      </c>
      <c r="E596" t="s">
        <v>33</v>
      </c>
      <c r="F596" t="s">
        <v>25</v>
      </c>
      <c r="G596" t="s">
        <v>26</v>
      </c>
      <c r="H596" t="s">
        <v>35</v>
      </c>
      <c r="I596" t="s">
        <v>48</v>
      </c>
      <c r="J596" t="s">
        <v>52</v>
      </c>
      <c r="K596" t="s">
        <v>93</v>
      </c>
      <c r="L596" s="3">
        <v>150</v>
      </c>
      <c r="M596" s="3">
        <v>4</v>
      </c>
      <c r="N596">
        <v>0</v>
      </c>
      <c r="O596">
        <v>5</v>
      </c>
      <c r="P596" t="s">
        <v>31</v>
      </c>
    </row>
    <row r="597" spans="1:16">
      <c r="A597" t="s">
        <v>735</v>
      </c>
      <c r="B597" s="6">
        <v>46206.070833333331</v>
      </c>
      <c r="C597" s="2">
        <v>46206.622489398149</v>
      </c>
      <c r="D597" t="s">
        <v>23</v>
      </c>
      <c r="E597" t="s">
        <v>50</v>
      </c>
      <c r="F597" t="s">
        <v>41</v>
      </c>
      <c r="G597" t="s">
        <v>75</v>
      </c>
      <c r="H597" t="s">
        <v>42</v>
      </c>
      <c r="I597" t="s">
        <v>28</v>
      </c>
      <c r="J597" t="s">
        <v>163</v>
      </c>
      <c r="K597" t="s">
        <v>44</v>
      </c>
      <c r="L597" s="3">
        <v>242</v>
      </c>
      <c r="M597" s="3">
        <v>4</v>
      </c>
      <c r="N597">
        <v>1</v>
      </c>
      <c r="O597">
        <v>4</v>
      </c>
      <c r="P597" t="s">
        <v>31</v>
      </c>
    </row>
    <row r="598" spans="1:16">
      <c r="A598" t="s">
        <v>736</v>
      </c>
      <c r="B598" s="6">
        <v>46045.243750000001</v>
      </c>
      <c r="C598" s="2">
        <v>46045.856100254627</v>
      </c>
      <c r="D598" t="s">
        <v>23</v>
      </c>
      <c r="E598" t="s">
        <v>50</v>
      </c>
      <c r="F598" t="s">
        <v>51</v>
      </c>
      <c r="G598" t="s">
        <v>26</v>
      </c>
      <c r="H598" t="s">
        <v>42</v>
      </c>
      <c r="I598" t="s">
        <v>36</v>
      </c>
      <c r="J598" t="s">
        <v>163</v>
      </c>
      <c r="K598" t="s">
        <v>68</v>
      </c>
      <c r="L598" s="3">
        <v>155</v>
      </c>
      <c r="M598" s="3">
        <v>4</v>
      </c>
      <c r="N598">
        <v>0</v>
      </c>
      <c r="O598">
        <v>3</v>
      </c>
      <c r="P598" t="s">
        <v>31</v>
      </c>
    </row>
    <row r="599" spans="1:16">
      <c r="A599" t="s">
        <v>737</v>
      </c>
      <c r="B599" s="6">
        <v>46170.740972222222</v>
      </c>
      <c r="C599" s="2">
        <v>46171.137714351855</v>
      </c>
      <c r="D599" t="s">
        <v>23</v>
      </c>
      <c r="E599" t="s">
        <v>40</v>
      </c>
      <c r="F599" t="s">
        <v>51</v>
      </c>
      <c r="G599" t="s">
        <v>75</v>
      </c>
      <c r="H599" t="s">
        <v>42</v>
      </c>
      <c r="I599" t="s">
        <v>43</v>
      </c>
      <c r="J599" t="s">
        <v>37</v>
      </c>
      <c r="K599" t="s">
        <v>30</v>
      </c>
      <c r="L599" s="3">
        <v>32</v>
      </c>
      <c r="M599" s="3">
        <v>4</v>
      </c>
      <c r="N599">
        <v>0</v>
      </c>
      <c r="O599">
        <v>5</v>
      </c>
      <c r="P599" t="s">
        <v>31</v>
      </c>
    </row>
    <row r="600" spans="1:16">
      <c r="A600" t="s">
        <v>738</v>
      </c>
      <c r="B600" s="6">
        <v>46190.666666666664</v>
      </c>
      <c r="C600" s="2">
        <v>46192.28661023148</v>
      </c>
      <c r="D600" t="s">
        <v>23</v>
      </c>
      <c r="E600" t="s">
        <v>33</v>
      </c>
      <c r="F600" t="s">
        <v>25</v>
      </c>
      <c r="G600" t="s">
        <v>66</v>
      </c>
      <c r="H600" t="s">
        <v>35</v>
      </c>
      <c r="I600" t="s">
        <v>28</v>
      </c>
      <c r="J600" t="s">
        <v>37</v>
      </c>
      <c r="K600" t="s">
        <v>85</v>
      </c>
      <c r="L600" s="3">
        <v>277</v>
      </c>
      <c r="M600" s="3">
        <v>3</v>
      </c>
      <c r="N600">
        <v>0</v>
      </c>
      <c r="O600">
        <v>4</v>
      </c>
      <c r="P600" t="s">
        <v>31</v>
      </c>
    </row>
    <row r="601" spans="1:16">
      <c r="A601" t="s">
        <v>739</v>
      </c>
      <c r="B601" s="6">
        <v>46199.734722222223</v>
      </c>
      <c r="C601" s="2">
        <v>46201.283189097223</v>
      </c>
      <c r="D601" t="s">
        <v>23</v>
      </c>
      <c r="E601" t="s">
        <v>33</v>
      </c>
      <c r="F601" t="s">
        <v>51</v>
      </c>
      <c r="G601" t="s">
        <v>54</v>
      </c>
      <c r="H601" t="s">
        <v>27</v>
      </c>
      <c r="I601" t="s">
        <v>36</v>
      </c>
      <c r="J601" t="s">
        <v>37</v>
      </c>
      <c r="K601" t="s">
        <v>55</v>
      </c>
      <c r="L601" s="3">
        <v>352</v>
      </c>
      <c r="M601" s="3">
        <v>3</v>
      </c>
      <c r="N601">
        <v>0</v>
      </c>
      <c r="O601">
        <v>3</v>
      </c>
      <c r="P601" t="s">
        <v>31</v>
      </c>
    </row>
    <row r="602" spans="1:16">
      <c r="A602" t="s">
        <v>740</v>
      </c>
      <c r="B602" s="6">
        <v>46167.523611111108</v>
      </c>
      <c r="C602" s="2">
        <v>46169.191146053243</v>
      </c>
      <c r="D602" t="s">
        <v>23</v>
      </c>
      <c r="E602" t="s">
        <v>50</v>
      </c>
      <c r="F602" t="s">
        <v>51</v>
      </c>
      <c r="G602" t="s">
        <v>54</v>
      </c>
      <c r="H602" t="s">
        <v>42</v>
      </c>
      <c r="I602" t="s">
        <v>36</v>
      </c>
      <c r="J602" t="s">
        <v>37</v>
      </c>
      <c r="K602" t="s">
        <v>71</v>
      </c>
      <c r="L602" s="3">
        <v>62</v>
      </c>
      <c r="M602" s="3">
        <v>4</v>
      </c>
      <c r="N602">
        <v>0</v>
      </c>
      <c r="O602">
        <v>4</v>
      </c>
      <c r="P602" t="s">
        <v>31</v>
      </c>
    </row>
    <row r="603" spans="1:16">
      <c r="A603" t="s">
        <v>741</v>
      </c>
      <c r="B603" s="6">
        <v>46034.795138888891</v>
      </c>
      <c r="C603" s="2">
        <v>46035.733878483799</v>
      </c>
      <c r="D603" t="s">
        <v>23</v>
      </c>
      <c r="E603" t="s">
        <v>50</v>
      </c>
      <c r="F603" t="s">
        <v>332</v>
      </c>
      <c r="G603" t="s">
        <v>54</v>
      </c>
      <c r="H603" t="s">
        <v>35</v>
      </c>
      <c r="I603" t="s">
        <v>28</v>
      </c>
      <c r="J603" t="s">
        <v>37</v>
      </c>
      <c r="K603" t="s">
        <v>101</v>
      </c>
      <c r="L603" s="3">
        <v>108</v>
      </c>
      <c r="M603" s="3">
        <v>4</v>
      </c>
      <c r="N603">
        <v>0</v>
      </c>
      <c r="O603">
        <v>3</v>
      </c>
      <c r="P603" t="s">
        <v>31</v>
      </c>
    </row>
    <row r="604" spans="1:16">
      <c r="A604" t="s">
        <v>742</v>
      </c>
      <c r="B604" s="6">
        <v>46086.579861111109</v>
      </c>
      <c r="C604" s="2">
        <v>46086.897857673612</v>
      </c>
      <c r="D604" t="s">
        <v>23</v>
      </c>
      <c r="E604" t="s">
        <v>40</v>
      </c>
      <c r="F604" t="s">
        <v>25</v>
      </c>
      <c r="G604" t="s">
        <v>34</v>
      </c>
      <c r="H604" t="s">
        <v>27</v>
      </c>
      <c r="I604" t="s">
        <v>28</v>
      </c>
      <c r="J604" t="s">
        <v>67</v>
      </c>
      <c r="K604" t="s">
        <v>71</v>
      </c>
      <c r="L604" s="3">
        <v>27</v>
      </c>
      <c r="M604" s="3">
        <v>4</v>
      </c>
      <c r="N604">
        <v>0</v>
      </c>
      <c r="O604">
        <v>6</v>
      </c>
      <c r="P604" t="s">
        <v>31</v>
      </c>
    </row>
    <row r="605" spans="1:16">
      <c r="A605" t="s">
        <v>743</v>
      </c>
      <c r="B605" s="6">
        <v>46065.936805555553</v>
      </c>
      <c r="C605" s="2">
        <v>46069.218773749999</v>
      </c>
      <c r="D605" t="s">
        <v>23</v>
      </c>
      <c r="E605" t="s">
        <v>33</v>
      </c>
      <c r="F605" t="s">
        <v>25</v>
      </c>
      <c r="G605" t="s">
        <v>66</v>
      </c>
      <c r="H605" t="s">
        <v>35</v>
      </c>
      <c r="I605" t="s">
        <v>43</v>
      </c>
      <c r="J605" t="s">
        <v>37</v>
      </c>
      <c r="K605" t="s">
        <v>101</v>
      </c>
      <c r="L605" s="3">
        <v>314</v>
      </c>
      <c r="M605" s="3">
        <v>3</v>
      </c>
      <c r="N605">
        <v>0</v>
      </c>
      <c r="O605">
        <v>5</v>
      </c>
      <c r="P605" t="s">
        <v>31</v>
      </c>
    </row>
    <row r="606" spans="1:16">
      <c r="A606" t="s">
        <v>744</v>
      </c>
      <c r="B606" s="6">
        <v>46060.876388888886</v>
      </c>
      <c r="C606" s="2">
        <v>46060.989148356479</v>
      </c>
      <c r="D606" t="s">
        <v>23</v>
      </c>
      <c r="E606" t="s">
        <v>24</v>
      </c>
      <c r="F606" t="s">
        <v>51</v>
      </c>
      <c r="G606" t="s">
        <v>54</v>
      </c>
      <c r="H606" t="s">
        <v>35</v>
      </c>
      <c r="I606" t="s">
        <v>36</v>
      </c>
      <c r="J606" t="s">
        <v>52</v>
      </c>
      <c r="K606" t="s">
        <v>55</v>
      </c>
      <c r="L606" s="3">
        <v>11</v>
      </c>
      <c r="M606" s="3">
        <v>4</v>
      </c>
      <c r="N606">
        <v>0</v>
      </c>
      <c r="O606">
        <v>6</v>
      </c>
      <c r="P606" t="s">
        <v>31</v>
      </c>
    </row>
    <row r="607" spans="1:16">
      <c r="A607" t="s">
        <v>745</v>
      </c>
      <c r="B607" s="6">
        <v>46186.359027777777</v>
      </c>
      <c r="C607" s="2">
        <v>46187.09769696759</v>
      </c>
      <c r="D607" t="s">
        <v>23</v>
      </c>
      <c r="E607" t="s">
        <v>50</v>
      </c>
      <c r="F607" t="s">
        <v>125</v>
      </c>
      <c r="G607" t="s">
        <v>26</v>
      </c>
      <c r="H607" t="s">
        <v>35</v>
      </c>
      <c r="I607" t="s">
        <v>36</v>
      </c>
      <c r="J607" t="s">
        <v>58</v>
      </c>
      <c r="K607" t="s">
        <v>38</v>
      </c>
      <c r="L607" s="3">
        <v>121</v>
      </c>
      <c r="M607" s="3">
        <v>4</v>
      </c>
      <c r="N607">
        <v>0</v>
      </c>
      <c r="O607">
        <v>4</v>
      </c>
      <c r="P607" t="s">
        <v>31</v>
      </c>
    </row>
    <row r="608" spans="1:16">
      <c r="A608" t="s">
        <v>746</v>
      </c>
      <c r="B608" s="6">
        <v>46140.444444444445</v>
      </c>
      <c r="C608" s="2">
        <v>46144.452571087961</v>
      </c>
      <c r="D608" t="s">
        <v>23</v>
      </c>
      <c r="E608" t="s">
        <v>50</v>
      </c>
      <c r="F608" t="s">
        <v>25</v>
      </c>
      <c r="G608" t="s">
        <v>54</v>
      </c>
      <c r="H608" t="s">
        <v>27</v>
      </c>
      <c r="I608" t="s">
        <v>36</v>
      </c>
      <c r="J608" t="s">
        <v>37</v>
      </c>
      <c r="K608" t="s">
        <v>68</v>
      </c>
      <c r="L608" s="3">
        <v>53</v>
      </c>
      <c r="M608" s="3">
        <v>4</v>
      </c>
      <c r="N608">
        <v>0</v>
      </c>
      <c r="O608">
        <v>2</v>
      </c>
      <c r="P608" t="s">
        <v>31</v>
      </c>
    </row>
    <row r="609" spans="1:16">
      <c r="A609" t="s">
        <v>747</v>
      </c>
      <c r="B609" s="6">
        <v>46234.087500000001</v>
      </c>
      <c r="C609" s="2">
        <v>46235.159304849534</v>
      </c>
      <c r="D609" t="s">
        <v>23</v>
      </c>
      <c r="E609" t="s">
        <v>50</v>
      </c>
      <c r="F609" t="s">
        <v>25</v>
      </c>
      <c r="G609" t="s">
        <v>34</v>
      </c>
      <c r="H609" t="s">
        <v>42</v>
      </c>
      <c r="I609" t="s">
        <v>43</v>
      </c>
      <c r="J609" t="s">
        <v>76</v>
      </c>
      <c r="K609" t="s">
        <v>30</v>
      </c>
      <c r="L609" s="3">
        <v>40</v>
      </c>
      <c r="M609" s="3">
        <v>4</v>
      </c>
      <c r="N609">
        <v>0</v>
      </c>
      <c r="O609">
        <v>7</v>
      </c>
      <c r="P609" t="s">
        <v>31</v>
      </c>
    </row>
    <row r="610" spans="1:16">
      <c r="A610" t="s">
        <v>748</v>
      </c>
      <c r="B610" s="6">
        <v>46213.015277777777</v>
      </c>
      <c r="C610" s="2">
        <v>46213.348498263891</v>
      </c>
      <c r="D610" t="s">
        <v>23</v>
      </c>
      <c r="E610" t="s">
        <v>40</v>
      </c>
      <c r="F610" t="s">
        <v>41</v>
      </c>
      <c r="G610" t="s">
        <v>66</v>
      </c>
      <c r="H610" t="s">
        <v>35</v>
      </c>
      <c r="I610" t="s">
        <v>36</v>
      </c>
      <c r="J610" t="s">
        <v>76</v>
      </c>
      <c r="K610" t="s">
        <v>71</v>
      </c>
      <c r="L610" s="3">
        <v>46</v>
      </c>
      <c r="M610" s="3">
        <v>4</v>
      </c>
      <c r="N610">
        <v>1</v>
      </c>
      <c r="O610">
        <v>5</v>
      </c>
      <c r="P610" t="s">
        <v>31</v>
      </c>
    </row>
    <row r="611" spans="1:16">
      <c r="A611" t="s">
        <v>749</v>
      </c>
      <c r="B611" s="6">
        <v>46205.53125</v>
      </c>
      <c r="C611" s="2">
        <v>46207.259512812503</v>
      </c>
      <c r="D611" t="s">
        <v>23</v>
      </c>
      <c r="E611" t="s">
        <v>50</v>
      </c>
      <c r="F611" t="s">
        <v>25</v>
      </c>
      <c r="G611" t="s">
        <v>358</v>
      </c>
      <c r="H611" t="s">
        <v>35</v>
      </c>
      <c r="I611" t="s">
        <v>36</v>
      </c>
      <c r="J611" t="s">
        <v>76</v>
      </c>
      <c r="K611" t="s">
        <v>85</v>
      </c>
      <c r="L611" s="3">
        <v>91</v>
      </c>
      <c r="M611" s="3">
        <v>4</v>
      </c>
      <c r="N611">
        <v>0</v>
      </c>
      <c r="O611">
        <v>3</v>
      </c>
      <c r="P611" t="s">
        <v>31</v>
      </c>
    </row>
    <row r="612" spans="1:16">
      <c r="A612" t="s">
        <v>750</v>
      </c>
      <c r="B612" s="6">
        <v>46199.48333333333</v>
      </c>
      <c r="C612" s="2">
        <v>46200.634486319446</v>
      </c>
      <c r="D612" t="s">
        <v>23</v>
      </c>
      <c r="E612" t="s">
        <v>33</v>
      </c>
      <c r="F612" t="s">
        <v>51</v>
      </c>
      <c r="G612" t="s">
        <v>26</v>
      </c>
      <c r="H612" t="s">
        <v>42</v>
      </c>
      <c r="I612" t="s">
        <v>43</v>
      </c>
      <c r="J612" t="s">
        <v>52</v>
      </c>
      <c r="K612" t="s">
        <v>62</v>
      </c>
      <c r="L612" s="3">
        <v>143</v>
      </c>
      <c r="M612" s="3">
        <v>4</v>
      </c>
      <c r="N612">
        <v>0</v>
      </c>
      <c r="O612">
        <v>7</v>
      </c>
      <c r="P612" t="s">
        <v>31</v>
      </c>
    </row>
    <row r="613" spans="1:16">
      <c r="A613" t="s">
        <v>751</v>
      </c>
      <c r="B613" s="6">
        <v>46134.078472222223</v>
      </c>
      <c r="C613" s="2">
        <v>46134.367720520837</v>
      </c>
      <c r="D613" t="s">
        <v>23</v>
      </c>
      <c r="E613" t="s">
        <v>50</v>
      </c>
      <c r="F613" t="s">
        <v>51</v>
      </c>
      <c r="G613" t="s">
        <v>26</v>
      </c>
      <c r="H613" t="s">
        <v>42</v>
      </c>
      <c r="I613" t="s">
        <v>43</v>
      </c>
      <c r="J613" t="s">
        <v>52</v>
      </c>
      <c r="K613" t="s">
        <v>101</v>
      </c>
      <c r="L613" s="3">
        <v>58</v>
      </c>
      <c r="M613" s="3">
        <v>4</v>
      </c>
      <c r="N613">
        <v>0</v>
      </c>
      <c r="O613">
        <v>7</v>
      </c>
      <c r="P613" t="s">
        <v>31</v>
      </c>
    </row>
    <row r="614" spans="1:16">
      <c r="A614" t="s">
        <v>752</v>
      </c>
      <c r="B614" s="6">
        <v>46025.548611111109</v>
      </c>
      <c r="C614" s="2">
        <v>46025.721944212964</v>
      </c>
      <c r="D614" t="s">
        <v>23</v>
      </c>
      <c r="E614" t="s">
        <v>24</v>
      </c>
      <c r="F614" t="s">
        <v>41</v>
      </c>
      <c r="G614" t="s">
        <v>34</v>
      </c>
      <c r="H614" t="s">
        <v>42</v>
      </c>
      <c r="I614" t="s">
        <v>43</v>
      </c>
      <c r="J614" t="s">
        <v>37</v>
      </c>
      <c r="K614" t="s">
        <v>38</v>
      </c>
      <c r="L614" s="3">
        <v>23</v>
      </c>
      <c r="M614" s="3">
        <v>5</v>
      </c>
      <c r="N614">
        <v>0</v>
      </c>
      <c r="O614">
        <v>4</v>
      </c>
      <c r="P614" t="s">
        <v>31</v>
      </c>
    </row>
    <row r="615" spans="1:16">
      <c r="A615" t="s">
        <v>753</v>
      </c>
      <c r="B615" s="6">
        <v>46134.21875</v>
      </c>
      <c r="C615" s="2">
        <v>46134.355858171293</v>
      </c>
      <c r="D615" t="s">
        <v>23</v>
      </c>
      <c r="E615" t="s">
        <v>40</v>
      </c>
      <c r="F615" t="s">
        <v>51</v>
      </c>
      <c r="G615" t="s">
        <v>26</v>
      </c>
      <c r="H615" t="s">
        <v>42</v>
      </c>
      <c r="I615" t="s">
        <v>28</v>
      </c>
      <c r="J615" t="s">
        <v>52</v>
      </c>
      <c r="K615" t="s">
        <v>30</v>
      </c>
      <c r="L615" s="3">
        <v>24</v>
      </c>
      <c r="M615" s="3">
        <v>4</v>
      </c>
      <c r="N615">
        <v>0</v>
      </c>
      <c r="O615">
        <v>5</v>
      </c>
      <c r="P615" t="s">
        <v>31</v>
      </c>
    </row>
    <row r="616" spans="1:16">
      <c r="A616" t="s">
        <v>754</v>
      </c>
      <c r="B616" s="6">
        <v>46179.40347222222</v>
      </c>
      <c r="C616" s="2">
        <v>46179.968676435186</v>
      </c>
      <c r="D616" t="s">
        <v>23</v>
      </c>
      <c r="E616" t="s">
        <v>50</v>
      </c>
      <c r="F616" t="s">
        <v>25</v>
      </c>
      <c r="G616" t="s">
        <v>66</v>
      </c>
      <c r="H616" t="s">
        <v>35</v>
      </c>
      <c r="I616" t="s">
        <v>28</v>
      </c>
      <c r="J616" t="s">
        <v>52</v>
      </c>
      <c r="K616" t="s">
        <v>30</v>
      </c>
      <c r="L616" s="3">
        <v>198</v>
      </c>
      <c r="M616" s="3">
        <v>4</v>
      </c>
      <c r="N616">
        <v>0</v>
      </c>
      <c r="O616">
        <v>2</v>
      </c>
      <c r="P616" t="s">
        <v>31</v>
      </c>
    </row>
    <row r="617" spans="1:16">
      <c r="A617" t="s">
        <v>755</v>
      </c>
      <c r="B617" s="6">
        <v>46082.931250000001</v>
      </c>
      <c r="C617" s="2">
        <v>46083.528634745373</v>
      </c>
      <c r="D617" t="s">
        <v>23</v>
      </c>
      <c r="E617" t="s">
        <v>50</v>
      </c>
      <c r="F617" t="s">
        <v>25</v>
      </c>
      <c r="G617" t="s">
        <v>259</v>
      </c>
      <c r="H617" t="s">
        <v>42</v>
      </c>
      <c r="I617" t="s">
        <v>48</v>
      </c>
      <c r="J617" t="s">
        <v>76</v>
      </c>
      <c r="K617" t="s">
        <v>30</v>
      </c>
      <c r="L617" s="3">
        <v>102</v>
      </c>
      <c r="M617" s="3">
        <v>4</v>
      </c>
      <c r="N617">
        <v>0</v>
      </c>
      <c r="O617">
        <v>2</v>
      </c>
      <c r="P617" t="s">
        <v>31</v>
      </c>
    </row>
    <row r="618" spans="1:16">
      <c r="A618" t="s">
        <v>756</v>
      </c>
      <c r="B618" s="6">
        <v>46025.738194444442</v>
      </c>
      <c r="C618" s="2">
        <v>46027.814496192128</v>
      </c>
      <c r="D618" t="s">
        <v>23</v>
      </c>
      <c r="E618" t="s">
        <v>50</v>
      </c>
      <c r="F618" t="s">
        <v>51</v>
      </c>
      <c r="G618" t="s">
        <v>75</v>
      </c>
      <c r="H618" t="s">
        <v>42</v>
      </c>
      <c r="I618" t="s">
        <v>43</v>
      </c>
      <c r="J618" t="s">
        <v>58</v>
      </c>
      <c r="K618" t="s">
        <v>101</v>
      </c>
      <c r="L618" s="3">
        <v>75</v>
      </c>
      <c r="M618" s="3">
        <v>4</v>
      </c>
      <c r="N618">
        <v>0</v>
      </c>
      <c r="O618">
        <v>7</v>
      </c>
      <c r="P618" t="s">
        <v>31</v>
      </c>
    </row>
    <row r="619" spans="1:16">
      <c r="A619" t="s">
        <v>757</v>
      </c>
      <c r="B619" s="6">
        <v>46259.464583333334</v>
      </c>
      <c r="C619" s="2">
        <v>46262.604849317133</v>
      </c>
      <c r="D619" t="s">
        <v>23</v>
      </c>
      <c r="E619" t="s">
        <v>33</v>
      </c>
      <c r="F619" t="s">
        <v>25</v>
      </c>
      <c r="G619" t="s">
        <v>54</v>
      </c>
      <c r="H619" t="s">
        <v>35</v>
      </c>
      <c r="I619" t="s">
        <v>36</v>
      </c>
      <c r="J619" t="s">
        <v>37</v>
      </c>
      <c r="K619" t="s">
        <v>62</v>
      </c>
      <c r="L619" s="3">
        <v>150</v>
      </c>
      <c r="M619" s="3">
        <v>4</v>
      </c>
      <c r="N619">
        <v>0</v>
      </c>
      <c r="O619">
        <v>3</v>
      </c>
      <c r="P619" t="s">
        <v>31</v>
      </c>
    </row>
    <row r="620" spans="1:16">
      <c r="A620" t="s">
        <v>758</v>
      </c>
      <c r="B620" s="6">
        <v>46229.15625</v>
      </c>
      <c r="C620" s="2">
        <v>46230.137584826392</v>
      </c>
      <c r="D620" t="s">
        <v>23</v>
      </c>
      <c r="E620" t="s">
        <v>40</v>
      </c>
      <c r="F620" t="s">
        <v>25</v>
      </c>
      <c r="G620" t="s">
        <v>66</v>
      </c>
      <c r="H620" t="s">
        <v>35</v>
      </c>
      <c r="I620" t="s">
        <v>43</v>
      </c>
      <c r="J620" t="s">
        <v>76</v>
      </c>
      <c r="K620" t="s">
        <v>68</v>
      </c>
      <c r="L620" s="3">
        <v>56</v>
      </c>
      <c r="M620" s="3">
        <v>4</v>
      </c>
      <c r="N620">
        <v>0</v>
      </c>
      <c r="O620">
        <v>4</v>
      </c>
      <c r="P620" t="s">
        <v>31</v>
      </c>
    </row>
    <row r="621" spans="1:16">
      <c r="A621" t="s">
        <v>759</v>
      </c>
      <c r="B621" s="6">
        <v>46076.672222222223</v>
      </c>
      <c r="C621" s="2">
        <v>46079.737041493056</v>
      </c>
      <c r="D621" t="s">
        <v>23</v>
      </c>
      <c r="E621" t="s">
        <v>33</v>
      </c>
      <c r="F621" t="s">
        <v>51</v>
      </c>
      <c r="G621" t="s">
        <v>34</v>
      </c>
      <c r="H621" t="s">
        <v>35</v>
      </c>
      <c r="I621" t="s">
        <v>43</v>
      </c>
      <c r="J621" t="s">
        <v>760</v>
      </c>
      <c r="K621" t="s">
        <v>38</v>
      </c>
      <c r="L621" s="3">
        <v>304</v>
      </c>
      <c r="M621" s="3">
        <v>3</v>
      </c>
      <c r="N621">
        <v>0</v>
      </c>
      <c r="O621">
        <v>3</v>
      </c>
      <c r="P621" t="s">
        <v>31</v>
      </c>
    </row>
    <row r="622" spans="1:16">
      <c r="A622" t="s">
        <v>761</v>
      </c>
      <c r="B622" s="6">
        <v>46181.897916666669</v>
      </c>
      <c r="C622" s="2">
        <v>46182.18123667824</v>
      </c>
      <c r="D622" t="s">
        <v>23</v>
      </c>
      <c r="E622" t="s">
        <v>24</v>
      </c>
      <c r="F622" t="s">
        <v>41</v>
      </c>
      <c r="G622" t="s">
        <v>34</v>
      </c>
      <c r="H622" t="s">
        <v>42</v>
      </c>
      <c r="I622" t="s">
        <v>48</v>
      </c>
      <c r="J622" t="s">
        <v>67</v>
      </c>
      <c r="K622" t="s">
        <v>55</v>
      </c>
      <c r="L622" s="3">
        <v>32</v>
      </c>
      <c r="M622" s="3">
        <v>5</v>
      </c>
      <c r="N622">
        <v>0</v>
      </c>
      <c r="O622">
        <v>4</v>
      </c>
      <c r="P622" t="s">
        <v>31</v>
      </c>
    </row>
    <row r="623" spans="1:16">
      <c r="A623" t="s">
        <v>762</v>
      </c>
      <c r="B623" s="6">
        <v>46218.535416666666</v>
      </c>
      <c r="C623" s="2">
        <v>46220.441775624997</v>
      </c>
      <c r="D623" t="s">
        <v>23</v>
      </c>
      <c r="E623" t="s">
        <v>33</v>
      </c>
      <c r="F623" t="s">
        <v>25</v>
      </c>
      <c r="G623" t="s">
        <v>26</v>
      </c>
      <c r="H623" t="s">
        <v>42</v>
      </c>
      <c r="I623" t="s">
        <v>28</v>
      </c>
      <c r="J623" t="s">
        <v>58</v>
      </c>
      <c r="K623" t="s">
        <v>85</v>
      </c>
      <c r="L623" s="3">
        <v>497</v>
      </c>
      <c r="M623" s="3">
        <v>3</v>
      </c>
      <c r="N623">
        <v>0</v>
      </c>
      <c r="O623">
        <v>3</v>
      </c>
      <c r="P623" t="s">
        <v>31</v>
      </c>
    </row>
    <row r="624" spans="1:16">
      <c r="A624" t="s">
        <v>763</v>
      </c>
      <c r="B624" s="6">
        <v>46023.76666666667</v>
      </c>
      <c r="C624" s="2">
        <v>46024.740289097223</v>
      </c>
      <c r="D624" t="s">
        <v>23</v>
      </c>
      <c r="E624" t="s">
        <v>40</v>
      </c>
      <c r="F624" t="s">
        <v>234</v>
      </c>
      <c r="G624" t="s">
        <v>26</v>
      </c>
      <c r="H624" t="s">
        <v>35</v>
      </c>
      <c r="I624" t="s">
        <v>43</v>
      </c>
      <c r="J624" t="s">
        <v>37</v>
      </c>
      <c r="K624" t="s">
        <v>68</v>
      </c>
      <c r="L624" s="3">
        <v>63</v>
      </c>
      <c r="M624" s="3">
        <v>4</v>
      </c>
      <c r="N624">
        <v>0</v>
      </c>
      <c r="O624">
        <v>5</v>
      </c>
      <c r="P624" t="s">
        <v>31</v>
      </c>
    </row>
    <row r="625" spans="1:16">
      <c r="A625" t="s">
        <v>764</v>
      </c>
      <c r="B625" s="6">
        <v>46175.217361111114</v>
      </c>
      <c r="C625" s="2">
        <v>46176.94953111111</v>
      </c>
      <c r="D625" t="s">
        <v>23</v>
      </c>
      <c r="E625" t="s">
        <v>50</v>
      </c>
      <c r="F625" t="s">
        <v>41</v>
      </c>
      <c r="G625" t="s">
        <v>26</v>
      </c>
      <c r="H625" t="s">
        <v>35</v>
      </c>
      <c r="I625" t="s">
        <v>48</v>
      </c>
      <c r="J625" t="s">
        <v>37</v>
      </c>
      <c r="K625" t="s">
        <v>85</v>
      </c>
      <c r="L625" s="3">
        <v>25</v>
      </c>
      <c r="M625" s="3">
        <v>4</v>
      </c>
      <c r="N625">
        <v>1</v>
      </c>
      <c r="O625">
        <v>9</v>
      </c>
      <c r="P625" t="s">
        <v>31</v>
      </c>
    </row>
    <row r="626" spans="1:16">
      <c r="A626" t="s">
        <v>765</v>
      </c>
      <c r="B626" s="6">
        <v>46191.230555555558</v>
      </c>
      <c r="C626" s="2">
        <v>46191.980183182874</v>
      </c>
      <c r="D626" t="s">
        <v>23</v>
      </c>
      <c r="E626" t="s">
        <v>50</v>
      </c>
      <c r="F626" t="s">
        <v>51</v>
      </c>
      <c r="G626" t="s">
        <v>34</v>
      </c>
      <c r="H626" t="s">
        <v>35</v>
      </c>
      <c r="I626" t="s">
        <v>43</v>
      </c>
      <c r="J626" t="s">
        <v>37</v>
      </c>
      <c r="K626" t="s">
        <v>55</v>
      </c>
      <c r="L626" s="3">
        <v>99</v>
      </c>
      <c r="M626" s="3">
        <v>4</v>
      </c>
      <c r="N626">
        <v>0</v>
      </c>
      <c r="O626">
        <v>4</v>
      </c>
      <c r="P626" t="s">
        <v>31</v>
      </c>
    </row>
    <row r="627" spans="1:16">
      <c r="A627" t="s">
        <v>766</v>
      </c>
      <c r="B627" s="6">
        <v>46052.440972222219</v>
      </c>
      <c r="C627" s="2">
        <v>46055.170634942129</v>
      </c>
      <c r="D627" t="s">
        <v>23</v>
      </c>
      <c r="E627" t="s">
        <v>33</v>
      </c>
      <c r="F627" t="s">
        <v>65</v>
      </c>
      <c r="G627" t="s">
        <v>75</v>
      </c>
      <c r="H627" t="s">
        <v>27</v>
      </c>
      <c r="I627" t="s">
        <v>36</v>
      </c>
      <c r="J627" t="s">
        <v>58</v>
      </c>
      <c r="K627" t="s">
        <v>55</v>
      </c>
      <c r="L627" s="3">
        <v>169</v>
      </c>
      <c r="M627" s="3">
        <v>3</v>
      </c>
      <c r="N627">
        <v>0</v>
      </c>
      <c r="O627">
        <v>3</v>
      </c>
      <c r="P627" t="s">
        <v>31</v>
      </c>
    </row>
    <row r="628" spans="1:16">
      <c r="A628" t="s">
        <v>533</v>
      </c>
      <c r="B628" s="6">
        <v>46090.684027777781</v>
      </c>
      <c r="C628" s="2">
        <v>46091.893167835646</v>
      </c>
      <c r="D628" t="s">
        <v>23</v>
      </c>
      <c r="E628" t="s">
        <v>50</v>
      </c>
      <c r="F628" t="s">
        <v>25</v>
      </c>
      <c r="G628" t="s">
        <v>26</v>
      </c>
      <c r="H628" t="s">
        <v>35</v>
      </c>
      <c r="I628" t="s">
        <v>28</v>
      </c>
      <c r="J628" t="s">
        <v>37</v>
      </c>
      <c r="K628" t="s">
        <v>85</v>
      </c>
      <c r="L628" s="3">
        <v>93</v>
      </c>
      <c r="M628" s="3">
        <v>4</v>
      </c>
      <c r="N628">
        <v>0</v>
      </c>
      <c r="O628">
        <v>2</v>
      </c>
      <c r="P628" t="s">
        <v>31</v>
      </c>
    </row>
    <row r="629" spans="1:16">
      <c r="A629" t="s">
        <v>767</v>
      </c>
      <c r="B629" s="6">
        <v>46257.231944444444</v>
      </c>
      <c r="C629" s="2">
        <v>46258.520858634256</v>
      </c>
      <c r="D629" t="s">
        <v>23</v>
      </c>
      <c r="E629" t="s">
        <v>33</v>
      </c>
      <c r="F629" t="s">
        <v>51</v>
      </c>
      <c r="G629" t="s">
        <v>26</v>
      </c>
      <c r="H629" t="s">
        <v>35</v>
      </c>
      <c r="I629" t="s">
        <v>28</v>
      </c>
      <c r="J629" t="s">
        <v>37</v>
      </c>
      <c r="K629" t="s">
        <v>38</v>
      </c>
      <c r="L629" s="3" t="s">
        <v>768</v>
      </c>
      <c r="M629" s="3">
        <v>4</v>
      </c>
      <c r="N629">
        <v>0</v>
      </c>
      <c r="O629">
        <v>7</v>
      </c>
      <c r="P629" t="s">
        <v>31</v>
      </c>
    </row>
    <row r="630" spans="1:16">
      <c r="A630" t="s">
        <v>769</v>
      </c>
      <c r="B630" s="6">
        <v>46077.96875</v>
      </c>
      <c r="C630" s="2">
        <v>46079.850914537034</v>
      </c>
      <c r="D630" t="s">
        <v>23</v>
      </c>
      <c r="E630" t="s">
        <v>50</v>
      </c>
      <c r="F630" t="s">
        <v>25</v>
      </c>
      <c r="G630" t="s">
        <v>26</v>
      </c>
      <c r="H630" t="s">
        <v>35</v>
      </c>
      <c r="I630" t="s">
        <v>28</v>
      </c>
      <c r="J630" t="s">
        <v>58</v>
      </c>
      <c r="K630" t="s">
        <v>38</v>
      </c>
      <c r="L630" s="3">
        <v>62</v>
      </c>
      <c r="M630" s="3">
        <v>4</v>
      </c>
      <c r="N630">
        <v>0</v>
      </c>
      <c r="O630">
        <v>7</v>
      </c>
      <c r="P630" t="s">
        <v>31</v>
      </c>
    </row>
    <row r="631" spans="1:16">
      <c r="A631" t="s">
        <v>770</v>
      </c>
      <c r="B631" s="6">
        <v>46048.131944444445</v>
      </c>
      <c r="C631" s="2">
        <v>46049.772828159723</v>
      </c>
      <c r="D631" t="s">
        <v>23</v>
      </c>
      <c r="E631" t="s">
        <v>50</v>
      </c>
      <c r="F631" t="s">
        <v>51</v>
      </c>
      <c r="G631" t="s">
        <v>34</v>
      </c>
      <c r="H631" t="s">
        <v>35</v>
      </c>
      <c r="I631" t="s">
        <v>36</v>
      </c>
      <c r="J631" t="s">
        <v>58</v>
      </c>
      <c r="K631" t="s">
        <v>68</v>
      </c>
      <c r="L631" s="3">
        <v>134</v>
      </c>
      <c r="M631" s="3">
        <v>4</v>
      </c>
      <c r="N631">
        <v>1</v>
      </c>
      <c r="O631">
        <v>6</v>
      </c>
      <c r="P631" t="s">
        <v>31</v>
      </c>
    </row>
    <row r="632" spans="1:16">
      <c r="A632" t="s">
        <v>771</v>
      </c>
      <c r="B632" s="6">
        <v>46258.890277777777</v>
      </c>
      <c r="C632" s="2">
        <v>46259.483215925924</v>
      </c>
      <c r="D632" t="s">
        <v>23</v>
      </c>
      <c r="E632" t="s">
        <v>40</v>
      </c>
      <c r="F632" t="s">
        <v>51</v>
      </c>
      <c r="G632" t="s">
        <v>26</v>
      </c>
      <c r="H632" t="s">
        <v>42</v>
      </c>
      <c r="I632" t="s">
        <v>48</v>
      </c>
      <c r="J632" t="s">
        <v>58</v>
      </c>
      <c r="K632" t="s">
        <v>30</v>
      </c>
      <c r="L632" s="3">
        <v>34</v>
      </c>
      <c r="M632" s="3">
        <v>4</v>
      </c>
      <c r="N632">
        <v>1</v>
      </c>
      <c r="O632">
        <v>7</v>
      </c>
      <c r="P632" t="s">
        <v>31</v>
      </c>
    </row>
    <row r="633" spans="1:16">
      <c r="A633" t="s">
        <v>772</v>
      </c>
      <c r="B633" s="6">
        <v>46176.988888888889</v>
      </c>
      <c r="C633" s="2">
        <v>46178.45573390046</v>
      </c>
      <c r="D633" t="s">
        <v>23</v>
      </c>
      <c r="E633" t="s">
        <v>50</v>
      </c>
      <c r="F633" t="s">
        <v>51</v>
      </c>
      <c r="G633" t="s">
        <v>75</v>
      </c>
      <c r="H633" t="s">
        <v>42</v>
      </c>
      <c r="I633" t="s">
        <v>48</v>
      </c>
      <c r="J633" t="s">
        <v>58</v>
      </c>
      <c r="K633" t="s">
        <v>44</v>
      </c>
      <c r="L633" s="3">
        <v>65</v>
      </c>
      <c r="M633" s="3">
        <v>4</v>
      </c>
      <c r="N633">
        <v>0</v>
      </c>
      <c r="O633">
        <v>4</v>
      </c>
      <c r="P633" t="s">
        <v>31</v>
      </c>
    </row>
    <row r="634" spans="1:16">
      <c r="A634" t="s">
        <v>773</v>
      </c>
      <c r="B634" s="6">
        <v>46063.50277777778</v>
      </c>
      <c r="C634" s="2">
        <v>46064.272846319443</v>
      </c>
      <c r="D634" t="s">
        <v>23</v>
      </c>
      <c r="E634" t="s">
        <v>50</v>
      </c>
      <c r="F634" t="s">
        <v>51</v>
      </c>
      <c r="G634" t="s">
        <v>75</v>
      </c>
      <c r="H634" t="s">
        <v>27</v>
      </c>
      <c r="I634" t="s">
        <v>28</v>
      </c>
      <c r="J634" t="s">
        <v>58</v>
      </c>
      <c r="K634" t="s">
        <v>62</v>
      </c>
      <c r="L634" s="3">
        <v>190</v>
      </c>
      <c r="M634" s="3">
        <v>4</v>
      </c>
      <c r="N634">
        <v>0</v>
      </c>
      <c r="O634">
        <v>6</v>
      </c>
      <c r="P634" t="s">
        <v>31</v>
      </c>
    </row>
    <row r="635" spans="1:16">
      <c r="A635" t="s">
        <v>774</v>
      </c>
      <c r="B635" s="6">
        <v>46036.190972222219</v>
      </c>
      <c r="C635" s="2">
        <v>46037.01092458333</v>
      </c>
      <c r="D635" t="s">
        <v>23</v>
      </c>
      <c r="E635" t="s">
        <v>40</v>
      </c>
      <c r="F635" t="s">
        <v>25</v>
      </c>
      <c r="G635" t="s">
        <v>54</v>
      </c>
      <c r="H635" t="s">
        <v>42</v>
      </c>
      <c r="I635" t="s">
        <v>48</v>
      </c>
      <c r="J635" t="s">
        <v>76</v>
      </c>
      <c r="K635" t="s">
        <v>44</v>
      </c>
      <c r="L635" s="3">
        <v>78</v>
      </c>
      <c r="M635" s="3">
        <v>4</v>
      </c>
      <c r="N635">
        <v>1</v>
      </c>
      <c r="O635">
        <v>7</v>
      </c>
      <c r="P635" t="s">
        <v>31</v>
      </c>
    </row>
    <row r="636" spans="1:16">
      <c r="A636" t="s">
        <v>775</v>
      </c>
      <c r="B636" s="6">
        <v>46190.243055555555</v>
      </c>
      <c r="C636" s="2">
        <v>46190.3743521875</v>
      </c>
      <c r="D636" t="s">
        <v>23</v>
      </c>
      <c r="E636" t="s">
        <v>40</v>
      </c>
      <c r="F636" t="s">
        <v>41</v>
      </c>
      <c r="G636" t="s">
        <v>34</v>
      </c>
      <c r="H636" t="s">
        <v>42</v>
      </c>
      <c r="I636" t="s">
        <v>48</v>
      </c>
      <c r="J636" t="s">
        <v>29</v>
      </c>
      <c r="K636" t="s">
        <v>55</v>
      </c>
      <c r="L636" s="3">
        <v>59</v>
      </c>
      <c r="M636" s="3">
        <v>4</v>
      </c>
      <c r="N636">
        <v>0</v>
      </c>
      <c r="O636">
        <v>4</v>
      </c>
      <c r="P636" t="s">
        <v>31</v>
      </c>
    </row>
    <row r="637" spans="1:16">
      <c r="A637" t="s">
        <v>776</v>
      </c>
      <c r="B637" s="6">
        <v>46155.519444444442</v>
      </c>
      <c r="C637" s="2">
        <v>46156.275932025463</v>
      </c>
      <c r="D637" t="s">
        <v>23</v>
      </c>
      <c r="E637" t="s">
        <v>33</v>
      </c>
      <c r="F637" t="s">
        <v>25</v>
      </c>
      <c r="G637" t="s">
        <v>66</v>
      </c>
      <c r="H637" t="s">
        <v>42</v>
      </c>
      <c r="I637" t="s">
        <v>43</v>
      </c>
      <c r="J637" t="s">
        <v>29</v>
      </c>
      <c r="K637" t="s">
        <v>93</v>
      </c>
      <c r="L637" s="3">
        <v>101</v>
      </c>
      <c r="M637" s="3">
        <v>4</v>
      </c>
      <c r="N637">
        <v>0</v>
      </c>
      <c r="O637">
        <v>6</v>
      </c>
      <c r="P637" t="s">
        <v>31</v>
      </c>
    </row>
    <row r="638" spans="1:16">
      <c r="A638" t="s">
        <v>777</v>
      </c>
      <c r="B638" s="6">
        <v>46190.538194444445</v>
      </c>
      <c r="C638" s="2">
        <v>46191.409488287034</v>
      </c>
      <c r="D638" t="s">
        <v>23</v>
      </c>
      <c r="E638" t="s">
        <v>40</v>
      </c>
      <c r="F638" t="s">
        <v>51</v>
      </c>
      <c r="G638" t="s">
        <v>26</v>
      </c>
      <c r="H638" t="s">
        <v>35</v>
      </c>
      <c r="I638" t="s">
        <v>28</v>
      </c>
      <c r="J638" t="s">
        <v>58</v>
      </c>
      <c r="K638" t="s">
        <v>30</v>
      </c>
      <c r="L638" s="3">
        <v>29</v>
      </c>
      <c r="M638" s="3">
        <v>4</v>
      </c>
      <c r="N638">
        <v>0</v>
      </c>
      <c r="O638">
        <v>7</v>
      </c>
      <c r="P638" t="s">
        <v>31</v>
      </c>
    </row>
    <row r="639" spans="1:16">
      <c r="A639" t="s">
        <v>778</v>
      </c>
      <c r="B639" s="6">
        <v>46063.664583333331</v>
      </c>
      <c r="C639" s="2">
        <v>46064.926357025462</v>
      </c>
      <c r="D639" t="s">
        <v>23</v>
      </c>
      <c r="E639" t="s">
        <v>33</v>
      </c>
      <c r="F639" t="s">
        <v>51</v>
      </c>
      <c r="G639" t="s">
        <v>54</v>
      </c>
      <c r="H639" t="s">
        <v>42</v>
      </c>
      <c r="I639" t="s">
        <v>36</v>
      </c>
      <c r="J639" t="s">
        <v>601</v>
      </c>
      <c r="K639" t="s">
        <v>55</v>
      </c>
      <c r="L639" s="3">
        <v>185</v>
      </c>
      <c r="M639" s="3">
        <v>3</v>
      </c>
      <c r="N639">
        <v>1</v>
      </c>
      <c r="O639">
        <v>8</v>
      </c>
      <c r="P639" t="s">
        <v>31</v>
      </c>
    </row>
    <row r="640" spans="1:16">
      <c r="A640" t="s">
        <v>779</v>
      </c>
      <c r="B640" s="6">
        <v>46100.234027777777</v>
      </c>
      <c r="C640" s="2">
        <v>46106.259877627315</v>
      </c>
      <c r="D640" t="s">
        <v>23</v>
      </c>
      <c r="E640" t="s">
        <v>33</v>
      </c>
      <c r="F640" t="s">
        <v>25</v>
      </c>
      <c r="G640" t="s">
        <v>54</v>
      </c>
      <c r="H640" t="s">
        <v>42</v>
      </c>
      <c r="I640" t="s">
        <v>36</v>
      </c>
      <c r="J640" t="s">
        <v>37</v>
      </c>
      <c r="K640" t="s">
        <v>62</v>
      </c>
      <c r="L640" s="3">
        <v>89</v>
      </c>
      <c r="M640" s="3">
        <v>3</v>
      </c>
      <c r="N640">
        <v>0</v>
      </c>
      <c r="O640">
        <v>6</v>
      </c>
      <c r="P640" t="s">
        <v>31</v>
      </c>
    </row>
    <row r="641" spans="1:16">
      <c r="A641" t="s">
        <v>780</v>
      </c>
      <c r="B641" s="6">
        <v>46030.70416666667</v>
      </c>
      <c r="C641" s="2">
        <v>46030.977544456022</v>
      </c>
      <c r="D641" t="s">
        <v>23</v>
      </c>
      <c r="E641" t="s">
        <v>40</v>
      </c>
      <c r="F641" t="s">
        <v>25</v>
      </c>
      <c r="G641" t="s">
        <v>26</v>
      </c>
      <c r="H641" t="s">
        <v>35</v>
      </c>
      <c r="I641" t="s">
        <v>48</v>
      </c>
      <c r="J641" t="s">
        <v>52</v>
      </c>
      <c r="K641" t="s">
        <v>68</v>
      </c>
      <c r="L641" s="3">
        <v>34</v>
      </c>
      <c r="M641" s="3">
        <v>5</v>
      </c>
      <c r="N641">
        <v>0</v>
      </c>
      <c r="O641">
        <v>4</v>
      </c>
      <c r="P641" t="s">
        <v>31</v>
      </c>
    </row>
    <row r="642" spans="1:16">
      <c r="A642" t="s">
        <v>781</v>
      </c>
      <c r="B642" s="6">
        <v>46205.268055555556</v>
      </c>
      <c r="C642" s="2">
        <v>46205.551232754631</v>
      </c>
      <c r="D642" t="s">
        <v>23</v>
      </c>
      <c r="E642" t="s">
        <v>24</v>
      </c>
      <c r="F642" t="s">
        <v>41</v>
      </c>
      <c r="G642" t="s">
        <v>26</v>
      </c>
      <c r="H642" t="s">
        <v>27</v>
      </c>
      <c r="I642" t="s">
        <v>36</v>
      </c>
      <c r="J642" t="s">
        <v>52</v>
      </c>
      <c r="K642" t="s">
        <v>101</v>
      </c>
      <c r="L642" s="3">
        <v>37</v>
      </c>
      <c r="M642" s="3">
        <v>4</v>
      </c>
      <c r="N642">
        <v>0</v>
      </c>
      <c r="O642">
        <v>9</v>
      </c>
      <c r="P642" t="s">
        <v>63</v>
      </c>
    </row>
    <row r="643" spans="1:16">
      <c r="A643" t="s">
        <v>782</v>
      </c>
      <c r="B643" s="6">
        <v>46051.573611111111</v>
      </c>
      <c r="C643" s="2">
        <v>46053.427342384261</v>
      </c>
      <c r="D643" t="s">
        <v>23</v>
      </c>
      <c r="E643" t="s">
        <v>50</v>
      </c>
      <c r="F643" t="s">
        <v>25</v>
      </c>
      <c r="G643" t="s">
        <v>34</v>
      </c>
      <c r="H643" t="s">
        <v>27</v>
      </c>
      <c r="I643" t="s">
        <v>43</v>
      </c>
      <c r="J643" t="s">
        <v>58</v>
      </c>
      <c r="K643" t="s">
        <v>68</v>
      </c>
      <c r="L643" s="3">
        <v>259</v>
      </c>
      <c r="M643" s="3">
        <v>4</v>
      </c>
      <c r="N643">
        <v>0</v>
      </c>
      <c r="O643">
        <v>4</v>
      </c>
      <c r="P643" t="s">
        <v>31</v>
      </c>
    </row>
    <row r="644" spans="1:16">
      <c r="A644" t="s">
        <v>783</v>
      </c>
      <c r="B644" s="6">
        <v>46043.834027777775</v>
      </c>
      <c r="C644" s="2">
        <v>46044.173192604168</v>
      </c>
      <c r="D644" t="s">
        <v>23</v>
      </c>
      <c r="E644" t="s">
        <v>24</v>
      </c>
      <c r="F644" t="s">
        <v>25</v>
      </c>
      <c r="G644" t="s">
        <v>26</v>
      </c>
      <c r="H644" t="s">
        <v>27</v>
      </c>
      <c r="I644" t="s">
        <v>28</v>
      </c>
      <c r="J644" t="s">
        <v>37</v>
      </c>
      <c r="K644" t="s">
        <v>101</v>
      </c>
      <c r="L644" s="3">
        <v>12</v>
      </c>
      <c r="M644" s="3">
        <v>5</v>
      </c>
      <c r="N644">
        <v>0</v>
      </c>
      <c r="O644">
        <v>3</v>
      </c>
      <c r="P644" t="s">
        <v>31</v>
      </c>
    </row>
    <row r="645" spans="1:16">
      <c r="A645" t="s">
        <v>784</v>
      </c>
      <c r="B645" s="6">
        <v>46077.813194444447</v>
      </c>
      <c r="C645" s="2">
        <v>46078.36074891204</v>
      </c>
      <c r="D645" t="s">
        <v>23</v>
      </c>
      <c r="E645" t="s">
        <v>33</v>
      </c>
      <c r="F645" t="s">
        <v>51</v>
      </c>
      <c r="G645" t="s">
        <v>66</v>
      </c>
      <c r="H645" t="s">
        <v>42</v>
      </c>
      <c r="I645" t="s">
        <v>28</v>
      </c>
      <c r="J645" t="s">
        <v>29</v>
      </c>
      <c r="K645" t="s">
        <v>38</v>
      </c>
      <c r="L645" s="3">
        <v>111</v>
      </c>
      <c r="M645" s="3">
        <v>4</v>
      </c>
      <c r="N645">
        <v>0</v>
      </c>
      <c r="O645">
        <v>7</v>
      </c>
      <c r="P645" t="s">
        <v>31</v>
      </c>
    </row>
    <row r="646" spans="1:16">
      <c r="A646" t="s">
        <v>785</v>
      </c>
      <c r="B646" s="6">
        <v>46182.270833333336</v>
      </c>
      <c r="C646" s="2">
        <v>46182.900724884261</v>
      </c>
      <c r="D646" t="s">
        <v>23</v>
      </c>
      <c r="E646" t="s">
        <v>33</v>
      </c>
      <c r="F646" t="s">
        <v>25</v>
      </c>
      <c r="G646" t="s">
        <v>75</v>
      </c>
      <c r="H646" t="s">
        <v>35</v>
      </c>
      <c r="I646" t="s">
        <v>28</v>
      </c>
      <c r="J646" t="s">
        <v>52</v>
      </c>
      <c r="K646" t="s">
        <v>44</v>
      </c>
      <c r="L646" s="3">
        <v>67</v>
      </c>
      <c r="M646" s="3">
        <v>5</v>
      </c>
      <c r="N646">
        <v>0</v>
      </c>
      <c r="O646">
        <v>3</v>
      </c>
      <c r="P646" t="s">
        <v>31</v>
      </c>
    </row>
    <row r="647" spans="1:16">
      <c r="A647" t="s">
        <v>786</v>
      </c>
      <c r="B647" s="6">
        <v>46163.276388888888</v>
      </c>
      <c r="C647" s="2">
        <v>46163.724954016201</v>
      </c>
      <c r="D647" t="s">
        <v>23</v>
      </c>
      <c r="E647" t="s">
        <v>40</v>
      </c>
      <c r="F647" t="s">
        <v>41</v>
      </c>
      <c r="G647" t="s">
        <v>54</v>
      </c>
      <c r="H647" t="s">
        <v>42</v>
      </c>
      <c r="I647" t="s">
        <v>36</v>
      </c>
      <c r="J647" t="s">
        <v>37</v>
      </c>
      <c r="K647" t="s">
        <v>101</v>
      </c>
      <c r="L647" s="3">
        <v>19</v>
      </c>
      <c r="M647" s="3">
        <v>4</v>
      </c>
      <c r="N647">
        <v>0</v>
      </c>
      <c r="O647">
        <v>2</v>
      </c>
      <c r="P647" t="s">
        <v>31</v>
      </c>
    </row>
    <row r="648" spans="1:16">
      <c r="A648" t="s">
        <v>787</v>
      </c>
      <c r="B648" s="6">
        <v>46156.779166666667</v>
      </c>
      <c r="C648" s="2">
        <v>46157.224715706019</v>
      </c>
      <c r="D648" t="s">
        <v>23</v>
      </c>
      <c r="E648" t="s">
        <v>40</v>
      </c>
      <c r="F648" t="s">
        <v>65</v>
      </c>
      <c r="G648" t="s">
        <v>26</v>
      </c>
      <c r="H648" t="s">
        <v>42</v>
      </c>
      <c r="I648" t="s">
        <v>48</v>
      </c>
      <c r="J648" t="s">
        <v>76</v>
      </c>
      <c r="K648" t="s">
        <v>62</v>
      </c>
      <c r="L648" s="3">
        <v>80</v>
      </c>
      <c r="M648" s="3">
        <v>4</v>
      </c>
      <c r="N648">
        <v>0</v>
      </c>
      <c r="O648">
        <v>7</v>
      </c>
      <c r="P648" t="s">
        <v>31</v>
      </c>
    </row>
    <row r="649" spans="1:16">
      <c r="A649" t="s">
        <v>788</v>
      </c>
      <c r="B649" s="6">
        <v>46200.697222222225</v>
      </c>
      <c r="C649" s="2">
        <v>46201.357095810185</v>
      </c>
      <c r="D649" t="s">
        <v>23</v>
      </c>
      <c r="E649" t="s">
        <v>40</v>
      </c>
      <c r="F649" t="s">
        <v>51</v>
      </c>
      <c r="G649" t="s">
        <v>26</v>
      </c>
      <c r="H649" t="s">
        <v>42</v>
      </c>
      <c r="I649" t="s">
        <v>48</v>
      </c>
      <c r="J649" t="s">
        <v>67</v>
      </c>
      <c r="K649" t="s">
        <v>101</v>
      </c>
      <c r="L649" s="3">
        <v>37</v>
      </c>
      <c r="M649" s="3">
        <v>5</v>
      </c>
      <c r="N649">
        <v>0</v>
      </c>
      <c r="O649">
        <v>7</v>
      </c>
      <c r="P649" t="s">
        <v>31</v>
      </c>
    </row>
    <row r="650" spans="1:16">
      <c r="A650" t="s">
        <v>789</v>
      </c>
      <c r="B650" s="6">
        <v>46260.959027777775</v>
      </c>
      <c r="C650" s="2">
        <v>46261.329955914349</v>
      </c>
      <c r="D650" t="s">
        <v>23</v>
      </c>
      <c r="E650" t="s">
        <v>40</v>
      </c>
      <c r="F650" t="s">
        <v>41</v>
      </c>
      <c r="G650" t="s">
        <v>54</v>
      </c>
      <c r="H650" t="s">
        <v>35</v>
      </c>
      <c r="I650" t="s">
        <v>48</v>
      </c>
      <c r="J650" t="s">
        <v>29</v>
      </c>
      <c r="K650" t="s">
        <v>30</v>
      </c>
      <c r="L650" s="3">
        <v>23</v>
      </c>
      <c r="M650" s="3">
        <v>5</v>
      </c>
      <c r="N650">
        <v>0</v>
      </c>
      <c r="O650">
        <v>7</v>
      </c>
      <c r="P650" t="s">
        <v>31</v>
      </c>
    </row>
    <row r="651" spans="1:16">
      <c r="A651" t="s">
        <v>790</v>
      </c>
      <c r="B651" s="6">
        <v>46061.19027777778</v>
      </c>
      <c r="C651" s="2">
        <v>46062.563183622682</v>
      </c>
      <c r="D651" t="s">
        <v>23</v>
      </c>
      <c r="E651" t="s">
        <v>33</v>
      </c>
      <c r="F651" t="s">
        <v>41</v>
      </c>
      <c r="G651" t="s">
        <v>259</v>
      </c>
      <c r="H651" t="s">
        <v>35</v>
      </c>
      <c r="I651" t="s">
        <v>28</v>
      </c>
      <c r="J651" t="s">
        <v>52</v>
      </c>
      <c r="K651" t="s">
        <v>62</v>
      </c>
      <c r="L651" s="3">
        <v>137</v>
      </c>
      <c r="M651" s="3">
        <v>4</v>
      </c>
      <c r="N651">
        <v>0</v>
      </c>
      <c r="O651">
        <v>3</v>
      </c>
      <c r="P651" t="s">
        <v>31</v>
      </c>
    </row>
    <row r="652" spans="1:16">
      <c r="A652" t="s">
        <v>791</v>
      </c>
      <c r="B652" s="6">
        <v>46264.066666666666</v>
      </c>
      <c r="C652" s="2">
        <v>46266.507798252314</v>
      </c>
      <c r="D652" t="s">
        <v>23</v>
      </c>
      <c r="E652" t="s">
        <v>33</v>
      </c>
      <c r="F652" t="s">
        <v>51</v>
      </c>
      <c r="G652" t="s">
        <v>66</v>
      </c>
      <c r="H652" t="s">
        <v>35</v>
      </c>
      <c r="I652" t="s">
        <v>48</v>
      </c>
      <c r="J652" t="s">
        <v>551</v>
      </c>
      <c r="K652" t="s">
        <v>68</v>
      </c>
      <c r="L652" s="3">
        <v>151</v>
      </c>
      <c r="M652" s="3">
        <v>4</v>
      </c>
      <c r="N652">
        <v>0</v>
      </c>
      <c r="O652">
        <v>7</v>
      </c>
      <c r="P652" t="s">
        <v>31</v>
      </c>
    </row>
    <row r="653" spans="1:16">
      <c r="A653" t="s">
        <v>792</v>
      </c>
      <c r="B653" s="6">
        <v>46120.913888888892</v>
      </c>
      <c r="C653" s="2">
        <v>46121.60944177083</v>
      </c>
      <c r="D653" t="s">
        <v>23</v>
      </c>
      <c r="E653" t="s">
        <v>50</v>
      </c>
      <c r="F653" t="s">
        <v>51</v>
      </c>
      <c r="G653" t="s">
        <v>66</v>
      </c>
      <c r="H653" t="s">
        <v>35</v>
      </c>
      <c r="I653" t="s">
        <v>48</v>
      </c>
      <c r="J653" t="s">
        <v>52</v>
      </c>
      <c r="K653" t="s">
        <v>44</v>
      </c>
      <c r="L653" s="3">
        <v>51</v>
      </c>
      <c r="M653" s="3">
        <v>4</v>
      </c>
      <c r="N653">
        <v>1</v>
      </c>
      <c r="O653">
        <v>8</v>
      </c>
      <c r="P653" t="s">
        <v>31</v>
      </c>
    </row>
    <row r="654" spans="1:16">
      <c r="A654" t="s">
        <v>793</v>
      </c>
      <c r="B654" s="6">
        <v>46080.292361111111</v>
      </c>
      <c r="C654" s="2">
        <v>46081.418482245368</v>
      </c>
      <c r="D654" t="s">
        <v>23</v>
      </c>
      <c r="E654" t="s">
        <v>50</v>
      </c>
      <c r="F654" t="s">
        <v>25</v>
      </c>
      <c r="G654" t="s">
        <v>26</v>
      </c>
      <c r="H654" t="s">
        <v>42</v>
      </c>
      <c r="I654" t="s">
        <v>28</v>
      </c>
      <c r="J654" t="s">
        <v>76</v>
      </c>
      <c r="K654" t="s">
        <v>93</v>
      </c>
      <c r="L654" s="3">
        <v>84</v>
      </c>
      <c r="M654" s="3">
        <v>4</v>
      </c>
      <c r="N654">
        <v>0</v>
      </c>
      <c r="O654">
        <v>3</v>
      </c>
      <c r="P654" t="s">
        <v>31</v>
      </c>
    </row>
    <row r="655" spans="1:16">
      <c r="A655" t="s">
        <v>794</v>
      </c>
      <c r="B655" s="6">
        <v>46091.177083333336</v>
      </c>
      <c r="C655" s="2" t="s">
        <v>795</v>
      </c>
      <c r="D655" t="s">
        <v>23</v>
      </c>
      <c r="E655" t="s">
        <v>50</v>
      </c>
      <c r="F655" t="s">
        <v>25</v>
      </c>
      <c r="G655" t="s">
        <v>54</v>
      </c>
      <c r="H655" t="s">
        <v>35</v>
      </c>
      <c r="I655" t="s">
        <v>43</v>
      </c>
      <c r="J655" t="s">
        <v>58</v>
      </c>
      <c r="K655" t="s">
        <v>44</v>
      </c>
      <c r="L655" s="3">
        <v>72</v>
      </c>
      <c r="M655" s="3">
        <v>3</v>
      </c>
      <c r="N655">
        <v>2</v>
      </c>
      <c r="O655">
        <v>9</v>
      </c>
      <c r="P655" t="s">
        <v>31</v>
      </c>
    </row>
    <row r="656" spans="1:16">
      <c r="A656" t="s">
        <v>796</v>
      </c>
      <c r="B656" s="6">
        <v>46201.62777777778</v>
      </c>
      <c r="C656" s="2"/>
      <c r="D656" t="s">
        <v>57</v>
      </c>
      <c r="E656" t="s">
        <v>595</v>
      </c>
      <c r="F656" t="s">
        <v>25</v>
      </c>
      <c r="G656" t="s">
        <v>75</v>
      </c>
      <c r="H656" t="s">
        <v>35</v>
      </c>
      <c r="I656" t="s">
        <v>36</v>
      </c>
      <c r="J656" t="s">
        <v>37</v>
      </c>
      <c r="K656" t="s">
        <v>44</v>
      </c>
      <c r="L656" s="3">
        <v>72</v>
      </c>
      <c r="M656" s="3"/>
      <c r="N656">
        <v>0</v>
      </c>
      <c r="O656">
        <v>3</v>
      </c>
      <c r="P656" t="s">
        <v>31</v>
      </c>
    </row>
    <row r="657" spans="1:16">
      <c r="A657" t="s">
        <v>797</v>
      </c>
      <c r="B657" s="6">
        <v>46083.597916666666</v>
      </c>
      <c r="C657" s="2">
        <v>46084.113822939813</v>
      </c>
      <c r="D657" t="s">
        <v>23</v>
      </c>
      <c r="E657" t="s">
        <v>50</v>
      </c>
      <c r="F657" t="s">
        <v>25</v>
      </c>
      <c r="G657" t="s">
        <v>66</v>
      </c>
      <c r="H657" t="s">
        <v>35</v>
      </c>
      <c r="I657" t="s">
        <v>43</v>
      </c>
      <c r="J657" t="s">
        <v>52</v>
      </c>
      <c r="K657" t="s">
        <v>44</v>
      </c>
      <c r="L657" s="3">
        <v>118</v>
      </c>
      <c r="M657" s="3">
        <v>4</v>
      </c>
      <c r="N657">
        <v>0</v>
      </c>
      <c r="O657">
        <v>6</v>
      </c>
      <c r="P657" t="s">
        <v>31</v>
      </c>
    </row>
    <row r="658" spans="1:16">
      <c r="A658" t="s">
        <v>798</v>
      </c>
      <c r="B658" s="6">
        <v>46030.008333333331</v>
      </c>
      <c r="C658" s="2">
        <v>46030.53663988426</v>
      </c>
      <c r="D658" t="s">
        <v>23</v>
      </c>
      <c r="E658" t="s">
        <v>40</v>
      </c>
      <c r="F658" t="s">
        <v>51</v>
      </c>
      <c r="G658" t="s">
        <v>66</v>
      </c>
      <c r="H658" t="s">
        <v>42</v>
      </c>
      <c r="I658" t="s">
        <v>28</v>
      </c>
      <c r="J658" t="s">
        <v>601</v>
      </c>
      <c r="K658" t="s">
        <v>38</v>
      </c>
      <c r="L658" s="3">
        <v>29</v>
      </c>
      <c r="M658" s="3">
        <v>5</v>
      </c>
      <c r="N658">
        <v>0</v>
      </c>
      <c r="O658">
        <v>2</v>
      </c>
      <c r="P658" t="s">
        <v>31</v>
      </c>
    </row>
    <row r="659" spans="1:16">
      <c r="A659" t="s">
        <v>799</v>
      </c>
      <c r="B659" s="6">
        <v>46248.920138888891</v>
      </c>
      <c r="C659" s="2">
        <v>46250.861507847221</v>
      </c>
      <c r="D659" t="s">
        <v>23</v>
      </c>
      <c r="E659" t="s">
        <v>50</v>
      </c>
      <c r="F659" t="s">
        <v>25</v>
      </c>
      <c r="G659" t="s">
        <v>54</v>
      </c>
      <c r="H659" t="s">
        <v>35</v>
      </c>
      <c r="I659" t="s">
        <v>43</v>
      </c>
      <c r="J659" t="s">
        <v>76</v>
      </c>
      <c r="K659" t="s">
        <v>62</v>
      </c>
      <c r="L659" s="3">
        <v>92</v>
      </c>
      <c r="M659" s="3">
        <v>4</v>
      </c>
      <c r="N659">
        <v>0</v>
      </c>
      <c r="O659">
        <v>3</v>
      </c>
      <c r="P659" t="s">
        <v>31</v>
      </c>
    </row>
    <row r="660" spans="1:16">
      <c r="A660" t="s">
        <v>800</v>
      </c>
      <c r="B660" s="6">
        <v>46091.902777777781</v>
      </c>
      <c r="C660" s="2">
        <v>46092.303853865742</v>
      </c>
      <c r="D660" t="s">
        <v>23</v>
      </c>
      <c r="E660" t="s">
        <v>33</v>
      </c>
      <c r="F660" t="s">
        <v>25</v>
      </c>
      <c r="G660" t="s">
        <v>66</v>
      </c>
      <c r="H660" t="s">
        <v>42</v>
      </c>
      <c r="I660" t="s">
        <v>43</v>
      </c>
      <c r="J660" t="s">
        <v>29</v>
      </c>
      <c r="K660" t="s">
        <v>44</v>
      </c>
      <c r="L660" s="3">
        <v>55</v>
      </c>
      <c r="M660" s="3">
        <v>4</v>
      </c>
      <c r="N660">
        <v>0</v>
      </c>
      <c r="O660">
        <v>4</v>
      </c>
      <c r="P660" t="s">
        <v>31</v>
      </c>
    </row>
    <row r="661" spans="1:16">
      <c r="A661" t="s">
        <v>801</v>
      </c>
      <c r="B661" s="6">
        <v>46112.293749999997</v>
      </c>
      <c r="C661" s="2">
        <v>46112.66047166667</v>
      </c>
      <c r="D661" t="s">
        <v>23</v>
      </c>
      <c r="E661" t="s">
        <v>50</v>
      </c>
      <c r="F661" t="s">
        <v>25</v>
      </c>
      <c r="G661" t="s">
        <v>54</v>
      </c>
      <c r="H661" t="s">
        <v>42</v>
      </c>
      <c r="I661" t="s">
        <v>48</v>
      </c>
      <c r="J661" t="s">
        <v>52</v>
      </c>
      <c r="K661" t="s">
        <v>71</v>
      </c>
      <c r="L661" s="3">
        <v>132</v>
      </c>
      <c r="M661" s="3">
        <v>4</v>
      </c>
      <c r="N661">
        <v>0</v>
      </c>
      <c r="O661">
        <v>5</v>
      </c>
      <c r="P661" t="s">
        <v>31</v>
      </c>
    </row>
    <row r="662" spans="1:16">
      <c r="A662" t="s">
        <v>802</v>
      </c>
      <c r="B662" s="6">
        <v>46125.425694444442</v>
      </c>
      <c r="C662" s="2">
        <v>46126.130403738425</v>
      </c>
      <c r="D662" t="s">
        <v>23</v>
      </c>
      <c r="E662" t="s">
        <v>50</v>
      </c>
      <c r="F662" t="s">
        <v>51</v>
      </c>
      <c r="G662" t="s">
        <v>34</v>
      </c>
      <c r="H662" t="s">
        <v>27</v>
      </c>
      <c r="I662" t="s">
        <v>28</v>
      </c>
      <c r="J662" t="s">
        <v>58</v>
      </c>
      <c r="K662" t="s">
        <v>55</v>
      </c>
      <c r="L662" s="3">
        <v>179</v>
      </c>
      <c r="M662" s="3">
        <v>4</v>
      </c>
      <c r="N662">
        <v>1</v>
      </c>
      <c r="O662">
        <v>6</v>
      </c>
      <c r="P662" t="s">
        <v>31</v>
      </c>
    </row>
    <row r="663" spans="1:16">
      <c r="A663" t="s">
        <v>803</v>
      </c>
      <c r="B663" s="6">
        <v>46025.102777777778</v>
      </c>
      <c r="C663" s="2" t="s">
        <v>804</v>
      </c>
      <c r="D663" t="s">
        <v>23</v>
      </c>
      <c r="E663" t="s">
        <v>33</v>
      </c>
      <c r="F663" t="s">
        <v>51</v>
      </c>
      <c r="G663" t="s">
        <v>26</v>
      </c>
      <c r="H663" t="s">
        <v>42</v>
      </c>
      <c r="I663" t="s">
        <v>36</v>
      </c>
      <c r="J663" t="s">
        <v>29</v>
      </c>
      <c r="L663" s="3">
        <v>261</v>
      </c>
      <c r="M663" s="3">
        <v>4</v>
      </c>
      <c r="N663">
        <v>0</v>
      </c>
      <c r="O663">
        <v>2</v>
      </c>
      <c r="P663" t="s">
        <v>31</v>
      </c>
    </row>
    <row r="664" spans="1:16">
      <c r="A664" t="s">
        <v>805</v>
      </c>
      <c r="B664" s="6">
        <v>46133.853472222225</v>
      </c>
      <c r="C664" s="2">
        <v>46134.708327777778</v>
      </c>
      <c r="D664" t="s">
        <v>23</v>
      </c>
      <c r="E664" t="s">
        <v>50</v>
      </c>
      <c r="F664" t="s">
        <v>51</v>
      </c>
      <c r="G664" t="s">
        <v>54</v>
      </c>
      <c r="H664" t="s">
        <v>35</v>
      </c>
      <c r="I664" t="s">
        <v>36</v>
      </c>
      <c r="J664" t="s">
        <v>37</v>
      </c>
      <c r="K664" t="s">
        <v>62</v>
      </c>
      <c r="L664" s="3">
        <v>105</v>
      </c>
      <c r="M664" s="3">
        <v>4</v>
      </c>
      <c r="N664">
        <v>0</v>
      </c>
      <c r="O664">
        <v>2</v>
      </c>
      <c r="P664" t="s">
        <v>31</v>
      </c>
    </row>
    <row r="665" spans="1:16">
      <c r="A665" t="s">
        <v>806</v>
      </c>
      <c r="B665" s="6">
        <v>46152.4375</v>
      </c>
      <c r="C665" s="2">
        <v>46152.622362106478</v>
      </c>
      <c r="D665" t="s">
        <v>23</v>
      </c>
      <c r="E665" t="s">
        <v>24</v>
      </c>
      <c r="F665" t="s">
        <v>65</v>
      </c>
      <c r="G665" t="s">
        <v>66</v>
      </c>
      <c r="H665" t="s">
        <v>42</v>
      </c>
      <c r="I665" t="s">
        <v>36</v>
      </c>
      <c r="J665" t="s">
        <v>52</v>
      </c>
      <c r="L665" s="3">
        <v>65</v>
      </c>
      <c r="M665" s="3">
        <v>5</v>
      </c>
      <c r="N665">
        <v>0</v>
      </c>
      <c r="O665">
        <v>5</v>
      </c>
      <c r="P665" t="s">
        <v>31</v>
      </c>
    </row>
    <row r="666" spans="1:16">
      <c r="A666" t="s">
        <v>807</v>
      </c>
      <c r="B666" s="6">
        <v>46218.720833333333</v>
      </c>
      <c r="C666" s="2">
        <v>46220.335605069442</v>
      </c>
      <c r="D666" t="s">
        <v>23</v>
      </c>
      <c r="E666" t="s">
        <v>33</v>
      </c>
      <c r="F666" t="s">
        <v>25</v>
      </c>
      <c r="G666" t="s">
        <v>26</v>
      </c>
      <c r="H666" t="s">
        <v>42</v>
      </c>
      <c r="I666" t="s">
        <v>28</v>
      </c>
      <c r="J666" t="s">
        <v>58</v>
      </c>
      <c r="K666" t="s">
        <v>38</v>
      </c>
      <c r="L666" s="3">
        <v>117</v>
      </c>
      <c r="M666" s="3">
        <v>3</v>
      </c>
      <c r="N666">
        <v>1</v>
      </c>
      <c r="O666">
        <v>10</v>
      </c>
      <c r="P666" t="s">
        <v>31</v>
      </c>
    </row>
    <row r="667" spans="1:16">
      <c r="A667" t="s">
        <v>808</v>
      </c>
      <c r="B667" s="6">
        <v>46069.520833333336</v>
      </c>
      <c r="C667" s="2">
        <v>46069.770403807874</v>
      </c>
      <c r="D667" t="s">
        <v>23</v>
      </c>
      <c r="E667" t="s">
        <v>40</v>
      </c>
      <c r="F667" t="s">
        <v>65</v>
      </c>
      <c r="G667" t="s">
        <v>26</v>
      </c>
      <c r="H667" t="s">
        <v>35</v>
      </c>
      <c r="I667" t="s">
        <v>43</v>
      </c>
      <c r="J667" t="s">
        <v>52</v>
      </c>
      <c r="K667" t="s">
        <v>44</v>
      </c>
      <c r="L667" s="3">
        <v>54</v>
      </c>
      <c r="M667" s="3">
        <v>4</v>
      </c>
      <c r="N667">
        <v>0</v>
      </c>
      <c r="O667">
        <v>7</v>
      </c>
      <c r="P667" t="s">
        <v>31</v>
      </c>
    </row>
    <row r="668" spans="1:16">
      <c r="A668" t="s">
        <v>809</v>
      </c>
      <c r="B668" s="6">
        <v>46094.845833333333</v>
      </c>
      <c r="C668" s="2">
        <v>46095.986333749999</v>
      </c>
      <c r="D668" t="s">
        <v>23</v>
      </c>
      <c r="E668" t="s">
        <v>50</v>
      </c>
      <c r="F668" t="s">
        <v>51</v>
      </c>
      <c r="G668" t="s">
        <v>26</v>
      </c>
      <c r="H668" t="s">
        <v>35</v>
      </c>
      <c r="I668" t="s">
        <v>36</v>
      </c>
      <c r="J668" t="s">
        <v>37</v>
      </c>
      <c r="K668" t="s">
        <v>30</v>
      </c>
      <c r="L668" s="3">
        <v>77</v>
      </c>
      <c r="M668" s="3">
        <v>4</v>
      </c>
      <c r="N668">
        <v>0</v>
      </c>
      <c r="O668">
        <v>3</v>
      </c>
      <c r="P668" t="s">
        <v>31</v>
      </c>
    </row>
    <row r="669" spans="1:16">
      <c r="A669" t="s">
        <v>810</v>
      </c>
      <c r="B669" s="6">
        <v>46067.134722222225</v>
      </c>
      <c r="C669" s="2">
        <v>46067.418345312501</v>
      </c>
      <c r="D669" t="s">
        <v>23</v>
      </c>
      <c r="E669" t="s">
        <v>50</v>
      </c>
      <c r="F669" t="s">
        <v>51</v>
      </c>
      <c r="G669" t="s">
        <v>54</v>
      </c>
      <c r="H669" t="s">
        <v>35</v>
      </c>
      <c r="I669" t="s">
        <v>28</v>
      </c>
      <c r="J669" t="s">
        <v>29</v>
      </c>
      <c r="K669" t="s">
        <v>71</v>
      </c>
      <c r="L669" s="3">
        <v>96</v>
      </c>
      <c r="M669" s="3">
        <v>4</v>
      </c>
      <c r="N669">
        <v>1</v>
      </c>
      <c r="O669">
        <v>4</v>
      </c>
      <c r="P669" t="s">
        <v>31</v>
      </c>
    </row>
    <row r="670" spans="1:16">
      <c r="A670" t="s">
        <v>811</v>
      </c>
      <c r="B670" s="6">
        <v>46105.345138888886</v>
      </c>
      <c r="C670" s="2">
        <v>46106.896307581017</v>
      </c>
      <c r="D670" t="s">
        <v>23</v>
      </c>
      <c r="E670" t="s">
        <v>112</v>
      </c>
      <c r="F670" t="s">
        <v>65</v>
      </c>
      <c r="G670" t="s">
        <v>120</v>
      </c>
      <c r="H670" t="s">
        <v>35</v>
      </c>
      <c r="I670" t="s">
        <v>36</v>
      </c>
      <c r="J670" t="s">
        <v>37</v>
      </c>
      <c r="K670" t="s">
        <v>101</v>
      </c>
      <c r="L670" s="3">
        <v>228</v>
      </c>
      <c r="M670" s="3">
        <v>3</v>
      </c>
      <c r="N670">
        <v>0</v>
      </c>
      <c r="O670">
        <v>4</v>
      </c>
      <c r="P670" t="s">
        <v>31</v>
      </c>
    </row>
    <row r="671" spans="1:16">
      <c r="A671" t="s">
        <v>812</v>
      </c>
      <c r="B671" s="6">
        <v>46135.55</v>
      </c>
      <c r="C671" s="2">
        <v>46135.77680590278</v>
      </c>
      <c r="D671" t="s">
        <v>23</v>
      </c>
      <c r="E671" t="s">
        <v>24</v>
      </c>
      <c r="F671" t="s">
        <v>65</v>
      </c>
      <c r="G671" t="s">
        <v>259</v>
      </c>
      <c r="H671" t="s">
        <v>27</v>
      </c>
      <c r="I671" t="s">
        <v>48</v>
      </c>
      <c r="J671" t="s">
        <v>52</v>
      </c>
      <c r="K671" t="s">
        <v>55</v>
      </c>
      <c r="L671" s="3">
        <v>12</v>
      </c>
      <c r="M671" s="3">
        <v>4</v>
      </c>
      <c r="N671">
        <v>0</v>
      </c>
      <c r="O671">
        <v>5</v>
      </c>
      <c r="P671" t="s">
        <v>31</v>
      </c>
    </row>
    <row r="672" spans="1:16">
      <c r="A672" t="s">
        <v>813</v>
      </c>
      <c r="B672" s="6">
        <v>46048.295138888891</v>
      </c>
      <c r="C672" s="2"/>
      <c r="D672" t="s">
        <v>74</v>
      </c>
      <c r="E672" t="s">
        <v>33</v>
      </c>
      <c r="F672" t="s">
        <v>51</v>
      </c>
      <c r="G672" t="s">
        <v>75</v>
      </c>
      <c r="H672" t="s">
        <v>42</v>
      </c>
      <c r="I672" t="s">
        <v>43</v>
      </c>
      <c r="J672" t="s">
        <v>760</v>
      </c>
      <c r="K672" t="s">
        <v>93</v>
      </c>
      <c r="L672" s="3">
        <v>373</v>
      </c>
      <c r="M672" s="3"/>
      <c r="N672">
        <v>0</v>
      </c>
      <c r="O672">
        <v>5</v>
      </c>
      <c r="P672" t="s">
        <v>31</v>
      </c>
    </row>
    <row r="673" spans="1:16">
      <c r="A673" t="s">
        <v>814</v>
      </c>
      <c r="B673" s="6">
        <v>46039.699305555558</v>
      </c>
      <c r="C673" s="2">
        <v>46041.261396261572</v>
      </c>
      <c r="D673" t="s">
        <v>23</v>
      </c>
      <c r="E673" t="s">
        <v>50</v>
      </c>
      <c r="F673" t="s">
        <v>25</v>
      </c>
      <c r="G673" t="s">
        <v>26</v>
      </c>
      <c r="H673" t="s">
        <v>42</v>
      </c>
      <c r="I673" t="s">
        <v>43</v>
      </c>
      <c r="J673" t="s">
        <v>37</v>
      </c>
      <c r="K673" t="s">
        <v>71</v>
      </c>
      <c r="L673" s="3">
        <v>58</v>
      </c>
      <c r="M673" s="3">
        <v>4</v>
      </c>
      <c r="N673">
        <v>0</v>
      </c>
      <c r="O673">
        <v>3</v>
      </c>
      <c r="P673" t="s">
        <v>31</v>
      </c>
    </row>
    <row r="674" spans="1:16">
      <c r="A674" t="s">
        <v>815</v>
      </c>
      <c r="B674" s="6">
        <v>46217.115277777775</v>
      </c>
      <c r="C674" s="2">
        <v>46217.191260729167</v>
      </c>
      <c r="D674" t="s">
        <v>23</v>
      </c>
      <c r="E674" t="s">
        <v>24</v>
      </c>
      <c r="F674" t="s">
        <v>25</v>
      </c>
      <c r="G674" t="s">
        <v>26</v>
      </c>
      <c r="H674" t="s">
        <v>35</v>
      </c>
      <c r="I674" t="s">
        <v>36</v>
      </c>
      <c r="J674" t="s">
        <v>29</v>
      </c>
      <c r="K674" t="s">
        <v>55</v>
      </c>
      <c r="L674" s="3">
        <v>18</v>
      </c>
      <c r="M674" s="3">
        <v>5</v>
      </c>
      <c r="N674">
        <v>0</v>
      </c>
      <c r="O674">
        <v>7</v>
      </c>
      <c r="P674" t="s">
        <v>31</v>
      </c>
    </row>
    <row r="675" spans="1:16">
      <c r="A675" t="s">
        <v>816</v>
      </c>
      <c r="B675" s="6">
        <v>46088.587500000001</v>
      </c>
      <c r="C675" s="2">
        <v>46089.324438750002</v>
      </c>
      <c r="D675" t="s">
        <v>23</v>
      </c>
      <c r="E675" t="s">
        <v>40</v>
      </c>
      <c r="F675" t="s">
        <v>65</v>
      </c>
      <c r="G675" t="s">
        <v>75</v>
      </c>
      <c r="H675" t="s">
        <v>35</v>
      </c>
      <c r="I675" t="s">
        <v>28</v>
      </c>
      <c r="J675" t="s">
        <v>67</v>
      </c>
      <c r="K675" t="s">
        <v>62</v>
      </c>
      <c r="L675" s="3">
        <v>16</v>
      </c>
      <c r="M675" s="3">
        <v>4</v>
      </c>
      <c r="N675">
        <v>0</v>
      </c>
      <c r="O675">
        <v>6</v>
      </c>
      <c r="P675" t="s">
        <v>63</v>
      </c>
    </row>
    <row r="676" spans="1:16">
      <c r="A676" t="s">
        <v>817</v>
      </c>
      <c r="B676" s="6">
        <v>46133.406944444447</v>
      </c>
      <c r="C676" s="2">
        <v>46136.269995833332</v>
      </c>
      <c r="D676" t="s">
        <v>23</v>
      </c>
      <c r="E676" t="s">
        <v>33</v>
      </c>
      <c r="F676" t="s">
        <v>25</v>
      </c>
      <c r="G676" t="s">
        <v>26</v>
      </c>
      <c r="H676" t="s">
        <v>42</v>
      </c>
      <c r="I676" t="s">
        <v>48</v>
      </c>
      <c r="J676" t="s">
        <v>76</v>
      </c>
      <c r="K676" t="s">
        <v>68</v>
      </c>
      <c r="L676" s="3">
        <v>132</v>
      </c>
      <c r="M676" s="3">
        <v>3</v>
      </c>
      <c r="N676">
        <v>0</v>
      </c>
      <c r="O676">
        <v>5</v>
      </c>
      <c r="P676" t="s">
        <v>31</v>
      </c>
    </row>
    <row r="677" spans="1:16">
      <c r="A677" t="s">
        <v>818</v>
      </c>
      <c r="B677" s="6">
        <v>46198.593055555553</v>
      </c>
      <c r="C677" s="2">
        <v>46202.625161805554</v>
      </c>
      <c r="D677" t="s">
        <v>23</v>
      </c>
      <c r="E677" t="s">
        <v>50</v>
      </c>
      <c r="F677" t="s">
        <v>51</v>
      </c>
      <c r="G677" t="s">
        <v>26</v>
      </c>
      <c r="H677" t="s">
        <v>42</v>
      </c>
      <c r="I677" t="s">
        <v>36</v>
      </c>
      <c r="J677" t="s">
        <v>76</v>
      </c>
      <c r="K677" t="s">
        <v>44</v>
      </c>
      <c r="L677" s="3">
        <v>134</v>
      </c>
      <c r="M677" s="3">
        <v>4</v>
      </c>
      <c r="N677">
        <v>0</v>
      </c>
      <c r="O677">
        <v>7</v>
      </c>
      <c r="P677" t="s">
        <v>31</v>
      </c>
    </row>
    <row r="678" spans="1:16">
      <c r="A678" t="s">
        <v>819</v>
      </c>
      <c r="B678" s="6" t="s">
        <v>820</v>
      </c>
      <c r="C678" s="2">
        <v>46092.579613969909</v>
      </c>
      <c r="D678" t="s">
        <v>23</v>
      </c>
      <c r="E678" t="s">
        <v>50</v>
      </c>
      <c r="F678" t="s">
        <v>51</v>
      </c>
      <c r="G678" t="s">
        <v>34</v>
      </c>
      <c r="H678" t="s">
        <v>42</v>
      </c>
      <c r="I678" t="s">
        <v>48</v>
      </c>
      <c r="J678" t="s">
        <v>37</v>
      </c>
      <c r="K678" t="s">
        <v>85</v>
      </c>
      <c r="L678" s="3">
        <v>36</v>
      </c>
      <c r="M678" s="3">
        <v>4</v>
      </c>
      <c r="N678">
        <v>0</v>
      </c>
      <c r="O678">
        <v>5</v>
      </c>
      <c r="P678" t="s">
        <v>31</v>
      </c>
    </row>
    <row r="679" spans="1:16">
      <c r="A679" t="s">
        <v>821</v>
      </c>
      <c r="B679" s="6">
        <v>46148.804861111108</v>
      </c>
      <c r="C679" s="2">
        <v>46149.301736388887</v>
      </c>
      <c r="D679" t="s">
        <v>23</v>
      </c>
      <c r="E679" t="s">
        <v>33</v>
      </c>
      <c r="F679" t="s">
        <v>51</v>
      </c>
      <c r="G679" t="s">
        <v>54</v>
      </c>
      <c r="H679" t="s">
        <v>42</v>
      </c>
      <c r="I679" t="s">
        <v>48</v>
      </c>
      <c r="J679" t="s">
        <v>58</v>
      </c>
      <c r="K679" t="s">
        <v>101</v>
      </c>
      <c r="L679" s="3">
        <v>316</v>
      </c>
      <c r="M679" s="3">
        <v>4</v>
      </c>
      <c r="N679">
        <v>0</v>
      </c>
      <c r="O679">
        <v>6</v>
      </c>
      <c r="P679" t="s">
        <v>31</v>
      </c>
    </row>
    <row r="680" spans="1:16">
      <c r="A680" t="s">
        <v>822</v>
      </c>
      <c r="B680" s="6">
        <v>46117.35833333333</v>
      </c>
      <c r="C680" s="2">
        <v>46117.836799166667</v>
      </c>
      <c r="D680" t="s">
        <v>23</v>
      </c>
      <c r="E680" t="s">
        <v>50</v>
      </c>
      <c r="F680" t="s">
        <v>51</v>
      </c>
      <c r="G680" t="s">
        <v>26</v>
      </c>
      <c r="H680" t="s">
        <v>35</v>
      </c>
      <c r="I680" t="s">
        <v>36</v>
      </c>
      <c r="J680" t="s">
        <v>29</v>
      </c>
      <c r="K680" t="s">
        <v>55</v>
      </c>
      <c r="L680" s="3">
        <v>112</v>
      </c>
      <c r="M680" s="3">
        <v>4</v>
      </c>
      <c r="N680">
        <v>1</v>
      </c>
      <c r="O680">
        <v>7</v>
      </c>
      <c r="P680" t="s">
        <v>31</v>
      </c>
    </row>
    <row r="681" spans="1:16">
      <c r="A681" t="s">
        <v>823</v>
      </c>
      <c r="B681" s="6">
        <v>46198.072222222225</v>
      </c>
      <c r="C681" s="2">
        <v>46198.735539120367</v>
      </c>
      <c r="D681" t="s">
        <v>23</v>
      </c>
      <c r="E681" t="s">
        <v>33</v>
      </c>
      <c r="F681" t="s">
        <v>65</v>
      </c>
      <c r="G681" t="s">
        <v>54</v>
      </c>
      <c r="H681" t="s">
        <v>42</v>
      </c>
      <c r="I681" t="s">
        <v>48</v>
      </c>
      <c r="J681" t="s">
        <v>52</v>
      </c>
      <c r="K681" t="s">
        <v>44</v>
      </c>
      <c r="L681" s="3">
        <v>252</v>
      </c>
      <c r="M681" s="3">
        <v>4</v>
      </c>
      <c r="N681">
        <v>0</v>
      </c>
      <c r="O681">
        <v>3</v>
      </c>
      <c r="P681" t="s">
        <v>31</v>
      </c>
    </row>
    <row r="682" spans="1:16">
      <c r="A682" t="s">
        <v>824</v>
      </c>
      <c r="B682" s="6">
        <v>46145.878472222219</v>
      </c>
      <c r="C682" s="2">
        <v>46146.426787071759</v>
      </c>
      <c r="D682" t="s">
        <v>23</v>
      </c>
      <c r="E682" t="s">
        <v>40</v>
      </c>
      <c r="F682" t="s">
        <v>51</v>
      </c>
      <c r="G682" t="s">
        <v>75</v>
      </c>
      <c r="H682" t="s">
        <v>35</v>
      </c>
      <c r="I682" t="s">
        <v>48</v>
      </c>
      <c r="J682" t="s">
        <v>58</v>
      </c>
      <c r="K682" t="s">
        <v>38</v>
      </c>
      <c r="L682" s="3">
        <v>38</v>
      </c>
      <c r="M682" s="3">
        <v>5</v>
      </c>
      <c r="N682">
        <v>0</v>
      </c>
      <c r="O682">
        <v>3</v>
      </c>
      <c r="P682" t="s">
        <v>31</v>
      </c>
    </row>
    <row r="683" spans="1:16">
      <c r="A683" t="s">
        <v>825</v>
      </c>
      <c r="B683" s="6">
        <v>46072.10833333333</v>
      </c>
      <c r="C683" s="2">
        <v>46072.980160069441</v>
      </c>
      <c r="D683" t="s">
        <v>23</v>
      </c>
      <c r="E683" t="s">
        <v>33</v>
      </c>
      <c r="F683" t="s">
        <v>25</v>
      </c>
      <c r="G683" t="s">
        <v>26</v>
      </c>
      <c r="H683" t="s">
        <v>27</v>
      </c>
      <c r="I683" t="s">
        <v>43</v>
      </c>
      <c r="J683" t="s">
        <v>52</v>
      </c>
      <c r="K683" t="s">
        <v>85</v>
      </c>
      <c r="L683" s="3">
        <v>194</v>
      </c>
      <c r="M683" s="3">
        <v>4</v>
      </c>
      <c r="N683">
        <v>0</v>
      </c>
      <c r="O683">
        <v>7</v>
      </c>
      <c r="P683" t="s">
        <v>31</v>
      </c>
    </row>
    <row r="684" spans="1:16">
      <c r="A684" t="s">
        <v>826</v>
      </c>
      <c r="B684" s="6">
        <v>46225.654166666667</v>
      </c>
      <c r="C684" s="2">
        <v>46227.08897798611</v>
      </c>
      <c r="D684" t="s">
        <v>23</v>
      </c>
      <c r="E684" t="s">
        <v>33</v>
      </c>
      <c r="F684" t="s">
        <v>25</v>
      </c>
      <c r="G684" t="s">
        <v>66</v>
      </c>
      <c r="H684" t="s">
        <v>35</v>
      </c>
      <c r="I684" t="s">
        <v>43</v>
      </c>
      <c r="J684" t="s">
        <v>52</v>
      </c>
      <c r="K684" t="s">
        <v>30</v>
      </c>
      <c r="L684" s="3">
        <v>99</v>
      </c>
      <c r="M684" s="3">
        <v>4</v>
      </c>
      <c r="N684">
        <v>0</v>
      </c>
      <c r="O684">
        <v>7</v>
      </c>
      <c r="P684" t="s">
        <v>31</v>
      </c>
    </row>
    <row r="685" spans="1:16">
      <c r="A685" t="s">
        <v>827</v>
      </c>
      <c r="B685" s="6">
        <v>46031.379861111112</v>
      </c>
      <c r="C685" s="2">
        <v>46031.581861840277</v>
      </c>
      <c r="D685" t="s">
        <v>23</v>
      </c>
      <c r="E685" t="s">
        <v>50</v>
      </c>
      <c r="F685" t="s">
        <v>65</v>
      </c>
      <c r="G685" t="s">
        <v>66</v>
      </c>
      <c r="H685" t="s">
        <v>35</v>
      </c>
      <c r="I685" t="s">
        <v>28</v>
      </c>
      <c r="J685" t="s">
        <v>29</v>
      </c>
      <c r="K685" t="s">
        <v>44</v>
      </c>
      <c r="L685" s="3">
        <v>35</v>
      </c>
      <c r="M685" s="3">
        <v>5</v>
      </c>
      <c r="N685">
        <v>0</v>
      </c>
      <c r="O685">
        <v>3</v>
      </c>
      <c r="P685" t="s">
        <v>31</v>
      </c>
    </row>
    <row r="686" spans="1:16">
      <c r="A686" t="s">
        <v>828</v>
      </c>
      <c r="B686" s="6">
        <v>46041.754166666666</v>
      </c>
      <c r="C686" s="2"/>
      <c r="D686" t="s">
        <v>57</v>
      </c>
      <c r="E686" t="s">
        <v>50</v>
      </c>
      <c r="F686" t="s">
        <v>51</v>
      </c>
      <c r="G686" t="s">
        <v>26</v>
      </c>
      <c r="H686" t="s">
        <v>35</v>
      </c>
      <c r="I686" t="s">
        <v>48</v>
      </c>
      <c r="J686" t="s">
        <v>67</v>
      </c>
      <c r="K686" t="s">
        <v>55</v>
      </c>
      <c r="L686" s="3">
        <v>157</v>
      </c>
      <c r="M686" s="3"/>
      <c r="N686">
        <v>0</v>
      </c>
      <c r="O686">
        <v>4</v>
      </c>
      <c r="P686" t="s">
        <v>31</v>
      </c>
    </row>
    <row r="687" spans="1:16">
      <c r="A687" t="s">
        <v>829</v>
      </c>
      <c r="B687" s="6">
        <v>46096.459027777775</v>
      </c>
      <c r="C687" s="2">
        <v>46096.660782916668</v>
      </c>
      <c r="D687" t="s">
        <v>23</v>
      </c>
      <c r="E687" t="s">
        <v>40</v>
      </c>
      <c r="F687" t="s">
        <v>65</v>
      </c>
      <c r="G687" t="s">
        <v>54</v>
      </c>
      <c r="H687" t="s">
        <v>35</v>
      </c>
      <c r="I687" t="s">
        <v>36</v>
      </c>
      <c r="J687" t="s">
        <v>29</v>
      </c>
      <c r="K687" t="s">
        <v>30</v>
      </c>
      <c r="L687" s="3">
        <v>85</v>
      </c>
      <c r="M687" s="3">
        <v>5</v>
      </c>
      <c r="N687">
        <v>0</v>
      </c>
      <c r="O687">
        <v>5</v>
      </c>
      <c r="P687" t="s">
        <v>31</v>
      </c>
    </row>
    <row r="688" spans="1:16">
      <c r="A688" t="s">
        <v>830</v>
      </c>
      <c r="B688" s="6">
        <v>46090.054166666669</v>
      </c>
      <c r="C688" s="2"/>
      <c r="D688" t="s">
        <v>74</v>
      </c>
      <c r="E688" t="s">
        <v>50</v>
      </c>
      <c r="F688" t="s">
        <v>65</v>
      </c>
      <c r="G688" t="s">
        <v>26</v>
      </c>
      <c r="H688" t="s">
        <v>35</v>
      </c>
      <c r="I688" t="s">
        <v>43</v>
      </c>
      <c r="J688" t="s">
        <v>76</v>
      </c>
      <c r="K688" t="s">
        <v>62</v>
      </c>
      <c r="L688" s="3">
        <v>152</v>
      </c>
      <c r="M688" s="3"/>
      <c r="N688">
        <v>0</v>
      </c>
      <c r="O688">
        <v>3</v>
      </c>
      <c r="P688" t="s">
        <v>31</v>
      </c>
    </row>
    <row r="689" spans="1:16">
      <c r="A689" t="s">
        <v>831</v>
      </c>
      <c r="B689" s="6">
        <v>46206.440972222219</v>
      </c>
      <c r="C689" s="2">
        <v>46207.242943043981</v>
      </c>
      <c r="D689" t="s">
        <v>23</v>
      </c>
      <c r="E689" t="s">
        <v>50</v>
      </c>
      <c r="F689" t="s">
        <v>51</v>
      </c>
      <c r="G689" t="s">
        <v>66</v>
      </c>
      <c r="H689" t="s">
        <v>35</v>
      </c>
      <c r="I689" t="s">
        <v>43</v>
      </c>
      <c r="J689" t="s">
        <v>52</v>
      </c>
      <c r="K689" t="s">
        <v>38</v>
      </c>
      <c r="L689" s="3">
        <v>256</v>
      </c>
      <c r="M689" s="3">
        <v>4</v>
      </c>
      <c r="N689">
        <v>0</v>
      </c>
      <c r="O689">
        <v>7</v>
      </c>
      <c r="P689" t="s">
        <v>31</v>
      </c>
    </row>
    <row r="690" spans="1:16">
      <c r="A690" t="s">
        <v>832</v>
      </c>
      <c r="B690" s="6">
        <v>46159.870833333334</v>
      </c>
      <c r="C690" s="2">
        <v>46160.349510810185</v>
      </c>
      <c r="D690" t="s">
        <v>23</v>
      </c>
      <c r="E690" t="s">
        <v>50</v>
      </c>
      <c r="F690" t="s">
        <v>51</v>
      </c>
      <c r="G690" t="s">
        <v>75</v>
      </c>
      <c r="H690" t="s">
        <v>35</v>
      </c>
      <c r="I690" t="s">
        <v>43</v>
      </c>
      <c r="J690" t="s">
        <v>52</v>
      </c>
      <c r="K690" t="s">
        <v>62</v>
      </c>
      <c r="L690" s="3">
        <v>77</v>
      </c>
      <c r="M690" s="3"/>
      <c r="N690">
        <v>1</v>
      </c>
      <c r="O690">
        <v>7</v>
      </c>
      <c r="P690" t="s">
        <v>31</v>
      </c>
    </row>
    <row r="691" spans="1:16">
      <c r="A691" t="s">
        <v>833</v>
      </c>
      <c r="B691" s="6">
        <v>46149.696527777778</v>
      </c>
      <c r="C691" s="2">
        <v>46149.88222702546</v>
      </c>
      <c r="D691" t="s">
        <v>23</v>
      </c>
      <c r="E691" t="s">
        <v>24</v>
      </c>
      <c r="F691" t="s">
        <v>25</v>
      </c>
      <c r="G691" t="s">
        <v>54</v>
      </c>
      <c r="H691" t="s">
        <v>42</v>
      </c>
      <c r="I691" t="s">
        <v>28</v>
      </c>
      <c r="J691" t="s">
        <v>29</v>
      </c>
      <c r="K691" t="s">
        <v>30</v>
      </c>
      <c r="L691" s="3">
        <v>27</v>
      </c>
      <c r="M691" s="3">
        <v>5</v>
      </c>
      <c r="N691">
        <v>0</v>
      </c>
      <c r="O691">
        <v>3</v>
      </c>
      <c r="P691" t="s">
        <v>31</v>
      </c>
    </row>
    <row r="692" spans="1:16">
      <c r="A692" t="s">
        <v>834</v>
      </c>
      <c r="B692" s="6">
        <v>46041.79791666667</v>
      </c>
      <c r="C692" s="2">
        <v>46042.986725590279</v>
      </c>
      <c r="D692" t="s">
        <v>23</v>
      </c>
      <c r="E692" t="s">
        <v>50</v>
      </c>
      <c r="F692" t="s">
        <v>41</v>
      </c>
      <c r="G692" t="s">
        <v>66</v>
      </c>
      <c r="H692" t="s">
        <v>35</v>
      </c>
      <c r="I692" t="s">
        <v>36</v>
      </c>
      <c r="J692" t="s">
        <v>76</v>
      </c>
      <c r="K692" t="s">
        <v>68</v>
      </c>
      <c r="L692" s="3" t="s">
        <v>835</v>
      </c>
      <c r="M692" s="3">
        <v>4</v>
      </c>
      <c r="N692">
        <v>0</v>
      </c>
      <c r="O692">
        <v>4</v>
      </c>
      <c r="P692" t="s">
        <v>31</v>
      </c>
    </row>
    <row r="693" spans="1:16">
      <c r="A693" t="s">
        <v>836</v>
      </c>
      <c r="B693" s="6">
        <v>46132.234027777777</v>
      </c>
      <c r="C693" s="2">
        <v>46133.485685266205</v>
      </c>
      <c r="D693" t="s">
        <v>23</v>
      </c>
      <c r="E693" t="s">
        <v>50</v>
      </c>
      <c r="F693" t="s">
        <v>51</v>
      </c>
      <c r="G693" t="s">
        <v>26</v>
      </c>
      <c r="H693" t="s">
        <v>27</v>
      </c>
      <c r="I693" t="s">
        <v>43</v>
      </c>
      <c r="J693" t="s">
        <v>58</v>
      </c>
      <c r="K693" t="s">
        <v>44</v>
      </c>
      <c r="L693" s="3">
        <v>79</v>
      </c>
      <c r="M693" s="3">
        <v>4</v>
      </c>
      <c r="N693">
        <v>0</v>
      </c>
      <c r="O693">
        <v>6</v>
      </c>
      <c r="P693" t="s">
        <v>31</v>
      </c>
    </row>
    <row r="694" spans="1:16">
      <c r="A694" t="s">
        <v>837</v>
      </c>
      <c r="B694" s="6">
        <v>46165.581250000003</v>
      </c>
      <c r="C694" s="2">
        <v>46167.241680150466</v>
      </c>
      <c r="D694" t="s">
        <v>23</v>
      </c>
      <c r="E694" t="s">
        <v>33</v>
      </c>
      <c r="F694" t="s">
        <v>25</v>
      </c>
      <c r="G694" t="s">
        <v>75</v>
      </c>
      <c r="H694" t="s">
        <v>42</v>
      </c>
      <c r="I694" t="s">
        <v>48</v>
      </c>
      <c r="J694" t="s">
        <v>58</v>
      </c>
      <c r="K694" t="s">
        <v>38</v>
      </c>
      <c r="L694" s="3">
        <v>104</v>
      </c>
      <c r="M694" s="3">
        <v>4</v>
      </c>
      <c r="N694">
        <v>0</v>
      </c>
      <c r="O694">
        <v>7</v>
      </c>
      <c r="P694" t="s">
        <v>31</v>
      </c>
    </row>
    <row r="695" spans="1:16">
      <c r="A695" t="s">
        <v>838</v>
      </c>
      <c r="B695" s="6">
        <v>46080.726388888892</v>
      </c>
      <c r="C695" s="2">
        <v>46084.185045648148</v>
      </c>
      <c r="D695" t="s">
        <v>23</v>
      </c>
      <c r="E695" t="s">
        <v>50</v>
      </c>
      <c r="F695" t="s">
        <v>51</v>
      </c>
      <c r="G695" t="s">
        <v>26</v>
      </c>
      <c r="H695" t="s">
        <v>35</v>
      </c>
      <c r="I695" t="s">
        <v>28</v>
      </c>
      <c r="J695" t="s">
        <v>58</v>
      </c>
      <c r="K695" t="s">
        <v>44</v>
      </c>
      <c r="L695" s="3">
        <v>87</v>
      </c>
      <c r="M695" s="3">
        <v>4</v>
      </c>
      <c r="N695">
        <v>0</v>
      </c>
      <c r="O695">
        <v>7</v>
      </c>
      <c r="P695" t="s">
        <v>31</v>
      </c>
    </row>
    <row r="696" spans="1:16">
      <c r="A696" t="s">
        <v>839</v>
      </c>
      <c r="B696" s="6">
        <v>46250.473611111112</v>
      </c>
      <c r="C696" s="2">
        <v>46251.282813298611</v>
      </c>
      <c r="D696" t="s">
        <v>23</v>
      </c>
      <c r="E696" t="s">
        <v>50</v>
      </c>
      <c r="F696" t="s">
        <v>65</v>
      </c>
      <c r="G696" t="s">
        <v>54</v>
      </c>
      <c r="H696" t="s">
        <v>35</v>
      </c>
      <c r="I696" t="s">
        <v>43</v>
      </c>
      <c r="J696" t="s">
        <v>52</v>
      </c>
      <c r="K696" t="s">
        <v>85</v>
      </c>
      <c r="L696" s="3">
        <v>70</v>
      </c>
      <c r="M696" s="3">
        <v>4</v>
      </c>
      <c r="N696">
        <v>0</v>
      </c>
      <c r="O696">
        <v>3</v>
      </c>
      <c r="P696" t="s">
        <v>31</v>
      </c>
    </row>
    <row r="697" spans="1:16">
      <c r="A697" t="s">
        <v>840</v>
      </c>
      <c r="B697" s="6">
        <v>46050.120138888888</v>
      </c>
      <c r="C697" s="2">
        <v>46054.063283252312</v>
      </c>
      <c r="D697" t="s">
        <v>23</v>
      </c>
      <c r="E697" t="s">
        <v>50</v>
      </c>
      <c r="F697" t="s">
        <v>51</v>
      </c>
      <c r="G697" t="s">
        <v>26</v>
      </c>
      <c r="H697" t="s">
        <v>42</v>
      </c>
      <c r="I697" t="s">
        <v>28</v>
      </c>
      <c r="J697" t="s">
        <v>76</v>
      </c>
      <c r="K697" t="s">
        <v>38</v>
      </c>
      <c r="L697" s="3">
        <v>63</v>
      </c>
      <c r="M697" s="3">
        <v>4</v>
      </c>
      <c r="N697">
        <v>0</v>
      </c>
      <c r="O697">
        <v>4</v>
      </c>
      <c r="P697" t="s">
        <v>31</v>
      </c>
    </row>
    <row r="698" spans="1:16">
      <c r="A698" t="s">
        <v>841</v>
      </c>
      <c r="B698" s="6">
        <v>46112.324999999997</v>
      </c>
      <c r="C698" s="2" t="s">
        <v>842</v>
      </c>
      <c r="D698" t="s">
        <v>23</v>
      </c>
      <c r="E698" t="s">
        <v>33</v>
      </c>
      <c r="F698" t="s">
        <v>41</v>
      </c>
      <c r="G698" t="s">
        <v>75</v>
      </c>
      <c r="H698" t="s">
        <v>35</v>
      </c>
      <c r="I698" t="s">
        <v>48</v>
      </c>
      <c r="J698" t="s">
        <v>29</v>
      </c>
      <c r="K698" t="s">
        <v>38</v>
      </c>
      <c r="L698" s="3">
        <v>1016</v>
      </c>
      <c r="M698" s="3">
        <v>4</v>
      </c>
      <c r="N698">
        <v>0</v>
      </c>
      <c r="O698">
        <v>2</v>
      </c>
      <c r="P698" t="s">
        <v>31</v>
      </c>
    </row>
    <row r="699" spans="1:16">
      <c r="A699" t="s">
        <v>843</v>
      </c>
      <c r="B699" s="6">
        <v>46129.000694444447</v>
      </c>
      <c r="C699" s="2">
        <v>46129.447212175925</v>
      </c>
      <c r="D699" t="s">
        <v>23</v>
      </c>
      <c r="E699" t="s">
        <v>40</v>
      </c>
      <c r="F699" t="s">
        <v>65</v>
      </c>
      <c r="G699" t="s">
        <v>26</v>
      </c>
      <c r="H699" t="s">
        <v>42</v>
      </c>
      <c r="I699" t="s">
        <v>36</v>
      </c>
      <c r="J699" t="s">
        <v>52</v>
      </c>
      <c r="K699" t="s">
        <v>85</v>
      </c>
      <c r="L699" s="3">
        <v>42</v>
      </c>
      <c r="M699" s="3">
        <v>4</v>
      </c>
      <c r="N699">
        <v>0</v>
      </c>
      <c r="O699">
        <v>3</v>
      </c>
      <c r="P699" t="s">
        <v>31</v>
      </c>
    </row>
    <row r="700" spans="1:16">
      <c r="A700" t="s">
        <v>844</v>
      </c>
      <c r="B700" s="6">
        <v>46165.7</v>
      </c>
      <c r="C700" s="2">
        <v>46166.1440358912</v>
      </c>
      <c r="D700" t="s">
        <v>23</v>
      </c>
      <c r="E700" t="s">
        <v>50</v>
      </c>
      <c r="F700" t="s">
        <v>51</v>
      </c>
      <c r="G700" t="s">
        <v>26</v>
      </c>
      <c r="H700" t="s">
        <v>27</v>
      </c>
      <c r="I700" t="s">
        <v>28</v>
      </c>
      <c r="J700" t="s">
        <v>52</v>
      </c>
      <c r="K700" t="s">
        <v>55</v>
      </c>
      <c r="L700" s="3">
        <v>92</v>
      </c>
      <c r="M700" s="3">
        <v>4</v>
      </c>
      <c r="N700">
        <v>0</v>
      </c>
      <c r="O700">
        <v>3</v>
      </c>
      <c r="P700" t="s">
        <v>31</v>
      </c>
    </row>
    <row r="701" spans="1:16">
      <c r="A701" t="s">
        <v>800</v>
      </c>
      <c r="B701" s="6">
        <v>46091.902777777781</v>
      </c>
      <c r="C701" s="2">
        <v>46092.303853865742</v>
      </c>
      <c r="D701" t="s">
        <v>23</v>
      </c>
      <c r="E701" t="s">
        <v>33</v>
      </c>
      <c r="F701" t="s">
        <v>25</v>
      </c>
      <c r="G701" t="s">
        <v>66</v>
      </c>
      <c r="H701" t="s">
        <v>42</v>
      </c>
      <c r="I701" t="s">
        <v>43</v>
      </c>
      <c r="J701" t="s">
        <v>29</v>
      </c>
      <c r="K701" t="s">
        <v>44</v>
      </c>
      <c r="L701" s="3">
        <v>55</v>
      </c>
      <c r="M701" s="3">
        <v>4</v>
      </c>
      <c r="N701">
        <v>0</v>
      </c>
      <c r="O701">
        <v>4</v>
      </c>
      <c r="P701" t="s">
        <v>31</v>
      </c>
    </row>
    <row r="702" spans="1:16">
      <c r="A702" t="s">
        <v>845</v>
      </c>
      <c r="B702" s="6" t="s">
        <v>846</v>
      </c>
      <c r="C702" s="2">
        <v>46136.790111226852</v>
      </c>
      <c r="D702" t="s">
        <v>23</v>
      </c>
      <c r="E702" t="s">
        <v>50</v>
      </c>
      <c r="F702" t="s">
        <v>25</v>
      </c>
      <c r="G702" t="s">
        <v>26</v>
      </c>
      <c r="H702" t="s">
        <v>42</v>
      </c>
      <c r="I702" t="s">
        <v>43</v>
      </c>
      <c r="J702" t="s">
        <v>67</v>
      </c>
      <c r="K702" t="s">
        <v>68</v>
      </c>
      <c r="L702" s="3">
        <v>56</v>
      </c>
      <c r="M702" s="3">
        <v>4</v>
      </c>
      <c r="N702">
        <v>0</v>
      </c>
      <c r="O702">
        <v>2</v>
      </c>
      <c r="P702" t="s">
        <v>31</v>
      </c>
    </row>
    <row r="703" spans="1:16">
      <c r="A703" t="s">
        <v>847</v>
      </c>
      <c r="B703" s="6">
        <v>46049.237500000003</v>
      </c>
      <c r="C703" s="2">
        <v>46051.827328009262</v>
      </c>
      <c r="D703" t="s">
        <v>23</v>
      </c>
      <c r="E703" t="s">
        <v>33</v>
      </c>
      <c r="F703" t="s">
        <v>41</v>
      </c>
      <c r="G703" t="s">
        <v>26</v>
      </c>
      <c r="H703" t="s">
        <v>42</v>
      </c>
      <c r="I703" t="s">
        <v>36</v>
      </c>
      <c r="J703" t="s">
        <v>67</v>
      </c>
      <c r="K703" t="s">
        <v>30</v>
      </c>
      <c r="L703" s="3">
        <v>104</v>
      </c>
      <c r="M703" s="3">
        <v>3</v>
      </c>
      <c r="N703">
        <v>0</v>
      </c>
      <c r="O703">
        <v>7</v>
      </c>
      <c r="P703" t="s">
        <v>31</v>
      </c>
    </row>
    <row r="704" spans="1:16">
      <c r="A704" t="s">
        <v>848</v>
      </c>
      <c r="B704" s="6">
        <v>46085.551388888889</v>
      </c>
      <c r="C704" s="2">
        <v>46086.337719212963</v>
      </c>
      <c r="D704" t="s">
        <v>23</v>
      </c>
      <c r="E704" t="s">
        <v>50</v>
      </c>
      <c r="F704" t="s">
        <v>41</v>
      </c>
      <c r="G704" t="s">
        <v>75</v>
      </c>
      <c r="H704" t="s">
        <v>27</v>
      </c>
      <c r="I704" t="s">
        <v>48</v>
      </c>
      <c r="J704" t="s">
        <v>29</v>
      </c>
      <c r="K704" t="s">
        <v>71</v>
      </c>
      <c r="L704" s="3">
        <v>103</v>
      </c>
      <c r="M704" s="3">
        <v>4</v>
      </c>
      <c r="N704">
        <v>0</v>
      </c>
      <c r="O704">
        <v>5</v>
      </c>
      <c r="P704" t="s">
        <v>31</v>
      </c>
    </row>
    <row r="705" spans="1:16">
      <c r="A705" t="s">
        <v>849</v>
      </c>
      <c r="B705" s="6">
        <v>46065.676388888889</v>
      </c>
      <c r="C705" s="2">
        <v>46066.100559282408</v>
      </c>
      <c r="D705" t="s">
        <v>23</v>
      </c>
      <c r="E705" t="s">
        <v>50</v>
      </c>
      <c r="F705" t="s">
        <v>332</v>
      </c>
      <c r="G705" t="s">
        <v>26</v>
      </c>
      <c r="H705" t="s">
        <v>35</v>
      </c>
      <c r="I705" t="s">
        <v>36</v>
      </c>
      <c r="J705" t="s">
        <v>37</v>
      </c>
      <c r="K705" t="s">
        <v>93</v>
      </c>
      <c r="L705" s="3">
        <v>52</v>
      </c>
      <c r="M705" s="3">
        <v>5</v>
      </c>
      <c r="N705">
        <v>0</v>
      </c>
      <c r="O705">
        <v>5</v>
      </c>
      <c r="P705" t="s">
        <v>31</v>
      </c>
    </row>
    <row r="706" spans="1:16">
      <c r="A706" t="s">
        <v>850</v>
      </c>
      <c r="B706" s="6">
        <v>46167.42083333333</v>
      </c>
      <c r="C706" s="2">
        <v>46170.124849918982</v>
      </c>
      <c r="D706" t="s">
        <v>23</v>
      </c>
      <c r="E706" t="s">
        <v>50</v>
      </c>
      <c r="F706" t="s">
        <v>51</v>
      </c>
      <c r="G706" t="s">
        <v>34</v>
      </c>
      <c r="H706" t="s">
        <v>27</v>
      </c>
      <c r="I706" t="s">
        <v>43</v>
      </c>
      <c r="J706" t="s">
        <v>76</v>
      </c>
      <c r="K706" t="s">
        <v>101</v>
      </c>
      <c r="L706" s="3">
        <v>242</v>
      </c>
      <c r="M706" s="3">
        <v>3</v>
      </c>
      <c r="N706">
        <v>0</v>
      </c>
      <c r="O706">
        <v>5</v>
      </c>
      <c r="P706" t="s">
        <v>31</v>
      </c>
    </row>
    <row r="707" spans="1:16">
      <c r="A707" t="s">
        <v>851</v>
      </c>
      <c r="B707" s="6">
        <v>46166.064583333333</v>
      </c>
      <c r="C707" s="2">
        <v>46167.01147114583</v>
      </c>
      <c r="D707" t="s">
        <v>23</v>
      </c>
      <c r="E707" t="s">
        <v>50</v>
      </c>
      <c r="F707" t="s">
        <v>51</v>
      </c>
      <c r="G707" t="s">
        <v>54</v>
      </c>
      <c r="H707" t="s">
        <v>35</v>
      </c>
      <c r="I707" t="s">
        <v>28</v>
      </c>
      <c r="J707" t="s">
        <v>58</v>
      </c>
      <c r="K707" t="s">
        <v>93</v>
      </c>
      <c r="L707" s="3">
        <v>153</v>
      </c>
      <c r="M707" s="3">
        <v>4</v>
      </c>
      <c r="N707">
        <v>0</v>
      </c>
      <c r="O707">
        <v>7</v>
      </c>
      <c r="P707" t="s">
        <v>31</v>
      </c>
    </row>
    <row r="708" spans="1:16">
      <c r="A708" t="s">
        <v>852</v>
      </c>
      <c r="B708" s="6">
        <v>46040.590277777781</v>
      </c>
      <c r="C708" s="2">
        <v>46040.719927430553</v>
      </c>
      <c r="D708" t="s">
        <v>23</v>
      </c>
      <c r="E708" t="s">
        <v>24</v>
      </c>
      <c r="F708" t="s">
        <v>25</v>
      </c>
      <c r="G708" t="s">
        <v>26</v>
      </c>
      <c r="H708" t="s">
        <v>42</v>
      </c>
      <c r="I708" t="s">
        <v>43</v>
      </c>
      <c r="J708" t="s">
        <v>52</v>
      </c>
      <c r="K708" t="s">
        <v>68</v>
      </c>
      <c r="L708" s="3">
        <v>18</v>
      </c>
      <c r="M708" s="3">
        <v>4</v>
      </c>
      <c r="N708">
        <v>0</v>
      </c>
      <c r="O708">
        <v>6</v>
      </c>
      <c r="P708" t="s">
        <v>31</v>
      </c>
    </row>
    <row r="709" spans="1:16">
      <c r="A709" t="s">
        <v>853</v>
      </c>
      <c r="B709" s="6">
        <v>46176.125694444447</v>
      </c>
      <c r="C709" s="2">
        <v>46177.447733379631</v>
      </c>
      <c r="D709" t="s">
        <v>23</v>
      </c>
      <c r="E709" t="s">
        <v>50</v>
      </c>
      <c r="F709" t="s">
        <v>51</v>
      </c>
      <c r="G709" t="s">
        <v>26</v>
      </c>
      <c r="H709" t="s">
        <v>35</v>
      </c>
      <c r="I709" t="s">
        <v>36</v>
      </c>
      <c r="J709" t="s">
        <v>76</v>
      </c>
      <c r="K709" t="s">
        <v>71</v>
      </c>
      <c r="L709" s="3">
        <v>81</v>
      </c>
      <c r="M709" s="3">
        <v>4</v>
      </c>
      <c r="N709">
        <v>0</v>
      </c>
      <c r="O709">
        <v>3</v>
      </c>
      <c r="P709" t="s">
        <v>31</v>
      </c>
    </row>
    <row r="710" spans="1:16">
      <c r="A710" t="s">
        <v>854</v>
      </c>
      <c r="B710" s="6">
        <v>46207.804861111108</v>
      </c>
      <c r="C710" s="2">
        <v>46209.726942083333</v>
      </c>
      <c r="D710" t="s">
        <v>23</v>
      </c>
      <c r="E710" t="s">
        <v>110</v>
      </c>
      <c r="F710" t="s">
        <v>41</v>
      </c>
      <c r="G710" t="s">
        <v>66</v>
      </c>
      <c r="H710" t="s">
        <v>42</v>
      </c>
      <c r="I710" t="s">
        <v>43</v>
      </c>
      <c r="J710" t="s">
        <v>58</v>
      </c>
      <c r="K710" t="s">
        <v>30</v>
      </c>
      <c r="L710" s="3">
        <v>93</v>
      </c>
      <c r="M710" s="3">
        <v>4</v>
      </c>
      <c r="N710">
        <v>0</v>
      </c>
      <c r="O710">
        <v>2</v>
      </c>
      <c r="P710" t="s">
        <v>31</v>
      </c>
    </row>
    <row r="711" spans="1:16">
      <c r="A711" t="s">
        <v>855</v>
      </c>
      <c r="B711" s="6">
        <v>46175.290277777778</v>
      </c>
      <c r="C711" s="2">
        <v>46175.848124768519</v>
      </c>
      <c r="D711" t="s">
        <v>23</v>
      </c>
      <c r="E711" t="s">
        <v>50</v>
      </c>
      <c r="F711" t="s">
        <v>65</v>
      </c>
      <c r="G711" t="s">
        <v>26</v>
      </c>
      <c r="H711" t="s">
        <v>35</v>
      </c>
      <c r="I711" t="s">
        <v>36</v>
      </c>
      <c r="J711" t="s">
        <v>52</v>
      </c>
      <c r="K711" t="s">
        <v>55</v>
      </c>
      <c r="L711" s="3">
        <v>118</v>
      </c>
      <c r="M711" s="3">
        <v>4</v>
      </c>
      <c r="N711">
        <v>0</v>
      </c>
      <c r="O711">
        <v>5</v>
      </c>
      <c r="P711" t="s">
        <v>31</v>
      </c>
    </row>
    <row r="712" spans="1:16">
      <c r="A712" t="s">
        <v>856</v>
      </c>
      <c r="B712" s="6">
        <v>46265.660416666666</v>
      </c>
      <c r="C712" s="2">
        <v>46265.881538125002</v>
      </c>
      <c r="D712" t="s">
        <v>23</v>
      </c>
      <c r="E712" t="s">
        <v>24</v>
      </c>
      <c r="F712" t="s">
        <v>51</v>
      </c>
      <c r="G712" t="s">
        <v>26</v>
      </c>
      <c r="H712" t="s">
        <v>42</v>
      </c>
      <c r="I712" t="s">
        <v>36</v>
      </c>
      <c r="J712" t="s">
        <v>67</v>
      </c>
      <c r="K712" t="s">
        <v>85</v>
      </c>
      <c r="L712" s="3">
        <v>16</v>
      </c>
      <c r="M712" s="3">
        <v>4</v>
      </c>
      <c r="N712">
        <v>0</v>
      </c>
      <c r="O712">
        <v>2</v>
      </c>
      <c r="P712" t="s">
        <v>31</v>
      </c>
    </row>
    <row r="713" spans="1:16">
      <c r="A713" t="s">
        <v>857</v>
      </c>
      <c r="B713" s="6">
        <v>46241.46597222222</v>
      </c>
      <c r="C713" s="2">
        <v>46241.610394699077</v>
      </c>
      <c r="D713" t="s">
        <v>23</v>
      </c>
      <c r="E713" t="s">
        <v>50</v>
      </c>
      <c r="F713" t="s">
        <v>41</v>
      </c>
      <c r="G713" t="s">
        <v>26</v>
      </c>
      <c r="H713" t="s">
        <v>35</v>
      </c>
      <c r="I713" t="s">
        <v>36</v>
      </c>
      <c r="J713" t="s">
        <v>52</v>
      </c>
      <c r="K713" t="s">
        <v>30</v>
      </c>
      <c r="L713" s="3">
        <v>114</v>
      </c>
      <c r="M713" s="3">
        <v>4</v>
      </c>
      <c r="N713">
        <v>0</v>
      </c>
      <c r="O713">
        <v>5</v>
      </c>
      <c r="P713" t="s">
        <v>31</v>
      </c>
    </row>
    <row r="714" spans="1:16">
      <c r="A714" t="s">
        <v>858</v>
      </c>
      <c r="B714" s="6" t="s">
        <v>859</v>
      </c>
      <c r="C714" s="2">
        <v>46232.076890972225</v>
      </c>
      <c r="D714" t="s">
        <v>23</v>
      </c>
      <c r="E714" t="s">
        <v>33</v>
      </c>
      <c r="F714" t="s">
        <v>51</v>
      </c>
      <c r="G714" t="s">
        <v>26</v>
      </c>
      <c r="H714" t="s">
        <v>35</v>
      </c>
      <c r="I714" t="s">
        <v>36</v>
      </c>
      <c r="J714" t="s">
        <v>37</v>
      </c>
      <c r="K714" t="s">
        <v>44</v>
      </c>
      <c r="L714" s="3" t="s">
        <v>860</v>
      </c>
      <c r="M714" s="3">
        <v>3</v>
      </c>
      <c r="N714">
        <v>0</v>
      </c>
      <c r="O714">
        <v>2</v>
      </c>
      <c r="P714" t="s">
        <v>31</v>
      </c>
    </row>
    <row r="715" spans="1:16">
      <c r="A715" t="s">
        <v>861</v>
      </c>
      <c r="B715" s="6">
        <v>46255.409722222219</v>
      </c>
      <c r="C715" s="2">
        <v>46257.928727037041</v>
      </c>
      <c r="D715" t="s">
        <v>23</v>
      </c>
      <c r="E715" t="s">
        <v>33</v>
      </c>
      <c r="F715" t="s">
        <v>41</v>
      </c>
      <c r="G715" t="s">
        <v>66</v>
      </c>
      <c r="H715" t="s">
        <v>35</v>
      </c>
      <c r="I715" t="s">
        <v>48</v>
      </c>
      <c r="J715" t="s">
        <v>58</v>
      </c>
      <c r="K715" t="s">
        <v>93</v>
      </c>
      <c r="L715" s="3">
        <v>265</v>
      </c>
      <c r="M715" s="3">
        <v>2</v>
      </c>
      <c r="N715">
        <v>1</v>
      </c>
      <c r="O715">
        <v>8</v>
      </c>
      <c r="P715" t="s">
        <v>31</v>
      </c>
    </row>
    <row r="716" spans="1:16">
      <c r="A716" t="s">
        <v>862</v>
      </c>
      <c r="B716" s="6">
        <v>46094.785416666666</v>
      </c>
      <c r="C716" s="2">
        <v>46096.639031377315</v>
      </c>
      <c r="D716" t="s">
        <v>23</v>
      </c>
      <c r="E716" t="s">
        <v>50</v>
      </c>
      <c r="F716" t="s">
        <v>51</v>
      </c>
      <c r="G716" t="s">
        <v>66</v>
      </c>
      <c r="H716" t="s">
        <v>35</v>
      </c>
      <c r="I716" t="s">
        <v>48</v>
      </c>
      <c r="J716" t="s">
        <v>37</v>
      </c>
      <c r="K716" t="s">
        <v>62</v>
      </c>
      <c r="L716" s="3">
        <v>306</v>
      </c>
      <c r="M716" s="3">
        <v>3</v>
      </c>
      <c r="N716">
        <v>0</v>
      </c>
      <c r="O716">
        <v>7</v>
      </c>
      <c r="P716" t="s">
        <v>31</v>
      </c>
    </row>
    <row r="717" spans="1:16">
      <c r="A717" t="s">
        <v>863</v>
      </c>
      <c r="B717" s="6">
        <v>46189.567361111112</v>
      </c>
      <c r="C717" s="2">
        <v>46194.368271817133</v>
      </c>
      <c r="D717" t="s">
        <v>23</v>
      </c>
      <c r="E717" t="s">
        <v>50</v>
      </c>
      <c r="F717" t="s">
        <v>25</v>
      </c>
      <c r="G717" t="s">
        <v>26</v>
      </c>
      <c r="H717" t="s">
        <v>35</v>
      </c>
      <c r="I717" t="s">
        <v>36</v>
      </c>
      <c r="J717" t="s">
        <v>67</v>
      </c>
      <c r="K717" t="s">
        <v>101</v>
      </c>
      <c r="L717" s="3">
        <v>91</v>
      </c>
      <c r="M717" s="3">
        <v>3</v>
      </c>
      <c r="N717">
        <v>1</v>
      </c>
      <c r="O717">
        <v>8</v>
      </c>
      <c r="P717" t="s">
        <v>31</v>
      </c>
    </row>
    <row r="718" spans="1:16">
      <c r="A718" t="s">
        <v>864</v>
      </c>
      <c r="B718" s="6">
        <v>46034.359027777777</v>
      </c>
      <c r="C718" s="2">
        <v>46036.532728321756</v>
      </c>
      <c r="D718" t="s">
        <v>23</v>
      </c>
      <c r="E718" t="s">
        <v>33</v>
      </c>
      <c r="F718" t="s">
        <v>25</v>
      </c>
      <c r="G718" t="s">
        <v>75</v>
      </c>
      <c r="H718" t="s">
        <v>42</v>
      </c>
      <c r="I718" t="s">
        <v>43</v>
      </c>
      <c r="J718" t="s">
        <v>76</v>
      </c>
      <c r="K718" t="s">
        <v>55</v>
      </c>
      <c r="L718" s="3">
        <v>78</v>
      </c>
      <c r="M718" s="3">
        <v>4</v>
      </c>
      <c r="N718">
        <v>0</v>
      </c>
      <c r="O718">
        <v>2</v>
      </c>
      <c r="P718" t="s">
        <v>31</v>
      </c>
    </row>
    <row r="719" spans="1:16">
      <c r="A719" t="s">
        <v>865</v>
      </c>
      <c r="B719" s="6">
        <v>46067.261111111111</v>
      </c>
      <c r="C719" s="2">
        <v>46069.033905046294</v>
      </c>
      <c r="D719" t="s">
        <v>23</v>
      </c>
      <c r="E719" t="s">
        <v>33</v>
      </c>
      <c r="F719" t="s">
        <v>51</v>
      </c>
      <c r="G719" t="s">
        <v>26</v>
      </c>
      <c r="H719" t="s">
        <v>42</v>
      </c>
      <c r="I719" t="s">
        <v>28</v>
      </c>
      <c r="J719" t="s">
        <v>37</v>
      </c>
      <c r="K719" t="s">
        <v>62</v>
      </c>
      <c r="L719" s="3">
        <v>247</v>
      </c>
      <c r="M719" s="3">
        <v>3</v>
      </c>
      <c r="N719">
        <v>0</v>
      </c>
      <c r="O719">
        <v>2</v>
      </c>
      <c r="P719" t="s">
        <v>31</v>
      </c>
    </row>
    <row r="720" spans="1:16">
      <c r="A720" t="s">
        <v>866</v>
      </c>
      <c r="B720" s="6">
        <v>46195.728472222225</v>
      </c>
      <c r="C720" s="2">
        <v>46196.630730393517</v>
      </c>
      <c r="D720" t="s">
        <v>23</v>
      </c>
      <c r="E720" t="s">
        <v>50</v>
      </c>
      <c r="F720" t="s">
        <v>41</v>
      </c>
      <c r="G720" t="s">
        <v>34</v>
      </c>
      <c r="H720" t="s">
        <v>27</v>
      </c>
      <c r="I720" t="s">
        <v>28</v>
      </c>
      <c r="J720" t="s">
        <v>76</v>
      </c>
      <c r="K720" t="s">
        <v>44</v>
      </c>
      <c r="L720" s="3">
        <v>80</v>
      </c>
      <c r="M720" s="3">
        <v>4</v>
      </c>
      <c r="N720">
        <v>0</v>
      </c>
      <c r="O720">
        <v>3</v>
      </c>
      <c r="P720" t="s">
        <v>31</v>
      </c>
    </row>
    <row r="721" spans="1:16">
      <c r="A721" t="s">
        <v>867</v>
      </c>
      <c r="B721" s="6">
        <v>46150.017361111109</v>
      </c>
      <c r="C721" s="2">
        <v>46151.657667430554</v>
      </c>
      <c r="D721" t="s">
        <v>23</v>
      </c>
      <c r="E721" t="s">
        <v>33</v>
      </c>
      <c r="F721" t="s">
        <v>51</v>
      </c>
      <c r="G721" t="s">
        <v>34</v>
      </c>
      <c r="H721" t="s">
        <v>42</v>
      </c>
      <c r="I721" t="s">
        <v>48</v>
      </c>
      <c r="J721" t="s">
        <v>37</v>
      </c>
      <c r="K721" t="s">
        <v>30</v>
      </c>
      <c r="L721" s="3">
        <v>281</v>
      </c>
      <c r="M721" s="3">
        <v>3</v>
      </c>
      <c r="N721">
        <v>0</v>
      </c>
      <c r="O721">
        <v>6</v>
      </c>
      <c r="P721" t="s">
        <v>31</v>
      </c>
    </row>
    <row r="722" spans="1:16">
      <c r="A722" t="s">
        <v>868</v>
      </c>
      <c r="B722" s="6">
        <v>46237.893055555556</v>
      </c>
      <c r="C722" s="2">
        <v>46238.616902546295</v>
      </c>
      <c r="D722" t="s">
        <v>23</v>
      </c>
      <c r="E722" t="s">
        <v>40</v>
      </c>
      <c r="F722" t="s">
        <v>51</v>
      </c>
      <c r="G722" t="s">
        <v>54</v>
      </c>
      <c r="H722" t="s">
        <v>42</v>
      </c>
      <c r="I722" t="s">
        <v>43</v>
      </c>
      <c r="J722" t="s">
        <v>37</v>
      </c>
      <c r="K722" t="s">
        <v>93</v>
      </c>
      <c r="L722" s="3">
        <v>21</v>
      </c>
      <c r="M722" s="3">
        <v>4</v>
      </c>
      <c r="N722">
        <v>0</v>
      </c>
      <c r="O722">
        <v>7</v>
      </c>
      <c r="P722" t="s">
        <v>31</v>
      </c>
    </row>
    <row r="723" spans="1:16">
      <c r="A723" t="s">
        <v>869</v>
      </c>
      <c r="B723" s="6">
        <v>46033.195833333331</v>
      </c>
      <c r="C723" s="2">
        <v>46033.847332557867</v>
      </c>
      <c r="D723" t="s">
        <v>23</v>
      </c>
      <c r="E723" t="s">
        <v>50</v>
      </c>
      <c r="F723" t="s">
        <v>25</v>
      </c>
      <c r="G723" t="s">
        <v>75</v>
      </c>
      <c r="H723" t="s">
        <v>42</v>
      </c>
      <c r="I723" t="s">
        <v>28</v>
      </c>
      <c r="J723" t="s">
        <v>76</v>
      </c>
      <c r="K723" t="s">
        <v>101</v>
      </c>
      <c r="L723" s="3">
        <v>102</v>
      </c>
      <c r="M723" s="3">
        <v>4</v>
      </c>
      <c r="N723">
        <v>0</v>
      </c>
      <c r="O723">
        <v>7</v>
      </c>
      <c r="P723" t="s">
        <v>31</v>
      </c>
    </row>
    <row r="724" spans="1:16">
      <c r="A724" t="s">
        <v>870</v>
      </c>
      <c r="B724" s="6">
        <v>46044.984027777777</v>
      </c>
      <c r="C724" s="2">
        <v>46046.456521157408</v>
      </c>
      <c r="D724" t="s">
        <v>23</v>
      </c>
      <c r="E724" t="s">
        <v>50</v>
      </c>
      <c r="F724" t="s">
        <v>51</v>
      </c>
      <c r="G724" t="s">
        <v>66</v>
      </c>
      <c r="H724" t="s">
        <v>42</v>
      </c>
      <c r="I724" t="s">
        <v>28</v>
      </c>
      <c r="J724" t="s">
        <v>37</v>
      </c>
      <c r="K724" t="s">
        <v>68</v>
      </c>
      <c r="L724" s="3">
        <v>191</v>
      </c>
      <c r="M724" s="3">
        <v>3</v>
      </c>
      <c r="N724">
        <v>1</v>
      </c>
      <c r="O724">
        <v>8</v>
      </c>
      <c r="P724" t="s">
        <v>31</v>
      </c>
    </row>
    <row r="725" spans="1:16">
      <c r="A725" t="s">
        <v>871</v>
      </c>
      <c r="B725" s="6">
        <v>46060.713888888888</v>
      </c>
      <c r="C725" s="2">
        <v>46062.060808854163</v>
      </c>
      <c r="D725" t="s">
        <v>23</v>
      </c>
      <c r="E725" t="s">
        <v>50</v>
      </c>
      <c r="F725" t="s">
        <v>51</v>
      </c>
      <c r="G725" t="s">
        <v>54</v>
      </c>
      <c r="H725" t="s">
        <v>35</v>
      </c>
      <c r="I725" t="s">
        <v>43</v>
      </c>
      <c r="J725" t="s">
        <v>67</v>
      </c>
      <c r="K725" t="s">
        <v>85</v>
      </c>
      <c r="L725" s="3">
        <v>202</v>
      </c>
      <c r="M725" s="3">
        <v>4</v>
      </c>
      <c r="N725">
        <v>0</v>
      </c>
      <c r="O725">
        <v>7</v>
      </c>
      <c r="P725" t="s">
        <v>31</v>
      </c>
    </row>
    <row r="726" spans="1:16">
      <c r="A726" t="s">
        <v>872</v>
      </c>
      <c r="B726" s="6">
        <v>46052.669444444444</v>
      </c>
      <c r="C726" s="2">
        <v>46054.166759988424</v>
      </c>
      <c r="D726" t="s">
        <v>23</v>
      </c>
      <c r="E726" t="s">
        <v>50</v>
      </c>
      <c r="F726" t="s">
        <v>25</v>
      </c>
      <c r="G726" t="s">
        <v>34</v>
      </c>
      <c r="H726" t="s">
        <v>35</v>
      </c>
      <c r="I726" t="s">
        <v>36</v>
      </c>
      <c r="J726" t="s">
        <v>58</v>
      </c>
      <c r="K726" t="s">
        <v>38</v>
      </c>
      <c r="L726" s="3">
        <v>154</v>
      </c>
      <c r="M726" s="3">
        <v>3</v>
      </c>
      <c r="N726">
        <v>1</v>
      </c>
      <c r="O726">
        <v>7</v>
      </c>
      <c r="P726" t="s">
        <v>31</v>
      </c>
    </row>
    <row r="727" spans="1:16">
      <c r="A727" t="s">
        <v>873</v>
      </c>
      <c r="B727" s="6">
        <v>46074.750694444447</v>
      </c>
      <c r="C727" s="2">
        <v>46075.545387824073</v>
      </c>
      <c r="D727" t="s">
        <v>23</v>
      </c>
      <c r="E727" t="s">
        <v>40</v>
      </c>
      <c r="F727" t="s">
        <v>51</v>
      </c>
      <c r="G727" t="s">
        <v>54</v>
      </c>
      <c r="H727" t="s">
        <v>42</v>
      </c>
      <c r="I727" t="s">
        <v>36</v>
      </c>
      <c r="J727" t="s">
        <v>37</v>
      </c>
      <c r="K727" t="s">
        <v>38</v>
      </c>
      <c r="L727" s="3">
        <v>30</v>
      </c>
      <c r="M727" s="3">
        <v>4</v>
      </c>
      <c r="N727">
        <v>1</v>
      </c>
      <c r="O727">
        <v>4</v>
      </c>
      <c r="P727" t="s">
        <v>31</v>
      </c>
    </row>
    <row r="728" spans="1:16">
      <c r="A728" t="s">
        <v>874</v>
      </c>
      <c r="B728" s="6">
        <v>46037.302777777775</v>
      </c>
      <c r="C728" s="2">
        <v>46038.355064212963</v>
      </c>
      <c r="D728" t="s">
        <v>23</v>
      </c>
      <c r="E728" t="s">
        <v>50</v>
      </c>
      <c r="F728" t="s">
        <v>25</v>
      </c>
      <c r="G728" t="s">
        <v>34</v>
      </c>
      <c r="H728" t="s">
        <v>35</v>
      </c>
      <c r="I728" t="s">
        <v>48</v>
      </c>
      <c r="J728" t="s">
        <v>58</v>
      </c>
      <c r="K728" t="s">
        <v>44</v>
      </c>
      <c r="L728" s="3">
        <v>105</v>
      </c>
      <c r="M728" s="3">
        <v>4</v>
      </c>
      <c r="N728">
        <v>0</v>
      </c>
      <c r="O728">
        <v>4</v>
      </c>
      <c r="P728" t="s">
        <v>31</v>
      </c>
    </row>
    <row r="729" spans="1:16">
      <c r="A729" t="s">
        <v>875</v>
      </c>
      <c r="B729" s="6">
        <v>46100.502083333333</v>
      </c>
      <c r="C729" s="2">
        <v>46102.082496631941</v>
      </c>
      <c r="D729" t="s">
        <v>23</v>
      </c>
      <c r="E729" t="s">
        <v>50</v>
      </c>
      <c r="F729" t="s">
        <v>51</v>
      </c>
      <c r="G729" t="s">
        <v>75</v>
      </c>
      <c r="H729" t="s">
        <v>35</v>
      </c>
      <c r="I729" t="s">
        <v>36</v>
      </c>
      <c r="J729" t="s">
        <v>37</v>
      </c>
      <c r="K729" t="s">
        <v>101</v>
      </c>
      <c r="L729" s="3">
        <v>234</v>
      </c>
      <c r="M729" s="3">
        <v>4</v>
      </c>
      <c r="N729">
        <v>0</v>
      </c>
      <c r="O729">
        <v>4</v>
      </c>
      <c r="P729" t="s">
        <v>31</v>
      </c>
    </row>
    <row r="730" spans="1:16">
      <c r="A730" t="s">
        <v>876</v>
      </c>
      <c r="B730" s="6">
        <v>46243.054166666669</v>
      </c>
      <c r="C730" s="2">
        <v>46243.417848599536</v>
      </c>
      <c r="D730" t="s">
        <v>23</v>
      </c>
      <c r="E730" t="s">
        <v>50</v>
      </c>
      <c r="F730" t="s">
        <v>25</v>
      </c>
      <c r="G730" t="s">
        <v>34</v>
      </c>
      <c r="H730" t="s">
        <v>35</v>
      </c>
      <c r="I730" t="s">
        <v>43</v>
      </c>
      <c r="J730" t="s">
        <v>29</v>
      </c>
      <c r="K730" t="s">
        <v>44</v>
      </c>
      <c r="L730" s="3">
        <v>46</v>
      </c>
      <c r="M730" s="3">
        <v>4</v>
      </c>
      <c r="N730">
        <v>0</v>
      </c>
      <c r="O730">
        <v>2</v>
      </c>
      <c r="P730" t="s">
        <v>31</v>
      </c>
    </row>
    <row r="731" spans="1:16">
      <c r="A731" t="s">
        <v>877</v>
      </c>
      <c r="B731" s="6">
        <v>46242.888194444444</v>
      </c>
      <c r="C731" s="2">
        <v>46243.098096666668</v>
      </c>
      <c r="D731" t="s">
        <v>23</v>
      </c>
      <c r="E731" t="s">
        <v>40</v>
      </c>
      <c r="F731" t="s">
        <v>51</v>
      </c>
      <c r="G731" t="s">
        <v>66</v>
      </c>
      <c r="H731" t="s">
        <v>35</v>
      </c>
      <c r="I731" t="s">
        <v>48</v>
      </c>
      <c r="J731" t="s">
        <v>52</v>
      </c>
      <c r="K731" t="s">
        <v>101</v>
      </c>
      <c r="L731" s="3">
        <v>22</v>
      </c>
      <c r="M731" s="3">
        <v>4</v>
      </c>
      <c r="N731">
        <v>1</v>
      </c>
      <c r="O731">
        <v>8</v>
      </c>
      <c r="P731" t="s">
        <v>31</v>
      </c>
    </row>
    <row r="732" spans="1:16">
      <c r="A732" t="s">
        <v>878</v>
      </c>
      <c r="B732" s="6">
        <v>46170.211805555555</v>
      </c>
      <c r="C732" s="2">
        <v>46170.855326805555</v>
      </c>
      <c r="D732" t="s">
        <v>23</v>
      </c>
      <c r="E732" t="s">
        <v>50</v>
      </c>
      <c r="F732" t="s">
        <v>25</v>
      </c>
      <c r="G732" t="s">
        <v>54</v>
      </c>
      <c r="H732" t="s">
        <v>42</v>
      </c>
      <c r="I732" t="s">
        <v>43</v>
      </c>
      <c r="J732" t="s">
        <v>37</v>
      </c>
      <c r="K732" t="s">
        <v>62</v>
      </c>
      <c r="L732" s="3">
        <v>86</v>
      </c>
      <c r="M732" s="3">
        <v>5</v>
      </c>
      <c r="N732">
        <v>0</v>
      </c>
      <c r="O732">
        <v>3</v>
      </c>
      <c r="P732" t="s">
        <v>31</v>
      </c>
    </row>
    <row r="733" spans="1:16">
      <c r="A733" t="s">
        <v>879</v>
      </c>
      <c r="B733" s="6">
        <v>46061.92083333333</v>
      </c>
      <c r="C733" s="2">
        <v>46062.754264918978</v>
      </c>
      <c r="D733" t="s">
        <v>23</v>
      </c>
      <c r="E733" t="s">
        <v>50</v>
      </c>
      <c r="F733" t="s">
        <v>51</v>
      </c>
      <c r="G733" t="s">
        <v>66</v>
      </c>
      <c r="H733" t="s">
        <v>35</v>
      </c>
      <c r="I733" t="s">
        <v>48</v>
      </c>
      <c r="J733" t="s">
        <v>67</v>
      </c>
      <c r="K733" t="s">
        <v>93</v>
      </c>
      <c r="L733" s="3">
        <v>97</v>
      </c>
      <c r="M733" s="3">
        <v>4</v>
      </c>
      <c r="N733">
        <v>0</v>
      </c>
      <c r="O733">
        <v>3</v>
      </c>
      <c r="P733" t="s">
        <v>31</v>
      </c>
    </row>
    <row r="734" spans="1:16">
      <c r="A734" t="s">
        <v>880</v>
      </c>
      <c r="B734" s="6">
        <v>46052.624305555553</v>
      </c>
      <c r="C734" s="2">
        <v>46053.620914513886</v>
      </c>
      <c r="D734" t="s">
        <v>23</v>
      </c>
      <c r="E734" t="s">
        <v>33</v>
      </c>
      <c r="F734" t="s">
        <v>41</v>
      </c>
      <c r="G734" t="s">
        <v>66</v>
      </c>
      <c r="H734" t="s">
        <v>27</v>
      </c>
      <c r="I734" t="s">
        <v>28</v>
      </c>
      <c r="J734" t="s">
        <v>37</v>
      </c>
      <c r="K734" t="s">
        <v>71</v>
      </c>
      <c r="L734" s="3">
        <v>222</v>
      </c>
      <c r="M734" s="3">
        <v>4</v>
      </c>
      <c r="N734">
        <v>0</v>
      </c>
      <c r="O734">
        <v>6</v>
      </c>
      <c r="P734" t="s">
        <v>31</v>
      </c>
    </row>
    <row r="735" spans="1:16">
      <c r="A735" t="s">
        <v>881</v>
      </c>
      <c r="B735" s="6">
        <v>46153.116666666669</v>
      </c>
      <c r="C735" s="2">
        <v>46153.433511597221</v>
      </c>
      <c r="D735" t="s">
        <v>23</v>
      </c>
      <c r="E735" t="s">
        <v>40</v>
      </c>
      <c r="F735" t="s">
        <v>51</v>
      </c>
      <c r="G735" t="s">
        <v>54</v>
      </c>
      <c r="H735" t="s">
        <v>42</v>
      </c>
      <c r="I735" t="s">
        <v>43</v>
      </c>
      <c r="J735" t="s">
        <v>67</v>
      </c>
      <c r="K735" t="s">
        <v>38</v>
      </c>
      <c r="L735" s="3">
        <v>7</v>
      </c>
      <c r="M735" s="3">
        <v>4</v>
      </c>
      <c r="N735">
        <v>1</v>
      </c>
      <c r="O735">
        <v>8</v>
      </c>
      <c r="P735" t="s">
        <v>31</v>
      </c>
    </row>
    <row r="736" spans="1:16">
      <c r="A736" t="s">
        <v>882</v>
      </c>
      <c r="B736" s="6">
        <v>46165.940972222219</v>
      </c>
      <c r="C736" s="2">
        <v>46167.343738321761</v>
      </c>
      <c r="D736" t="s">
        <v>23</v>
      </c>
      <c r="E736" t="s">
        <v>50</v>
      </c>
      <c r="F736" t="s">
        <v>25</v>
      </c>
      <c r="G736" t="s">
        <v>75</v>
      </c>
      <c r="H736" t="s">
        <v>42</v>
      </c>
      <c r="I736" t="s">
        <v>43</v>
      </c>
      <c r="J736" t="s">
        <v>37</v>
      </c>
      <c r="K736" t="s">
        <v>44</v>
      </c>
      <c r="L736" s="3">
        <v>75</v>
      </c>
      <c r="M736" s="3">
        <v>4</v>
      </c>
      <c r="N736">
        <v>0</v>
      </c>
      <c r="O736">
        <v>5</v>
      </c>
      <c r="P736" t="s">
        <v>31</v>
      </c>
    </row>
    <row r="737" spans="1:16">
      <c r="A737" t="s">
        <v>883</v>
      </c>
      <c r="B737" s="6">
        <v>46244.957638888889</v>
      </c>
      <c r="C737" s="2">
        <v>46246.954945358797</v>
      </c>
      <c r="D737" t="s">
        <v>23</v>
      </c>
      <c r="E737" t="s">
        <v>33</v>
      </c>
      <c r="F737" t="s">
        <v>51</v>
      </c>
      <c r="G737" t="s">
        <v>34</v>
      </c>
      <c r="H737" t="s">
        <v>42</v>
      </c>
      <c r="I737" t="s">
        <v>28</v>
      </c>
      <c r="J737" t="s">
        <v>601</v>
      </c>
      <c r="K737" t="s">
        <v>101</v>
      </c>
      <c r="L737" s="3">
        <v>257</v>
      </c>
      <c r="M737" s="3">
        <v>3</v>
      </c>
      <c r="N737">
        <v>0</v>
      </c>
      <c r="O737">
        <v>6</v>
      </c>
      <c r="P737" t="s">
        <v>31</v>
      </c>
    </row>
    <row r="738" spans="1:16">
      <c r="A738" t="s">
        <v>884</v>
      </c>
      <c r="B738" s="6" t="s">
        <v>885</v>
      </c>
      <c r="C738" s="2">
        <v>46215.54920966435</v>
      </c>
      <c r="D738" t="s">
        <v>23</v>
      </c>
      <c r="E738" t="s">
        <v>40</v>
      </c>
      <c r="F738" t="s">
        <v>65</v>
      </c>
      <c r="G738" t="s">
        <v>34</v>
      </c>
      <c r="H738" t="s">
        <v>42</v>
      </c>
      <c r="I738" t="s">
        <v>43</v>
      </c>
      <c r="J738" t="s">
        <v>67</v>
      </c>
      <c r="K738" t="s">
        <v>68</v>
      </c>
      <c r="L738" s="3">
        <v>52</v>
      </c>
      <c r="M738" s="3">
        <v>5</v>
      </c>
      <c r="N738">
        <v>0</v>
      </c>
      <c r="O738">
        <v>4</v>
      </c>
      <c r="P738" t="s">
        <v>31</v>
      </c>
    </row>
    <row r="739" spans="1:16">
      <c r="A739" t="s">
        <v>886</v>
      </c>
      <c r="B739" s="6">
        <v>46193.375694444447</v>
      </c>
      <c r="C739" s="2">
        <v>46197.494863310189</v>
      </c>
      <c r="D739" t="s">
        <v>23</v>
      </c>
      <c r="E739" t="s">
        <v>33</v>
      </c>
      <c r="F739" t="s">
        <v>51</v>
      </c>
      <c r="G739" t="s">
        <v>26</v>
      </c>
      <c r="H739" t="s">
        <v>42</v>
      </c>
      <c r="I739" t="s">
        <v>48</v>
      </c>
      <c r="J739" t="s">
        <v>37</v>
      </c>
      <c r="K739" t="s">
        <v>93</v>
      </c>
      <c r="L739" s="3">
        <v>530</v>
      </c>
      <c r="M739" s="3">
        <v>2</v>
      </c>
      <c r="N739">
        <v>0</v>
      </c>
      <c r="O739">
        <v>11</v>
      </c>
      <c r="P739" t="s">
        <v>63</v>
      </c>
    </row>
    <row r="740" spans="1:16">
      <c r="A740" t="s">
        <v>887</v>
      </c>
      <c r="B740" s="6">
        <v>46192.209027777775</v>
      </c>
      <c r="C740" s="2">
        <v>46193.295243599539</v>
      </c>
      <c r="D740" t="s">
        <v>23</v>
      </c>
      <c r="E740" t="s">
        <v>33</v>
      </c>
      <c r="F740" t="s">
        <v>25</v>
      </c>
      <c r="G740" t="s">
        <v>66</v>
      </c>
      <c r="H740" t="s">
        <v>42</v>
      </c>
      <c r="I740" t="s">
        <v>48</v>
      </c>
      <c r="J740" t="s">
        <v>29</v>
      </c>
      <c r="K740" t="s">
        <v>85</v>
      </c>
      <c r="L740" s="3">
        <v>404</v>
      </c>
      <c r="M740" s="3">
        <v>3</v>
      </c>
      <c r="N740">
        <v>0</v>
      </c>
      <c r="O740">
        <v>4</v>
      </c>
      <c r="P740" t="s">
        <v>31</v>
      </c>
    </row>
    <row r="741" spans="1:16">
      <c r="A741" t="s">
        <v>888</v>
      </c>
      <c r="B741" s="6">
        <v>46188.12222222222</v>
      </c>
      <c r="C741" s="2">
        <v>46189.271603819441</v>
      </c>
      <c r="D741" t="s">
        <v>23</v>
      </c>
      <c r="E741" t="s">
        <v>80</v>
      </c>
      <c r="F741" t="s">
        <v>65</v>
      </c>
      <c r="G741" t="s">
        <v>66</v>
      </c>
      <c r="H741" t="s">
        <v>27</v>
      </c>
      <c r="I741" t="s">
        <v>28</v>
      </c>
      <c r="J741" t="s">
        <v>67</v>
      </c>
      <c r="L741" s="3">
        <v>72</v>
      </c>
      <c r="M741" s="3">
        <v>4</v>
      </c>
      <c r="N741">
        <v>0</v>
      </c>
      <c r="O741">
        <v>2</v>
      </c>
      <c r="P741" t="s">
        <v>31</v>
      </c>
    </row>
    <row r="742" spans="1:16">
      <c r="A742" t="s">
        <v>889</v>
      </c>
      <c r="B742" s="6">
        <v>46245.642361111109</v>
      </c>
      <c r="C742" s="2">
        <v>46246.439403298609</v>
      </c>
      <c r="D742" t="s">
        <v>23</v>
      </c>
      <c r="E742" t="s">
        <v>50</v>
      </c>
      <c r="F742" t="s">
        <v>41</v>
      </c>
      <c r="G742" t="s">
        <v>34</v>
      </c>
      <c r="H742" t="s">
        <v>42</v>
      </c>
      <c r="I742" t="s">
        <v>36</v>
      </c>
      <c r="J742" t="s">
        <v>29</v>
      </c>
      <c r="K742" t="s">
        <v>44</v>
      </c>
      <c r="L742" s="3">
        <v>45</v>
      </c>
      <c r="M742" s="3">
        <v>4</v>
      </c>
      <c r="N742">
        <v>1</v>
      </c>
      <c r="O742">
        <v>6</v>
      </c>
      <c r="P742" t="s">
        <v>31</v>
      </c>
    </row>
    <row r="743" spans="1:16">
      <c r="A743" t="s">
        <v>890</v>
      </c>
      <c r="B743" s="6">
        <v>46087.831250000003</v>
      </c>
      <c r="C743" s="2">
        <v>46089.334525347222</v>
      </c>
      <c r="D743" t="s">
        <v>23</v>
      </c>
      <c r="E743" t="s">
        <v>50</v>
      </c>
      <c r="F743" t="s">
        <v>25</v>
      </c>
      <c r="G743" t="s">
        <v>259</v>
      </c>
      <c r="H743" t="s">
        <v>35</v>
      </c>
      <c r="I743" t="s">
        <v>28</v>
      </c>
      <c r="J743" t="s">
        <v>67</v>
      </c>
      <c r="K743" t="s">
        <v>38</v>
      </c>
      <c r="L743" s="3">
        <v>56</v>
      </c>
      <c r="M743" s="3">
        <v>4</v>
      </c>
      <c r="N743">
        <v>0</v>
      </c>
      <c r="O743">
        <v>3</v>
      </c>
      <c r="P743" t="s">
        <v>31</v>
      </c>
    </row>
    <row r="744" spans="1:16">
      <c r="A744" t="s">
        <v>891</v>
      </c>
      <c r="B744" s="6" t="s">
        <v>892</v>
      </c>
      <c r="C744" s="2">
        <v>46158.028148206016</v>
      </c>
      <c r="D744" t="s">
        <v>23</v>
      </c>
      <c r="E744" t="s">
        <v>33</v>
      </c>
      <c r="F744" t="s">
        <v>51</v>
      </c>
      <c r="G744" t="s">
        <v>26</v>
      </c>
      <c r="H744" t="s">
        <v>35</v>
      </c>
      <c r="I744" t="s">
        <v>43</v>
      </c>
      <c r="J744" t="s">
        <v>37</v>
      </c>
      <c r="K744" t="s">
        <v>93</v>
      </c>
      <c r="L744" s="3">
        <v>402</v>
      </c>
      <c r="M744" s="3">
        <v>3</v>
      </c>
      <c r="N744">
        <v>0</v>
      </c>
      <c r="O744">
        <v>4</v>
      </c>
      <c r="P744" t="s">
        <v>31</v>
      </c>
    </row>
    <row r="745" spans="1:16">
      <c r="A745" t="s">
        <v>893</v>
      </c>
      <c r="B745" s="6">
        <v>46173.679861111108</v>
      </c>
      <c r="C745" s="2">
        <v>46174.57365633102</v>
      </c>
      <c r="D745" t="s">
        <v>23</v>
      </c>
      <c r="E745" t="s">
        <v>276</v>
      </c>
      <c r="F745" t="s">
        <v>51</v>
      </c>
      <c r="G745" t="s">
        <v>26</v>
      </c>
      <c r="H745" t="s">
        <v>42</v>
      </c>
      <c r="I745" t="s">
        <v>43</v>
      </c>
      <c r="J745" t="s">
        <v>67</v>
      </c>
      <c r="K745" t="s">
        <v>62</v>
      </c>
      <c r="L745" s="3">
        <v>17</v>
      </c>
      <c r="M745" s="3">
        <v>4</v>
      </c>
      <c r="N745">
        <v>0</v>
      </c>
      <c r="O745">
        <v>5</v>
      </c>
      <c r="P745" t="s">
        <v>31</v>
      </c>
    </row>
    <row r="746" spans="1:16">
      <c r="A746" t="s">
        <v>894</v>
      </c>
      <c r="B746" s="6">
        <v>46060.143750000003</v>
      </c>
      <c r="C746" s="2">
        <v>46060.375902523148</v>
      </c>
      <c r="D746" t="s">
        <v>23</v>
      </c>
      <c r="E746" t="s">
        <v>50</v>
      </c>
      <c r="F746" t="s">
        <v>41</v>
      </c>
      <c r="G746" t="s">
        <v>75</v>
      </c>
      <c r="H746" t="s">
        <v>27</v>
      </c>
      <c r="I746" t="s">
        <v>43</v>
      </c>
      <c r="J746" t="s">
        <v>29</v>
      </c>
      <c r="K746" t="s">
        <v>38</v>
      </c>
      <c r="L746" s="3">
        <v>71</v>
      </c>
      <c r="M746" s="3">
        <v>4</v>
      </c>
      <c r="N746">
        <v>0</v>
      </c>
      <c r="O746">
        <v>7</v>
      </c>
      <c r="P746" t="s">
        <v>31</v>
      </c>
    </row>
    <row r="747" spans="1:16">
      <c r="A747" t="s">
        <v>895</v>
      </c>
      <c r="B747" s="6">
        <v>46049.032638888886</v>
      </c>
      <c r="C747" s="2">
        <v>46049.501811747687</v>
      </c>
      <c r="D747" t="s">
        <v>23</v>
      </c>
      <c r="E747" t="s">
        <v>50</v>
      </c>
      <c r="F747" t="s">
        <v>51</v>
      </c>
      <c r="G747" t="s">
        <v>75</v>
      </c>
      <c r="H747" t="s">
        <v>42</v>
      </c>
      <c r="I747" t="s">
        <v>48</v>
      </c>
      <c r="J747" t="s">
        <v>29</v>
      </c>
      <c r="K747" t="s">
        <v>93</v>
      </c>
      <c r="L747" s="3">
        <v>63</v>
      </c>
      <c r="M747" s="3">
        <v>5</v>
      </c>
      <c r="N747">
        <v>0</v>
      </c>
      <c r="O747">
        <v>3</v>
      </c>
      <c r="P747" t="s">
        <v>31</v>
      </c>
    </row>
    <row r="748" spans="1:16">
      <c r="A748" t="s">
        <v>896</v>
      </c>
      <c r="B748" s="6">
        <v>46239.763888888891</v>
      </c>
      <c r="C748" s="2">
        <v>46239.913974664349</v>
      </c>
      <c r="D748" t="s">
        <v>23</v>
      </c>
      <c r="E748" t="s">
        <v>40</v>
      </c>
      <c r="F748" t="s">
        <v>51</v>
      </c>
      <c r="G748" t="s">
        <v>26</v>
      </c>
      <c r="H748" t="s">
        <v>27</v>
      </c>
      <c r="I748" t="s">
        <v>28</v>
      </c>
      <c r="J748" t="s">
        <v>29</v>
      </c>
      <c r="K748" t="s">
        <v>93</v>
      </c>
      <c r="L748" s="3">
        <v>19</v>
      </c>
      <c r="M748" s="3">
        <v>5</v>
      </c>
      <c r="N748">
        <v>0</v>
      </c>
      <c r="O748">
        <v>5</v>
      </c>
      <c r="P748" t="s">
        <v>31</v>
      </c>
    </row>
    <row r="749" spans="1:16">
      <c r="A749" t="s">
        <v>897</v>
      </c>
      <c r="B749" s="6">
        <v>46141.720138888886</v>
      </c>
      <c r="C749" s="2">
        <v>46141.835919594909</v>
      </c>
      <c r="D749" t="s">
        <v>23</v>
      </c>
      <c r="E749" t="s">
        <v>24</v>
      </c>
      <c r="F749" t="s">
        <v>51</v>
      </c>
      <c r="G749" t="s">
        <v>54</v>
      </c>
      <c r="H749" t="s">
        <v>35</v>
      </c>
      <c r="I749" t="s">
        <v>36</v>
      </c>
      <c r="J749" t="s">
        <v>52</v>
      </c>
      <c r="K749" t="s">
        <v>93</v>
      </c>
      <c r="L749" s="3">
        <v>22</v>
      </c>
      <c r="M749" s="3">
        <v>4</v>
      </c>
      <c r="N749">
        <v>0</v>
      </c>
      <c r="O749">
        <v>4</v>
      </c>
      <c r="P749" t="s">
        <v>31</v>
      </c>
    </row>
    <row r="750" spans="1:16">
      <c r="A750" t="s">
        <v>898</v>
      </c>
      <c r="B750" s="6">
        <v>46253.700694444444</v>
      </c>
      <c r="C750" s="2">
        <v>46253.991344097223</v>
      </c>
      <c r="D750" t="s">
        <v>23</v>
      </c>
      <c r="E750" t="s">
        <v>40</v>
      </c>
      <c r="F750" t="s">
        <v>51</v>
      </c>
      <c r="G750" t="s">
        <v>75</v>
      </c>
      <c r="H750" t="s">
        <v>35</v>
      </c>
      <c r="I750" t="s">
        <v>48</v>
      </c>
      <c r="J750" t="s">
        <v>37</v>
      </c>
      <c r="K750" t="s">
        <v>62</v>
      </c>
      <c r="L750" s="3">
        <v>113</v>
      </c>
      <c r="M750" s="3">
        <v>4</v>
      </c>
      <c r="N750">
        <v>0</v>
      </c>
      <c r="O750">
        <v>5</v>
      </c>
      <c r="P750" t="s">
        <v>31</v>
      </c>
    </row>
    <row r="751" spans="1:16">
      <c r="A751" t="s">
        <v>899</v>
      </c>
      <c r="B751" s="6">
        <v>46206.40347222222</v>
      </c>
      <c r="C751" s="2">
        <v>46208.309661354164</v>
      </c>
      <c r="D751" t="s">
        <v>23</v>
      </c>
      <c r="E751" t="s">
        <v>33</v>
      </c>
      <c r="F751" t="s">
        <v>51</v>
      </c>
      <c r="G751" t="s">
        <v>54</v>
      </c>
      <c r="H751" t="s">
        <v>42</v>
      </c>
      <c r="I751" t="s">
        <v>28</v>
      </c>
      <c r="J751" t="s">
        <v>58</v>
      </c>
      <c r="K751" t="s">
        <v>85</v>
      </c>
      <c r="L751" s="3">
        <v>292</v>
      </c>
      <c r="M751" s="3">
        <v>3</v>
      </c>
      <c r="N751">
        <v>0</v>
      </c>
      <c r="O751">
        <v>3</v>
      </c>
      <c r="P751" t="s">
        <v>31</v>
      </c>
    </row>
    <row r="752" spans="1:16">
      <c r="A752" t="s">
        <v>900</v>
      </c>
      <c r="B752" s="6">
        <v>46154.421527777777</v>
      </c>
      <c r="C752" s="2">
        <v>46155.523004502313</v>
      </c>
      <c r="D752" t="s">
        <v>23</v>
      </c>
      <c r="E752" t="s">
        <v>50</v>
      </c>
      <c r="F752" t="s">
        <v>51</v>
      </c>
      <c r="G752" t="s">
        <v>26</v>
      </c>
      <c r="H752" t="s">
        <v>27</v>
      </c>
      <c r="I752" t="s">
        <v>48</v>
      </c>
      <c r="J752" t="s">
        <v>37</v>
      </c>
      <c r="K752" t="s">
        <v>62</v>
      </c>
      <c r="L752" s="3">
        <v>83</v>
      </c>
      <c r="M752" s="3">
        <v>4</v>
      </c>
      <c r="N752">
        <v>0</v>
      </c>
      <c r="O752">
        <v>6</v>
      </c>
      <c r="P752" t="s">
        <v>31</v>
      </c>
    </row>
    <row r="753" spans="1:16">
      <c r="A753" t="s">
        <v>901</v>
      </c>
      <c r="B753" s="6">
        <v>46077.331944444442</v>
      </c>
      <c r="C753" s="2">
        <v>46077.744772905091</v>
      </c>
      <c r="D753" t="s">
        <v>23</v>
      </c>
      <c r="E753" t="s">
        <v>40</v>
      </c>
      <c r="F753" t="s">
        <v>25</v>
      </c>
      <c r="G753" t="s">
        <v>54</v>
      </c>
      <c r="H753" t="s">
        <v>42</v>
      </c>
      <c r="I753" t="s">
        <v>48</v>
      </c>
      <c r="J753" t="s">
        <v>58</v>
      </c>
      <c r="K753" t="s">
        <v>68</v>
      </c>
      <c r="L753" s="3">
        <v>53</v>
      </c>
      <c r="M753" s="3">
        <v>5</v>
      </c>
      <c r="N753">
        <v>0</v>
      </c>
      <c r="O753">
        <v>3</v>
      </c>
      <c r="P753" t="s">
        <v>31</v>
      </c>
    </row>
    <row r="754" spans="1:16">
      <c r="A754" t="s">
        <v>902</v>
      </c>
      <c r="B754" s="6" t="s">
        <v>903</v>
      </c>
      <c r="C754" s="2">
        <v>46261.711301481482</v>
      </c>
      <c r="D754" t="s">
        <v>23</v>
      </c>
      <c r="E754" t="s">
        <v>33</v>
      </c>
      <c r="F754" t="s">
        <v>51</v>
      </c>
      <c r="G754" t="s">
        <v>34</v>
      </c>
      <c r="H754" t="s">
        <v>27</v>
      </c>
      <c r="I754" t="s">
        <v>36</v>
      </c>
      <c r="J754" t="s">
        <v>37</v>
      </c>
      <c r="K754" t="s">
        <v>30</v>
      </c>
      <c r="L754" s="3">
        <v>317</v>
      </c>
      <c r="M754" s="3">
        <v>3</v>
      </c>
      <c r="N754">
        <v>0</v>
      </c>
      <c r="O754">
        <v>3</v>
      </c>
      <c r="P754" t="s">
        <v>31</v>
      </c>
    </row>
    <row r="755" spans="1:16">
      <c r="A755" t="s">
        <v>904</v>
      </c>
      <c r="B755" s="6">
        <v>46060.570833333331</v>
      </c>
      <c r="C755" s="2">
        <v>46061.224280833332</v>
      </c>
      <c r="D755" t="s">
        <v>23</v>
      </c>
      <c r="E755" t="s">
        <v>50</v>
      </c>
      <c r="F755" t="s">
        <v>41</v>
      </c>
      <c r="G755" t="s">
        <v>26</v>
      </c>
      <c r="H755" t="s">
        <v>27</v>
      </c>
      <c r="I755" t="s">
        <v>43</v>
      </c>
      <c r="J755" t="s">
        <v>76</v>
      </c>
      <c r="K755" t="s">
        <v>85</v>
      </c>
      <c r="L755" s="3">
        <v>142</v>
      </c>
      <c r="M755" s="3">
        <v>4</v>
      </c>
      <c r="N755">
        <v>0</v>
      </c>
      <c r="O755">
        <v>2</v>
      </c>
      <c r="P755" t="s">
        <v>31</v>
      </c>
    </row>
    <row r="756" spans="1:16">
      <c r="A756" t="s">
        <v>905</v>
      </c>
      <c r="B756" s="6">
        <v>46260.162499999999</v>
      </c>
      <c r="C756" s="2">
        <v>46260.325459953703</v>
      </c>
      <c r="D756" t="s">
        <v>23</v>
      </c>
      <c r="E756" t="s">
        <v>40</v>
      </c>
      <c r="F756" t="s">
        <v>51</v>
      </c>
      <c r="G756" t="s">
        <v>54</v>
      </c>
      <c r="H756" t="s">
        <v>35</v>
      </c>
      <c r="I756" t="s">
        <v>36</v>
      </c>
      <c r="J756" t="s">
        <v>29</v>
      </c>
      <c r="K756" t="s">
        <v>62</v>
      </c>
      <c r="L756" s="3">
        <v>38</v>
      </c>
      <c r="M756" s="3">
        <v>4</v>
      </c>
      <c r="N756">
        <v>1</v>
      </c>
      <c r="O756">
        <v>6</v>
      </c>
      <c r="P756" t="s">
        <v>31</v>
      </c>
    </row>
    <row r="757" spans="1:16">
      <c r="A757" t="s">
        <v>906</v>
      </c>
      <c r="B757" s="6">
        <v>46127.105555555558</v>
      </c>
      <c r="C757" s="2">
        <v>46129.547574733799</v>
      </c>
      <c r="D757" t="s">
        <v>23</v>
      </c>
      <c r="E757" t="s">
        <v>50</v>
      </c>
      <c r="F757" t="s">
        <v>41</v>
      </c>
      <c r="G757" t="s">
        <v>26</v>
      </c>
      <c r="H757" t="s">
        <v>35</v>
      </c>
      <c r="I757" t="s">
        <v>48</v>
      </c>
      <c r="J757" t="s">
        <v>76</v>
      </c>
      <c r="K757" t="s">
        <v>30</v>
      </c>
      <c r="L757" s="3">
        <v>99</v>
      </c>
      <c r="M757" s="3">
        <v>4</v>
      </c>
      <c r="N757">
        <v>0</v>
      </c>
      <c r="O757">
        <v>2</v>
      </c>
      <c r="P757" t="s">
        <v>31</v>
      </c>
    </row>
    <row r="758" spans="1:16">
      <c r="A758" t="s">
        <v>249</v>
      </c>
      <c r="B758" s="6">
        <v>46240.605555555558</v>
      </c>
      <c r="C758" s="2"/>
      <c r="D758" t="s">
        <v>74</v>
      </c>
      <c r="E758" t="s">
        <v>33</v>
      </c>
      <c r="F758" t="s">
        <v>41</v>
      </c>
      <c r="G758" t="s">
        <v>26</v>
      </c>
      <c r="H758" t="s">
        <v>42</v>
      </c>
      <c r="I758" t="s">
        <v>36</v>
      </c>
      <c r="J758" t="s">
        <v>67</v>
      </c>
      <c r="K758" t="s">
        <v>101</v>
      </c>
      <c r="L758" s="3">
        <v>261</v>
      </c>
      <c r="M758" s="3"/>
      <c r="N758">
        <v>0</v>
      </c>
      <c r="O758">
        <v>2</v>
      </c>
      <c r="P758" t="s">
        <v>31</v>
      </c>
    </row>
    <row r="759" spans="1:16">
      <c r="A759" t="s">
        <v>907</v>
      </c>
      <c r="B759" s="6">
        <v>46219.583333333336</v>
      </c>
      <c r="C759" s="2">
        <v>46219.92640074074</v>
      </c>
      <c r="D759" t="s">
        <v>23</v>
      </c>
      <c r="E759" t="s">
        <v>40</v>
      </c>
      <c r="F759" t="s">
        <v>25</v>
      </c>
      <c r="G759" t="s">
        <v>26</v>
      </c>
      <c r="H759" t="s">
        <v>35</v>
      </c>
      <c r="I759" t="s">
        <v>43</v>
      </c>
      <c r="J759" t="s">
        <v>37</v>
      </c>
      <c r="K759" t="s">
        <v>30</v>
      </c>
      <c r="L759" s="3">
        <v>111</v>
      </c>
      <c r="M759" s="3">
        <v>4</v>
      </c>
      <c r="N759">
        <v>0</v>
      </c>
      <c r="O759">
        <v>5</v>
      </c>
      <c r="P759" t="s">
        <v>31</v>
      </c>
    </row>
    <row r="760" spans="1:16">
      <c r="A760" t="s">
        <v>908</v>
      </c>
      <c r="B760" s="6">
        <v>46055.960416666669</v>
      </c>
      <c r="C760" s="2">
        <v>46056.754508182872</v>
      </c>
      <c r="D760" t="s">
        <v>23</v>
      </c>
      <c r="E760" t="s">
        <v>50</v>
      </c>
      <c r="F760" t="s">
        <v>51</v>
      </c>
      <c r="G760" t="s">
        <v>603</v>
      </c>
      <c r="H760" t="s">
        <v>42</v>
      </c>
      <c r="I760" t="s">
        <v>43</v>
      </c>
      <c r="J760" t="s">
        <v>37</v>
      </c>
      <c r="K760" t="s">
        <v>93</v>
      </c>
      <c r="L760" s="3">
        <v>115</v>
      </c>
      <c r="M760" s="3">
        <v>4</v>
      </c>
      <c r="N760">
        <v>1</v>
      </c>
      <c r="O760">
        <v>8</v>
      </c>
      <c r="P760" t="s">
        <v>31</v>
      </c>
    </row>
    <row r="761" spans="1:16">
      <c r="A761" t="s">
        <v>909</v>
      </c>
      <c r="B761" s="6">
        <v>46058.103472222225</v>
      </c>
      <c r="C761" s="2">
        <v>46063.045169305558</v>
      </c>
      <c r="D761" t="s">
        <v>23</v>
      </c>
      <c r="E761" t="s">
        <v>33</v>
      </c>
      <c r="F761" t="s">
        <v>65</v>
      </c>
      <c r="G761" t="s">
        <v>26</v>
      </c>
      <c r="H761" t="s">
        <v>35</v>
      </c>
      <c r="I761" t="s">
        <v>36</v>
      </c>
      <c r="J761" t="s">
        <v>760</v>
      </c>
      <c r="K761" t="s">
        <v>93</v>
      </c>
      <c r="L761" s="3">
        <v>294</v>
      </c>
      <c r="M761" s="3">
        <v>3</v>
      </c>
      <c r="N761">
        <v>0</v>
      </c>
      <c r="O761">
        <v>4</v>
      </c>
      <c r="P761" t="s">
        <v>31</v>
      </c>
    </row>
    <row r="762" spans="1:16">
      <c r="A762" t="s">
        <v>910</v>
      </c>
      <c r="B762" s="6">
        <v>46241.952777777777</v>
      </c>
      <c r="C762" s="2">
        <v>46242.100654293979</v>
      </c>
      <c r="D762" t="s">
        <v>23</v>
      </c>
      <c r="F762" t="s">
        <v>25</v>
      </c>
      <c r="G762" t="s">
        <v>75</v>
      </c>
      <c r="H762" t="s">
        <v>27</v>
      </c>
      <c r="I762" t="s">
        <v>36</v>
      </c>
      <c r="J762" t="s">
        <v>52</v>
      </c>
      <c r="K762" t="s">
        <v>85</v>
      </c>
      <c r="L762" s="3">
        <v>28</v>
      </c>
      <c r="M762" s="3">
        <v>4</v>
      </c>
      <c r="N762">
        <v>0</v>
      </c>
      <c r="O762">
        <v>3</v>
      </c>
      <c r="P762" t="s">
        <v>31</v>
      </c>
    </row>
    <row r="763" spans="1:16">
      <c r="A763" t="s">
        <v>911</v>
      </c>
      <c r="B763" s="6">
        <v>46227.893750000003</v>
      </c>
      <c r="C763" s="2">
        <v>46229.280420219904</v>
      </c>
      <c r="D763" t="s">
        <v>23</v>
      </c>
      <c r="E763" t="s">
        <v>50</v>
      </c>
      <c r="F763" t="s">
        <v>25</v>
      </c>
      <c r="G763" t="s">
        <v>66</v>
      </c>
      <c r="H763" t="s">
        <v>27</v>
      </c>
      <c r="I763" t="s">
        <v>48</v>
      </c>
      <c r="J763" t="s">
        <v>58</v>
      </c>
      <c r="K763" t="s">
        <v>55</v>
      </c>
      <c r="L763" s="3">
        <v>157</v>
      </c>
      <c r="M763" s="3">
        <v>4</v>
      </c>
      <c r="N763">
        <v>0</v>
      </c>
      <c r="O763">
        <v>5</v>
      </c>
      <c r="P763" t="s">
        <v>31</v>
      </c>
    </row>
    <row r="764" spans="1:16">
      <c r="A764" t="s">
        <v>912</v>
      </c>
      <c r="B764" s="6">
        <v>46069.2</v>
      </c>
      <c r="C764" s="2">
        <v>46071.18924792824</v>
      </c>
      <c r="D764" t="s">
        <v>23</v>
      </c>
      <c r="E764" t="s">
        <v>33</v>
      </c>
      <c r="F764" t="s">
        <v>25</v>
      </c>
      <c r="G764" t="s">
        <v>26</v>
      </c>
      <c r="H764" t="s">
        <v>35</v>
      </c>
      <c r="I764" t="s">
        <v>43</v>
      </c>
      <c r="J764" t="s">
        <v>405</v>
      </c>
      <c r="K764" t="s">
        <v>93</v>
      </c>
      <c r="L764" s="3">
        <v>354</v>
      </c>
      <c r="M764" s="3">
        <v>3</v>
      </c>
      <c r="N764">
        <v>0</v>
      </c>
      <c r="O764">
        <v>3</v>
      </c>
      <c r="P764" t="s">
        <v>31</v>
      </c>
    </row>
    <row r="765" spans="1:16">
      <c r="A765" t="s">
        <v>913</v>
      </c>
      <c r="B765" s="6">
        <v>46176.338194444441</v>
      </c>
      <c r="C765" s="2">
        <v>46177.849860694441</v>
      </c>
      <c r="D765" t="s">
        <v>23</v>
      </c>
      <c r="E765" t="s">
        <v>50</v>
      </c>
      <c r="F765" t="s">
        <v>51</v>
      </c>
      <c r="G765" t="s">
        <v>34</v>
      </c>
      <c r="H765" t="s">
        <v>42</v>
      </c>
      <c r="I765" t="s">
        <v>43</v>
      </c>
      <c r="J765" t="s">
        <v>37</v>
      </c>
      <c r="K765" t="s">
        <v>44</v>
      </c>
      <c r="L765" s="3">
        <v>300</v>
      </c>
      <c r="M765" s="3">
        <v>3</v>
      </c>
      <c r="N765">
        <v>0</v>
      </c>
      <c r="O765">
        <v>7</v>
      </c>
      <c r="P765" t="s">
        <v>31</v>
      </c>
    </row>
    <row r="766" spans="1:16">
      <c r="A766" t="s">
        <v>914</v>
      </c>
      <c r="B766" s="6">
        <v>46140.224305555559</v>
      </c>
      <c r="C766" s="2">
        <v>46140.792138321762</v>
      </c>
      <c r="D766" t="s">
        <v>23</v>
      </c>
      <c r="E766" t="s">
        <v>50</v>
      </c>
      <c r="F766" t="s">
        <v>51</v>
      </c>
      <c r="G766" t="s">
        <v>75</v>
      </c>
      <c r="H766" t="s">
        <v>35</v>
      </c>
      <c r="I766" t="s">
        <v>43</v>
      </c>
      <c r="J766" t="s">
        <v>67</v>
      </c>
      <c r="K766" t="s">
        <v>62</v>
      </c>
      <c r="L766" s="3">
        <v>85</v>
      </c>
      <c r="M766" s="3">
        <v>4</v>
      </c>
      <c r="N766">
        <v>1</v>
      </c>
      <c r="O766">
        <v>12</v>
      </c>
      <c r="P766" t="s">
        <v>31</v>
      </c>
    </row>
    <row r="767" spans="1:16">
      <c r="A767" t="s">
        <v>915</v>
      </c>
      <c r="B767" s="6">
        <v>46142.272916666669</v>
      </c>
      <c r="C767" s="2">
        <v>46142.361118159723</v>
      </c>
      <c r="D767" t="s">
        <v>23</v>
      </c>
      <c r="E767" t="s">
        <v>24</v>
      </c>
      <c r="F767" t="s">
        <v>65</v>
      </c>
      <c r="G767" t="s">
        <v>259</v>
      </c>
      <c r="H767" t="s">
        <v>27</v>
      </c>
      <c r="I767" t="s">
        <v>48</v>
      </c>
      <c r="J767" t="s">
        <v>52</v>
      </c>
      <c r="K767" t="s">
        <v>38</v>
      </c>
      <c r="L767" s="3">
        <v>17</v>
      </c>
      <c r="M767" s="3">
        <v>5</v>
      </c>
      <c r="N767">
        <v>0</v>
      </c>
      <c r="O767">
        <v>4</v>
      </c>
      <c r="P767" t="s">
        <v>31</v>
      </c>
    </row>
    <row r="768" spans="1:16">
      <c r="A768" t="s">
        <v>916</v>
      </c>
      <c r="B768" s="6">
        <v>46257.843055555553</v>
      </c>
      <c r="C768" s="2">
        <v>46258.692060694448</v>
      </c>
      <c r="D768" t="s">
        <v>23</v>
      </c>
      <c r="E768" t="s">
        <v>33</v>
      </c>
      <c r="F768" t="s">
        <v>51</v>
      </c>
      <c r="G768" t="s">
        <v>26</v>
      </c>
      <c r="H768" t="s">
        <v>35</v>
      </c>
      <c r="I768" t="s">
        <v>43</v>
      </c>
      <c r="J768" t="s">
        <v>52</v>
      </c>
      <c r="K768" t="s">
        <v>68</v>
      </c>
      <c r="L768" s="3">
        <v>74</v>
      </c>
      <c r="M768" s="3">
        <v>4</v>
      </c>
      <c r="N768">
        <v>0</v>
      </c>
      <c r="O768">
        <v>6</v>
      </c>
      <c r="P768" t="s">
        <v>31</v>
      </c>
    </row>
    <row r="769" spans="1:16">
      <c r="A769" t="s">
        <v>917</v>
      </c>
      <c r="B769" s="6">
        <v>46052.874305555553</v>
      </c>
      <c r="C769" s="2">
        <v>46053.241055682869</v>
      </c>
      <c r="D769" t="s">
        <v>23</v>
      </c>
      <c r="E769" t="s">
        <v>40</v>
      </c>
      <c r="F769" t="s">
        <v>65</v>
      </c>
      <c r="G769" t="s">
        <v>66</v>
      </c>
      <c r="H769" t="s">
        <v>35</v>
      </c>
      <c r="I769" t="s">
        <v>43</v>
      </c>
      <c r="J769" t="s">
        <v>58</v>
      </c>
      <c r="K769" t="s">
        <v>71</v>
      </c>
      <c r="L769" s="3">
        <v>32</v>
      </c>
      <c r="M769" s="3">
        <v>4</v>
      </c>
      <c r="N769">
        <v>0</v>
      </c>
      <c r="O769">
        <v>5</v>
      </c>
      <c r="P769" t="s">
        <v>31</v>
      </c>
    </row>
    <row r="770" spans="1:16">
      <c r="A770" t="s">
        <v>918</v>
      </c>
      <c r="B770" s="6">
        <v>46225.613888888889</v>
      </c>
      <c r="C770" s="2">
        <v>46227.342709305558</v>
      </c>
      <c r="D770" t="s">
        <v>23</v>
      </c>
      <c r="E770" t="s">
        <v>50</v>
      </c>
      <c r="F770" t="s">
        <v>51</v>
      </c>
      <c r="G770" t="s">
        <v>34</v>
      </c>
      <c r="H770" t="s">
        <v>42</v>
      </c>
      <c r="I770" t="s">
        <v>28</v>
      </c>
      <c r="J770" t="s">
        <v>76</v>
      </c>
      <c r="K770" t="s">
        <v>38</v>
      </c>
      <c r="L770" s="3">
        <v>100</v>
      </c>
      <c r="M770" s="3">
        <v>4</v>
      </c>
      <c r="N770">
        <v>0</v>
      </c>
      <c r="O770">
        <v>6</v>
      </c>
      <c r="P770" t="s">
        <v>31</v>
      </c>
    </row>
    <row r="771" spans="1:16">
      <c r="A771" t="s">
        <v>919</v>
      </c>
      <c r="B771" s="6" t="s">
        <v>920</v>
      </c>
      <c r="C771" s="2">
        <v>46072.735250057871</v>
      </c>
      <c r="D771" t="s">
        <v>23</v>
      </c>
      <c r="E771" t="s">
        <v>33</v>
      </c>
      <c r="F771" t="s">
        <v>51</v>
      </c>
      <c r="G771" t="s">
        <v>54</v>
      </c>
      <c r="H771" t="s">
        <v>42</v>
      </c>
      <c r="I771" t="s">
        <v>43</v>
      </c>
      <c r="J771" t="s">
        <v>76</v>
      </c>
      <c r="K771" t="s">
        <v>85</v>
      </c>
      <c r="L771" s="3">
        <v>202</v>
      </c>
      <c r="M771" s="3">
        <v>3</v>
      </c>
      <c r="N771">
        <v>0</v>
      </c>
      <c r="O771">
        <v>5</v>
      </c>
      <c r="P771" t="s">
        <v>31</v>
      </c>
    </row>
    <row r="772" spans="1:16">
      <c r="A772" t="s">
        <v>921</v>
      </c>
      <c r="B772" s="6">
        <v>46231.921527777777</v>
      </c>
      <c r="C772" s="2">
        <v>46232.412881018521</v>
      </c>
      <c r="D772" t="s">
        <v>23</v>
      </c>
      <c r="E772" t="s">
        <v>50</v>
      </c>
      <c r="F772" t="s">
        <v>25</v>
      </c>
      <c r="G772" t="s">
        <v>66</v>
      </c>
      <c r="H772" t="s">
        <v>42</v>
      </c>
      <c r="I772" t="s">
        <v>43</v>
      </c>
      <c r="J772" t="s">
        <v>29</v>
      </c>
      <c r="K772" t="s">
        <v>44</v>
      </c>
      <c r="L772" s="3">
        <v>36</v>
      </c>
      <c r="M772" s="3">
        <v>4</v>
      </c>
      <c r="N772">
        <v>0</v>
      </c>
      <c r="O772">
        <v>7</v>
      </c>
      <c r="P772" t="s">
        <v>31</v>
      </c>
    </row>
    <row r="773" spans="1:16">
      <c r="A773" t="s">
        <v>922</v>
      </c>
      <c r="B773" s="6">
        <v>46157.669444444444</v>
      </c>
      <c r="C773" s="2">
        <v>46159.760297893517</v>
      </c>
      <c r="D773" t="s">
        <v>23</v>
      </c>
      <c r="E773" t="s">
        <v>33</v>
      </c>
      <c r="F773" t="s">
        <v>65</v>
      </c>
      <c r="G773" t="s">
        <v>66</v>
      </c>
      <c r="H773" t="s">
        <v>42</v>
      </c>
      <c r="I773" t="s">
        <v>28</v>
      </c>
      <c r="J773" t="s">
        <v>58</v>
      </c>
      <c r="K773" t="s">
        <v>85</v>
      </c>
      <c r="L773" s="3" t="s">
        <v>923</v>
      </c>
      <c r="M773" s="3">
        <v>4</v>
      </c>
      <c r="N773">
        <v>0</v>
      </c>
      <c r="O773">
        <v>6</v>
      </c>
      <c r="P773" t="s">
        <v>31</v>
      </c>
    </row>
    <row r="774" spans="1:16">
      <c r="A774" t="s">
        <v>924</v>
      </c>
      <c r="B774" s="6">
        <v>46052.902777777781</v>
      </c>
      <c r="C774" s="2">
        <v>46056.131777858798</v>
      </c>
      <c r="D774" t="s">
        <v>23</v>
      </c>
      <c r="E774" t="s">
        <v>33</v>
      </c>
      <c r="F774" t="s">
        <v>65</v>
      </c>
      <c r="G774" t="s">
        <v>26</v>
      </c>
      <c r="H774" t="s">
        <v>42</v>
      </c>
      <c r="I774" t="s">
        <v>28</v>
      </c>
      <c r="J774" t="s">
        <v>37</v>
      </c>
      <c r="K774" t="s">
        <v>62</v>
      </c>
      <c r="L774" s="3">
        <v>441</v>
      </c>
      <c r="M774" s="3">
        <v>2</v>
      </c>
      <c r="N774">
        <v>0</v>
      </c>
      <c r="O774">
        <v>13</v>
      </c>
      <c r="P774" t="s">
        <v>63</v>
      </c>
    </row>
    <row r="775" spans="1:16">
      <c r="A775" t="s">
        <v>925</v>
      </c>
      <c r="B775" s="6">
        <v>46037.268055555556</v>
      </c>
      <c r="C775" s="2">
        <v>46037.419876412037</v>
      </c>
      <c r="D775" t="s">
        <v>23</v>
      </c>
      <c r="E775" t="s">
        <v>24</v>
      </c>
      <c r="F775" t="s">
        <v>234</v>
      </c>
      <c r="G775" t="s">
        <v>54</v>
      </c>
      <c r="H775" t="s">
        <v>35</v>
      </c>
      <c r="I775" t="s">
        <v>48</v>
      </c>
      <c r="J775" t="s">
        <v>58</v>
      </c>
      <c r="K775" t="s">
        <v>71</v>
      </c>
      <c r="L775" s="3">
        <v>15</v>
      </c>
      <c r="M775" s="3">
        <v>4</v>
      </c>
      <c r="N775">
        <v>1</v>
      </c>
      <c r="O775">
        <v>9</v>
      </c>
      <c r="P775" t="s">
        <v>31</v>
      </c>
    </row>
    <row r="776" spans="1:16">
      <c r="A776" t="s">
        <v>926</v>
      </c>
      <c r="B776" s="6">
        <v>46116.026388888888</v>
      </c>
      <c r="C776" s="2">
        <v>46116.379433587965</v>
      </c>
      <c r="D776" t="s">
        <v>23</v>
      </c>
      <c r="E776" t="s">
        <v>33</v>
      </c>
      <c r="F776" t="s">
        <v>25</v>
      </c>
      <c r="G776" t="s">
        <v>26</v>
      </c>
      <c r="H776" t="s">
        <v>35</v>
      </c>
      <c r="I776" t="s">
        <v>28</v>
      </c>
      <c r="J776" t="s">
        <v>29</v>
      </c>
      <c r="K776" t="s">
        <v>93</v>
      </c>
      <c r="L776" s="3">
        <v>281</v>
      </c>
      <c r="M776" s="3">
        <v>4</v>
      </c>
      <c r="N776">
        <v>0</v>
      </c>
      <c r="O776">
        <v>5</v>
      </c>
      <c r="P776" t="s">
        <v>31</v>
      </c>
    </row>
    <row r="777" spans="1:16">
      <c r="A777" t="s">
        <v>927</v>
      </c>
      <c r="B777" s="6">
        <v>46120.675000000003</v>
      </c>
      <c r="C777" s="2">
        <v>46121.668683067131</v>
      </c>
      <c r="D777" t="s">
        <v>23</v>
      </c>
      <c r="E777" t="s">
        <v>50</v>
      </c>
      <c r="F777" t="s">
        <v>41</v>
      </c>
      <c r="G777" t="s">
        <v>66</v>
      </c>
      <c r="H777" t="s">
        <v>35</v>
      </c>
      <c r="I777" t="s">
        <v>28</v>
      </c>
      <c r="J777" t="s">
        <v>37</v>
      </c>
      <c r="K777" t="s">
        <v>62</v>
      </c>
      <c r="L777" s="3">
        <v>98</v>
      </c>
      <c r="M777" s="3">
        <v>4</v>
      </c>
      <c r="N777">
        <v>0</v>
      </c>
      <c r="O777">
        <v>5</v>
      </c>
      <c r="P777" t="s">
        <v>31</v>
      </c>
    </row>
    <row r="778" spans="1:16">
      <c r="A778" t="s">
        <v>928</v>
      </c>
      <c r="B778" s="6">
        <v>46252.637499999997</v>
      </c>
      <c r="C778" s="2">
        <v>46253.665883310183</v>
      </c>
      <c r="D778" t="s">
        <v>23</v>
      </c>
      <c r="E778" t="s">
        <v>33</v>
      </c>
      <c r="F778" t="s">
        <v>51</v>
      </c>
      <c r="G778" t="s">
        <v>75</v>
      </c>
      <c r="H778" t="s">
        <v>42</v>
      </c>
      <c r="I778" t="s">
        <v>43</v>
      </c>
      <c r="J778" t="s">
        <v>37</v>
      </c>
      <c r="K778" t="s">
        <v>71</v>
      </c>
      <c r="L778" s="3" t="s">
        <v>929</v>
      </c>
      <c r="M778" s="3">
        <v>4</v>
      </c>
      <c r="N778">
        <v>0</v>
      </c>
      <c r="O778">
        <v>6</v>
      </c>
      <c r="P778" t="s">
        <v>31</v>
      </c>
    </row>
    <row r="779" spans="1:16">
      <c r="A779" t="s">
        <v>930</v>
      </c>
      <c r="B779" s="6">
        <v>46250.321527777778</v>
      </c>
      <c r="C779" s="2">
        <v>46250.499691736113</v>
      </c>
      <c r="D779" t="s">
        <v>23</v>
      </c>
      <c r="E779" t="s">
        <v>50</v>
      </c>
      <c r="F779" t="s">
        <v>25</v>
      </c>
      <c r="G779" t="s">
        <v>26</v>
      </c>
      <c r="H779" t="s">
        <v>35</v>
      </c>
      <c r="I779" t="s">
        <v>36</v>
      </c>
      <c r="J779" t="s">
        <v>52</v>
      </c>
      <c r="K779" t="s">
        <v>30</v>
      </c>
      <c r="L779" s="3">
        <v>39</v>
      </c>
      <c r="M779" s="3">
        <v>5</v>
      </c>
      <c r="N779">
        <v>0</v>
      </c>
      <c r="O779">
        <v>4</v>
      </c>
      <c r="P779" t="s">
        <v>31</v>
      </c>
    </row>
    <row r="780" spans="1:16">
      <c r="A780" t="s">
        <v>931</v>
      </c>
      <c r="B780" s="6">
        <v>46089.47152777778</v>
      </c>
      <c r="C780" s="2">
        <v>46090.28448761574</v>
      </c>
      <c r="D780" t="s">
        <v>23</v>
      </c>
      <c r="E780" t="s">
        <v>33</v>
      </c>
      <c r="F780" t="s">
        <v>65</v>
      </c>
      <c r="G780" t="s">
        <v>26</v>
      </c>
      <c r="H780" t="s">
        <v>27</v>
      </c>
      <c r="I780" t="s">
        <v>28</v>
      </c>
      <c r="J780" t="s">
        <v>52</v>
      </c>
      <c r="K780" t="s">
        <v>30</v>
      </c>
      <c r="L780" s="3">
        <v>272</v>
      </c>
      <c r="M780" s="3">
        <v>3</v>
      </c>
      <c r="N780">
        <v>0</v>
      </c>
      <c r="O780">
        <v>5</v>
      </c>
      <c r="P780" t="s">
        <v>31</v>
      </c>
    </row>
    <row r="781" spans="1:16">
      <c r="A781" t="s">
        <v>932</v>
      </c>
      <c r="B781" s="6">
        <v>46037.87777777778</v>
      </c>
      <c r="C781" s="2">
        <v>46038.220161689816</v>
      </c>
      <c r="D781" t="s">
        <v>23</v>
      </c>
      <c r="E781" t="s">
        <v>33</v>
      </c>
      <c r="F781" t="s">
        <v>51</v>
      </c>
      <c r="G781" t="s">
        <v>66</v>
      </c>
      <c r="H781" t="s">
        <v>42</v>
      </c>
      <c r="I781" t="s">
        <v>48</v>
      </c>
      <c r="J781" t="s">
        <v>29</v>
      </c>
      <c r="K781" t="s">
        <v>44</v>
      </c>
      <c r="L781" s="3">
        <v>93</v>
      </c>
      <c r="M781" s="3">
        <v>4</v>
      </c>
      <c r="N781">
        <v>0</v>
      </c>
      <c r="O781">
        <v>6</v>
      </c>
      <c r="P781" t="s">
        <v>31</v>
      </c>
    </row>
    <row r="782" spans="1:16">
      <c r="A782" t="s">
        <v>933</v>
      </c>
      <c r="B782" s="6" t="s">
        <v>934</v>
      </c>
      <c r="C782" s="2">
        <v>46092.189663599536</v>
      </c>
      <c r="D782" t="s">
        <v>23</v>
      </c>
      <c r="E782" t="s">
        <v>33</v>
      </c>
      <c r="F782" t="s">
        <v>65</v>
      </c>
      <c r="G782" t="s">
        <v>26</v>
      </c>
      <c r="H782" t="s">
        <v>35</v>
      </c>
      <c r="I782" t="s">
        <v>28</v>
      </c>
      <c r="J782" t="s">
        <v>52</v>
      </c>
      <c r="K782" t="s">
        <v>71</v>
      </c>
      <c r="L782" s="3">
        <v>236</v>
      </c>
      <c r="M782" s="3">
        <v>4</v>
      </c>
      <c r="N782">
        <v>0</v>
      </c>
      <c r="O782">
        <v>4</v>
      </c>
      <c r="P782" t="s">
        <v>31</v>
      </c>
    </row>
    <row r="783" spans="1:16">
      <c r="A783" t="s">
        <v>935</v>
      </c>
      <c r="B783" s="6">
        <v>46114.839583333334</v>
      </c>
      <c r="C783" s="2">
        <v>46115.771732511574</v>
      </c>
      <c r="D783" t="s">
        <v>23</v>
      </c>
      <c r="E783" t="s">
        <v>33</v>
      </c>
      <c r="F783" t="s">
        <v>51</v>
      </c>
      <c r="G783" t="s">
        <v>66</v>
      </c>
      <c r="H783" t="s">
        <v>35</v>
      </c>
      <c r="I783" t="s">
        <v>48</v>
      </c>
      <c r="J783" t="s">
        <v>37</v>
      </c>
      <c r="K783" t="s">
        <v>93</v>
      </c>
      <c r="L783" s="3">
        <v>176</v>
      </c>
      <c r="M783" s="3">
        <v>4</v>
      </c>
      <c r="N783">
        <v>0</v>
      </c>
      <c r="O783">
        <v>5</v>
      </c>
      <c r="P783" t="s">
        <v>31</v>
      </c>
    </row>
    <row r="784" spans="1:16">
      <c r="A784" t="s">
        <v>936</v>
      </c>
      <c r="B784" s="6">
        <v>46028.892361111109</v>
      </c>
      <c r="C784" s="2">
        <v>46030.483157939816</v>
      </c>
      <c r="D784" t="s">
        <v>23</v>
      </c>
      <c r="E784" t="s">
        <v>33</v>
      </c>
      <c r="F784" t="s">
        <v>25</v>
      </c>
      <c r="G784" t="s">
        <v>34</v>
      </c>
      <c r="H784" t="s">
        <v>42</v>
      </c>
      <c r="I784" t="s">
        <v>28</v>
      </c>
      <c r="J784" t="s">
        <v>67</v>
      </c>
      <c r="K784" t="s">
        <v>101</v>
      </c>
      <c r="L784" s="3">
        <v>146</v>
      </c>
      <c r="M784" s="3">
        <v>4</v>
      </c>
      <c r="N784">
        <v>0</v>
      </c>
      <c r="O784">
        <v>2</v>
      </c>
      <c r="P784" t="s">
        <v>31</v>
      </c>
    </row>
    <row r="785" spans="1:16">
      <c r="A785" t="s">
        <v>937</v>
      </c>
      <c r="B785" s="6">
        <v>46239.815972222219</v>
      </c>
      <c r="C785" s="2">
        <v>46241.085594016207</v>
      </c>
      <c r="D785" t="s">
        <v>23</v>
      </c>
      <c r="E785" t="s">
        <v>595</v>
      </c>
      <c r="F785" t="s">
        <v>41</v>
      </c>
      <c r="G785" t="s">
        <v>26</v>
      </c>
      <c r="H785" t="s">
        <v>35</v>
      </c>
      <c r="I785" t="s">
        <v>28</v>
      </c>
      <c r="J785" t="s">
        <v>52</v>
      </c>
      <c r="K785" t="s">
        <v>30</v>
      </c>
      <c r="L785" s="3">
        <v>52</v>
      </c>
      <c r="M785" s="3">
        <v>4</v>
      </c>
      <c r="N785">
        <v>0</v>
      </c>
      <c r="O785">
        <v>7</v>
      </c>
      <c r="P785" t="s">
        <v>31</v>
      </c>
    </row>
    <row r="786" spans="1:16">
      <c r="A786" t="s">
        <v>938</v>
      </c>
      <c r="B786" s="6">
        <v>46149.62222222222</v>
      </c>
      <c r="C786" s="2">
        <v>46150.14928633102</v>
      </c>
      <c r="D786" t="s">
        <v>23</v>
      </c>
      <c r="E786" t="s">
        <v>50</v>
      </c>
      <c r="F786" t="s">
        <v>51</v>
      </c>
      <c r="G786" t="s">
        <v>26</v>
      </c>
      <c r="H786" t="s">
        <v>27</v>
      </c>
      <c r="I786" t="s">
        <v>28</v>
      </c>
      <c r="J786" t="s">
        <v>29</v>
      </c>
      <c r="K786" t="s">
        <v>55</v>
      </c>
      <c r="L786" s="3">
        <v>60</v>
      </c>
      <c r="M786" s="3">
        <v>4</v>
      </c>
      <c r="N786">
        <v>0</v>
      </c>
      <c r="O786">
        <v>4</v>
      </c>
      <c r="P786" t="s">
        <v>31</v>
      </c>
    </row>
    <row r="787" spans="1:16">
      <c r="A787" t="s">
        <v>939</v>
      </c>
      <c r="B787" s="6">
        <v>46099.950694444444</v>
      </c>
      <c r="C787" s="2">
        <v>46100.271319918982</v>
      </c>
      <c r="D787" t="s">
        <v>23</v>
      </c>
      <c r="E787" t="s">
        <v>40</v>
      </c>
      <c r="F787" t="s">
        <v>25</v>
      </c>
      <c r="G787" t="s">
        <v>66</v>
      </c>
      <c r="H787" t="s">
        <v>27</v>
      </c>
      <c r="I787" t="s">
        <v>28</v>
      </c>
      <c r="J787" t="s">
        <v>52</v>
      </c>
      <c r="K787" t="s">
        <v>101</v>
      </c>
      <c r="L787" s="3">
        <v>55</v>
      </c>
      <c r="M787" s="3">
        <v>5</v>
      </c>
      <c r="N787">
        <v>0</v>
      </c>
      <c r="O787">
        <v>5</v>
      </c>
      <c r="P787" t="s">
        <v>31</v>
      </c>
    </row>
    <row r="788" spans="1:16">
      <c r="A788" t="s">
        <v>940</v>
      </c>
      <c r="B788" s="6">
        <v>46212.715277777781</v>
      </c>
      <c r="C788" s="2">
        <v>46212.932542800925</v>
      </c>
      <c r="D788" t="s">
        <v>23</v>
      </c>
      <c r="E788" t="s">
        <v>24</v>
      </c>
      <c r="F788" t="s">
        <v>100</v>
      </c>
      <c r="G788" t="s">
        <v>66</v>
      </c>
      <c r="H788" t="s">
        <v>27</v>
      </c>
      <c r="I788" t="s">
        <v>36</v>
      </c>
      <c r="J788" t="s">
        <v>37</v>
      </c>
      <c r="K788" t="s">
        <v>93</v>
      </c>
      <c r="L788" s="3">
        <v>12</v>
      </c>
      <c r="M788" s="3">
        <v>4</v>
      </c>
      <c r="N788">
        <v>2</v>
      </c>
      <c r="O788">
        <v>8</v>
      </c>
      <c r="P788" t="s">
        <v>31</v>
      </c>
    </row>
    <row r="789" spans="1:16">
      <c r="A789" t="s">
        <v>941</v>
      </c>
      <c r="B789" s="6">
        <v>46215.449305555558</v>
      </c>
      <c r="C789" s="2">
        <v>46215.730034699074</v>
      </c>
      <c r="D789" t="s">
        <v>23</v>
      </c>
      <c r="E789" t="s">
        <v>40</v>
      </c>
      <c r="F789" t="s">
        <v>25</v>
      </c>
      <c r="G789" t="s">
        <v>54</v>
      </c>
      <c r="H789" t="s">
        <v>35</v>
      </c>
      <c r="I789" t="s">
        <v>48</v>
      </c>
      <c r="J789" t="s">
        <v>52</v>
      </c>
      <c r="K789" t="s">
        <v>71</v>
      </c>
      <c r="L789" s="3">
        <v>55</v>
      </c>
      <c r="M789" s="3">
        <v>4</v>
      </c>
      <c r="N789">
        <v>1</v>
      </c>
      <c r="O789">
        <v>11</v>
      </c>
      <c r="P789" t="s">
        <v>31</v>
      </c>
    </row>
    <row r="790" spans="1:16">
      <c r="A790" t="s">
        <v>942</v>
      </c>
      <c r="B790" s="6">
        <v>46251.297222222223</v>
      </c>
      <c r="C790" s="2">
        <v>46251.778098935189</v>
      </c>
      <c r="D790" t="s">
        <v>23</v>
      </c>
      <c r="E790" t="s">
        <v>50</v>
      </c>
      <c r="F790" t="s">
        <v>332</v>
      </c>
      <c r="G790" t="s">
        <v>26</v>
      </c>
      <c r="H790" t="s">
        <v>42</v>
      </c>
      <c r="I790" t="s">
        <v>36</v>
      </c>
      <c r="J790" t="s">
        <v>29</v>
      </c>
      <c r="K790" t="s">
        <v>68</v>
      </c>
      <c r="L790" s="3">
        <v>149</v>
      </c>
      <c r="M790" s="3">
        <v>4</v>
      </c>
      <c r="N790">
        <v>0</v>
      </c>
      <c r="O790">
        <v>2</v>
      </c>
      <c r="P790" t="s">
        <v>31</v>
      </c>
    </row>
    <row r="791" spans="1:16">
      <c r="A791" t="s">
        <v>553</v>
      </c>
      <c r="B791" s="6">
        <v>46208.426388888889</v>
      </c>
      <c r="C791" s="2">
        <v>46211.435260243059</v>
      </c>
      <c r="D791" t="s">
        <v>23</v>
      </c>
      <c r="E791" t="s">
        <v>33</v>
      </c>
      <c r="F791" t="s">
        <v>25</v>
      </c>
      <c r="G791" t="s">
        <v>26</v>
      </c>
      <c r="H791" t="s">
        <v>35</v>
      </c>
      <c r="I791" t="s">
        <v>48</v>
      </c>
      <c r="J791" t="s">
        <v>37</v>
      </c>
      <c r="K791" t="s">
        <v>38</v>
      </c>
      <c r="L791" s="3">
        <v>330</v>
      </c>
      <c r="M791" s="3">
        <v>3</v>
      </c>
      <c r="N791">
        <v>0</v>
      </c>
      <c r="O791">
        <v>6</v>
      </c>
      <c r="P791" t="s">
        <v>31</v>
      </c>
    </row>
    <row r="792" spans="1:16">
      <c r="A792" t="s">
        <v>943</v>
      </c>
      <c r="B792" s="6">
        <v>46256.098611111112</v>
      </c>
      <c r="C792" s="2">
        <v>46257.200522870371</v>
      </c>
      <c r="D792" t="s">
        <v>23</v>
      </c>
      <c r="E792" t="s">
        <v>33</v>
      </c>
      <c r="F792" t="s">
        <v>65</v>
      </c>
      <c r="G792" t="s">
        <v>26</v>
      </c>
      <c r="H792" t="s">
        <v>27</v>
      </c>
      <c r="I792" t="s">
        <v>48</v>
      </c>
      <c r="J792" t="s">
        <v>37</v>
      </c>
      <c r="K792" t="s">
        <v>85</v>
      </c>
      <c r="L792" s="3">
        <v>129</v>
      </c>
      <c r="M792" s="3">
        <v>4</v>
      </c>
      <c r="N792">
        <v>0</v>
      </c>
      <c r="O792">
        <v>4</v>
      </c>
      <c r="P792" t="s">
        <v>31</v>
      </c>
    </row>
    <row r="793" spans="1:16">
      <c r="A793" t="s">
        <v>944</v>
      </c>
      <c r="B793" s="6">
        <v>46174.03125</v>
      </c>
      <c r="C793" s="2">
        <v>46174.247044166666</v>
      </c>
      <c r="D793" t="s">
        <v>23</v>
      </c>
      <c r="E793" t="s">
        <v>50</v>
      </c>
      <c r="F793" t="s">
        <v>25</v>
      </c>
      <c r="G793" t="s">
        <v>603</v>
      </c>
      <c r="H793" t="s">
        <v>42</v>
      </c>
      <c r="I793" t="s">
        <v>43</v>
      </c>
      <c r="J793" t="s">
        <v>52</v>
      </c>
      <c r="K793" t="s">
        <v>55</v>
      </c>
      <c r="L793" s="3">
        <v>72</v>
      </c>
      <c r="M793" s="3">
        <v>4</v>
      </c>
      <c r="N793">
        <v>1</v>
      </c>
      <c r="O793">
        <v>7</v>
      </c>
      <c r="P793" t="s">
        <v>31</v>
      </c>
    </row>
    <row r="794" spans="1:16">
      <c r="A794" t="s">
        <v>945</v>
      </c>
      <c r="B794" s="6">
        <v>46239.612500000003</v>
      </c>
      <c r="C794" s="2">
        <v>46240.925214733797</v>
      </c>
      <c r="D794" t="s">
        <v>23</v>
      </c>
      <c r="E794" t="s">
        <v>40</v>
      </c>
      <c r="F794" t="s">
        <v>51</v>
      </c>
      <c r="G794" t="s">
        <v>26</v>
      </c>
      <c r="H794" t="s">
        <v>27</v>
      </c>
      <c r="I794" t="s">
        <v>28</v>
      </c>
      <c r="J794" t="s">
        <v>37</v>
      </c>
      <c r="K794" t="s">
        <v>44</v>
      </c>
      <c r="L794" s="3">
        <v>33</v>
      </c>
      <c r="M794" s="3">
        <v>4</v>
      </c>
      <c r="N794">
        <v>0</v>
      </c>
      <c r="O794">
        <v>5</v>
      </c>
      <c r="P794" t="s">
        <v>63</v>
      </c>
    </row>
    <row r="795" spans="1:16">
      <c r="A795" t="s">
        <v>946</v>
      </c>
      <c r="B795" s="6">
        <v>46060.883333333331</v>
      </c>
      <c r="C795" s="2">
        <v>46061.676274826386</v>
      </c>
      <c r="D795" t="s">
        <v>23</v>
      </c>
      <c r="E795" t="s">
        <v>50</v>
      </c>
      <c r="F795" t="s">
        <v>51</v>
      </c>
      <c r="G795" t="s">
        <v>75</v>
      </c>
      <c r="H795" t="s">
        <v>35</v>
      </c>
      <c r="I795" t="s">
        <v>48</v>
      </c>
      <c r="J795" t="s">
        <v>52</v>
      </c>
      <c r="K795" t="s">
        <v>30</v>
      </c>
      <c r="L795" s="3">
        <v>181</v>
      </c>
      <c r="M795" s="3">
        <v>4</v>
      </c>
      <c r="N795">
        <v>0</v>
      </c>
      <c r="O795">
        <v>6</v>
      </c>
      <c r="P795" t="s">
        <v>31</v>
      </c>
    </row>
    <row r="796" spans="1:16">
      <c r="A796" t="s">
        <v>947</v>
      </c>
      <c r="B796" s="6">
        <v>46070.372916666667</v>
      </c>
      <c r="C796" s="2">
        <v>46071.025945752313</v>
      </c>
      <c r="D796" t="s">
        <v>23</v>
      </c>
      <c r="E796" t="s">
        <v>50</v>
      </c>
      <c r="F796" t="s">
        <v>41</v>
      </c>
      <c r="G796" t="s">
        <v>66</v>
      </c>
      <c r="H796" t="s">
        <v>35</v>
      </c>
      <c r="I796" t="s">
        <v>43</v>
      </c>
      <c r="J796" t="s">
        <v>37</v>
      </c>
      <c r="K796" t="s">
        <v>101</v>
      </c>
      <c r="L796" s="3">
        <v>308</v>
      </c>
      <c r="M796" s="3">
        <v>4</v>
      </c>
      <c r="N796">
        <v>0</v>
      </c>
      <c r="O796">
        <v>7</v>
      </c>
      <c r="P796" t="s">
        <v>31</v>
      </c>
    </row>
    <row r="797" spans="1:16">
      <c r="A797" t="s">
        <v>948</v>
      </c>
      <c r="B797" s="6">
        <v>46039.756249999999</v>
      </c>
      <c r="C797" s="2"/>
      <c r="D797" t="s">
        <v>57</v>
      </c>
      <c r="E797" t="s">
        <v>50</v>
      </c>
      <c r="F797" t="s">
        <v>65</v>
      </c>
      <c r="G797" t="s">
        <v>66</v>
      </c>
      <c r="H797" t="s">
        <v>42</v>
      </c>
      <c r="I797" t="s">
        <v>36</v>
      </c>
      <c r="J797" t="s">
        <v>37</v>
      </c>
      <c r="K797" t="s">
        <v>30</v>
      </c>
      <c r="L797" s="3">
        <v>67</v>
      </c>
      <c r="M797" s="3"/>
      <c r="N797">
        <v>0</v>
      </c>
      <c r="O797">
        <v>3</v>
      </c>
      <c r="P797" t="s">
        <v>31</v>
      </c>
    </row>
    <row r="798" spans="1:16">
      <c r="A798" t="s">
        <v>949</v>
      </c>
      <c r="B798" s="6">
        <v>46173.588888888888</v>
      </c>
      <c r="C798" s="2">
        <v>46173.753974409723</v>
      </c>
      <c r="D798" t="s">
        <v>23</v>
      </c>
      <c r="E798" t="s">
        <v>40</v>
      </c>
      <c r="F798" t="s">
        <v>41</v>
      </c>
      <c r="G798" t="s">
        <v>26</v>
      </c>
      <c r="H798" t="s">
        <v>27</v>
      </c>
      <c r="I798" t="s">
        <v>36</v>
      </c>
      <c r="J798" t="s">
        <v>52</v>
      </c>
      <c r="K798" t="s">
        <v>38</v>
      </c>
      <c r="L798" s="3">
        <v>37</v>
      </c>
      <c r="M798" s="3">
        <v>4</v>
      </c>
      <c r="N798">
        <v>1</v>
      </c>
      <c r="O798">
        <v>8</v>
      </c>
      <c r="P798" t="s">
        <v>31</v>
      </c>
    </row>
    <row r="799" spans="1:16">
      <c r="A799" t="s">
        <v>950</v>
      </c>
      <c r="B799" s="6">
        <v>46225.200694444444</v>
      </c>
      <c r="C799" s="2">
        <v>46225.750278900465</v>
      </c>
      <c r="D799" t="s">
        <v>23</v>
      </c>
      <c r="E799" t="s">
        <v>50</v>
      </c>
      <c r="F799" t="s">
        <v>41</v>
      </c>
      <c r="G799" t="s">
        <v>26</v>
      </c>
      <c r="H799" t="s">
        <v>35</v>
      </c>
      <c r="I799" t="s">
        <v>48</v>
      </c>
      <c r="J799" t="s">
        <v>37</v>
      </c>
      <c r="K799" t="s">
        <v>38</v>
      </c>
      <c r="L799" s="3">
        <v>146</v>
      </c>
      <c r="M799" s="3">
        <v>4</v>
      </c>
      <c r="N799">
        <v>0</v>
      </c>
      <c r="O799">
        <v>6</v>
      </c>
      <c r="P799" t="s">
        <v>31</v>
      </c>
    </row>
    <row r="800" spans="1:16">
      <c r="A800" t="s">
        <v>951</v>
      </c>
      <c r="B800" s="6">
        <v>46155.659722222219</v>
      </c>
      <c r="C800" s="2">
        <v>46155.906737777776</v>
      </c>
      <c r="D800" t="s">
        <v>23</v>
      </c>
      <c r="E800" t="s">
        <v>40</v>
      </c>
      <c r="F800" t="s">
        <v>51</v>
      </c>
      <c r="G800" t="s">
        <v>26</v>
      </c>
      <c r="H800" t="s">
        <v>35</v>
      </c>
      <c r="I800" t="s">
        <v>28</v>
      </c>
      <c r="J800" t="s">
        <v>29</v>
      </c>
      <c r="K800" t="s">
        <v>101</v>
      </c>
      <c r="L800" s="3">
        <v>54</v>
      </c>
      <c r="M800" s="3">
        <v>4</v>
      </c>
      <c r="N800">
        <v>1</v>
      </c>
      <c r="O800">
        <v>9</v>
      </c>
      <c r="P800" t="s">
        <v>31</v>
      </c>
    </row>
    <row r="801" spans="1:16">
      <c r="A801" t="s">
        <v>952</v>
      </c>
      <c r="B801" s="6">
        <v>46047.477777777778</v>
      </c>
      <c r="C801" s="2">
        <v>46049.435478495368</v>
      </c>
      <c r="D801" t="s">
        <v>23</v>
      </c>
      <c r="E801" t="s">
        <v>33</v>
      </c>
      <c r="F801" t="s">
        <v>25</v>
      </c>
      <c r="G801" t="s">
        <v>54</v>
      </c>
      <c r="H801" t="s">
        <v>42</v>
      </c>
      <c r="I801" t="s">
        <v>43</v>
      </c>
      <c r="J801" t="s">
        <v>76</v>
      </c>
      <c r="K801" t="s">
        <v>101</v>
      </c>
      <c r="L801" s="3">
        <v>339</v>
      </c>
      <c r="M801" s="3">
        <v>2</v>
      </c>
      <c r="N801">
        <v>1</v>
      </c>
      <c r="O801">
        <v>7</v>
      </c>
      <c r="P801" t="s">
        <v>31</v>
      </c>
    </row>
    <row r="802" spans="1:16">
      <c r="A802" t="s">
        <v>953</v>
      </c>
      <c r="B802" s="6">
        <v>46230.133333333331</v>
      </c>
      <c r="C802" s="2">
        <v>46231.096341944445</v>
      </c>
      <c r="D802" t="s">
        <v>23</v>
      </c>
      <c r="E802" t="s">
        <v>33</v>
      </c>
      <c r="F802" t="s">
        <v>25</v>
      </c>
      <c r="G802" t="s">
        <v>54</v>
      </c>
      <c r="H802" t="s">
        <v>42</v>
      </c>
      <c r="I802" t="s">
        <v>43</v>
      </c>
      <c r="J802" t="s">
        <v>37</v>
      </c>
      <c r="K802" t="s">
        <v>71</v>
      </c>
      <c r="L802" s="3">
        <v>176</v>
      </c>
      <c r="M802" s="3">
        <v>4</v>
      </c>
      <c r="N802">
        <v>0</v>
      </c>
      <c r="O802">
        <v>3</v>
      </c>
      <c r="P802" t="s">
        <v>31</v>
      </c>
    </row>
    <row r="803" spans="1:16">
      <c r="A803" t="s">
        <v>954</v>
      </c>
      <c r="B803" s="6">
        <v>46052.613888888889</v>
      </c>
      <c r="C803" s="2">
        <v>46053.830587511577</v>
      </c>
      <c r="D803" t="s">
        <v>23</v>
      </c>
      <c r="E803" t="s">
        <v>50</v>
      </c>
      <c r="F803" t="s">
        <v>41</v>
      </c>
      <c r="G803" t="s">
        <v>34</v>
      </c>
      <c r="H803" t="s">
        <v>42</v>
      </c>
      <c r="I803" t="s">
        <v>36</v>
      </c>
      <c r="J803" t="s">
        <v>58</v>
      </c>
      <c r="K803" t="s">
        <v>101</v>
      </c>
      <c r="L803" s="3">
        <v>155</v>
      </c>
      <c r="M803" s="3">
        <v>3</v>
      </c>
      <c r="N803">
        <v>0</v>
      </c>
      <c r="O803">
        <v>2</v>
      </c>
      <c r="P803" t="s">
        <v>31</v>
      </c>
    </row>
    <row r="804" spans="1:16">
      <c r="A804" t="s">
        <v>955</v>
      </c>
      <c r="B804" s="6">
        <v>46153.993055555555</v>
      </c>
      <c r="C804" s="2">
        <v>46154.789560474535</v>
      </c>
      <c r="D804" t="s">
        <v>23</v>
      </c>
      <c r="E804" t="s">
        <v>50</v>
      </c>
      <c r="F804" t="s">
        <v>51</v>
      </c>
      <c r="G804" t="s">
        <v>66</v>
      </c>
      <c r="H804" t="s">
        <v>42</v>
      </c>
      <c r="I804" t="s">
        <v>36</v>
      </c>
      <c r="J804" t="s">
        <v>37</v>
      </c>
      <c r="K804" t="s">
        <v>38</v>
      </c>
      <c r="L804" s="3">
        <v>103</v>
      </c>
      <c r="M804" s="3">
        <v>3</v>
      </c>
      <c r="N804">
        <v>1</v>
      </c>
      <c r="O804">
        <v>10</v>
      </c>
      <c r="P804" t="s">
        <v>31</v>
      </c>
    </row>
    <row r="805" spans="1:16">
      <c r="A805" t="s">
        <v>956</v>
      </c>
      <c r="B805" s="6">
        <v>46154.304166666669</v>
      </c>
      <c r="C805" s="2">
        <v>46155.940396655089</v>
      </c>
      <c r="D805" t="s">
        <v>23</v>
      </c>
      <c r="E805" t="s">
        <v>50</v>
      </c>
      <c r="F805" t="s">
        <v>25</v>
      </c>
      <c r="G805" t="s">
        <v>26</v>
      </c>
      <c r="H805" t="s">
        <v>35</v>
      </c>
      <c r="I805" t="s">
        <v>36</v>
      </c>
      <c r="J805" t="s">
        <v>37</v>
      </c>
      <c r="K805" t="s">
        <v>30</v>
      </c>
      <c r="L805" s="3">
        <v>239</v>
      </c>
      <c r="M805" s="3">
        <v>3</v>
      </c>
      <c r="N805">
        <v>1</v>
      </c>
      <c r="O805">
        <v>8</v>
      </c>
      <c r="P805" t="s">
        <v>31</v>
      </c>
    </row>
    <row r="806" spans="1:16">
      <c r="A806" t="s">
        <v>957</v>
      </c>
      <c r="B806" s="6">
        <v>46123.991666666669</v>
      </c>
      <c r="C806" s="2">
        <v>46126.674312048614</v>
      </c>
      <c r="D806" t="s">
        <v>23</v>
      </c>
      <c r="E806" t="s">
        <v>33</v>
      </c>
      <c r="F806" t="s">
        <v>51</v>
      </c>
      <c r="G806" t="s">
        <v>75</v>
      </c>
      <c r="H806" t="s">
        <v>35</v>
      </c>
      <c r="I806" t="s">
        <v>48</v>
      </c>
      <c r="J806" t="s">
        <v>76</v>
      </c>
      <c r="K806" t="s">
        <v>93</v>
      </c>
      <c r="L806" s="3">
        <v>244</v>
      </c>
      <c r="M806" s="3">
        <v>3</v>
      </c>
      <c r="N806">
        <v>0</v>
      </c>
      <c r="O806">
        <v>7</v>
      </c>
      <c r="P806" t="s">
        <v>31</v>
      </c>
    </row>
    <row r="807" spans="1:16">
      <c r="A807" t="s">
        <v>958</v>
      </c>
      <c r="B807" s="6">
        <v>46030.842361111114</v>
      </c>
      <c r="C807" s="2">
        <v>46041.408900740738</v>
      </c>
      <c r="D807" t="s">
        <v>23</v>
      </c>
      <c r="E807" t="s">
        <v>33</v>
      </c>
      <c r="F807" t="s">
        <v>25</v>
      </c>
      <c r="G807" t="s">
        <v>26</v>
      </c>
      <c r="H807" t="s">
        <v>35</v>
      </c>
      <c r="I807" t="s">
        <v>36</v>
      </c>
      <c r="J807" t="s">
        <v>76</v>
      </c>
      <c r="K807" t="s">
        <v>38</v>
      </c>
      <c r="L807" s="3">
        <v>101</v>
      </c>
      <c r="M807" s="3">
        <v>4</v>
      </c>
      <c r="N807">
        <v>0</v>
      </c>
      <c r="O807">
        <v>4</v>
      </c>
      <c r="P807" t="s">
        <v>31</v>
      </c>
    </row>
    <row r="808" spans="1:16">
      <c r="A808" t="s">
        <v>959</v>
      </c>
      <c r="B808" s="6">
        <v>46187.1</v>
      </c>
      <c r="C808" s="2">
        <v>46187.9106516088</v>
      </c>
      <c r="D808" t="s">
        <v>23</v>
      </c>
      <c r="E808" t="s">
        <v>33</v>
      </c>
      <c r="F808" t="s">
        <v>41</v>
      </c>
      <c r="G808" t="s">
        <v>54</v>
      </c>
      <c r="H808" t="s">
        <v>42</v>
      </c>
      <c r="I808" t="s">
        <v>28</v>
      </c>
      <c r="J808" t="s">
        <v>29</v>
      </c>
      <c r="K808" t="s">
        <v>101</v>
      </c>
      <c r="L808" s="3">
        <v>198</v>
      </c>
      <c r="M808" s="3">
        <v>3</v>
      </c>
      <c r="N808">
        <v>0</v>
      </c>
      <c r="O808">
        <v>6</v>
      </c>
      <c r="P808" t="s">
        <v>31</v>
      </c>
    </row>
    <row r="809" spans="1:16">
      <c r="A809" t="s">
        <v>960</v>
      </c>
      <c r="B809" s="6">
        <v>46180.13958333333</v>
      </c>
      <c r="C809" s="2">
        <v>46181.910796388889</v>
      </c>
      <c r="D809" t="s">
        <v>23</v>
      </c>
      <c r="E809" t="s">
        <v>50</v>
      </c>
      <c r="F809" t="s">
        <v>25</v>
      </c>
      <c r="G809" t="s">
        <v>75</v>
      </c>
      <c r="H809" t="s">
        <v>35</v>
      </c>
      <c r="I809" t="s">
        <v>43</v>
      </c>
      <c r="J809" t="s">
        <v>58</v>
      </c>
      <c r="K809" t="s">
        <v>101</v>
      </c>
      <c r="L809" s="3" t="s">
        <v>961</v>
      </c>
      <c r="M809" s="3">
        <v>4</v>
      </c>
      <c r="N809">
        <v>0</v>
      </c>
      <c r="O809">
        <v>2</v>
      </c>
      <c r="P809" t="s">
        <v>31</v>
      </c>
    </row>
    <row r="810" spans="1:16">
      <c r="A810" t="s">
        <v>962</v>
      </c>
      <c r="B810" s="6">
        <v>46114.154861111114</v>
      </c>
      <c r="C810" s="2">
        <v>46114.589168055558</v>
      </c>
      <c r="D810" t="s">
        <v>23</v>
      </c>
      <c r="E810" t="s">
        <v>40</v>
      </c>
      <c r="F810" t="s">
        <v>25</v>
      </c>
      <c r="G810" t="s">
        <v>54</v>
      </c>
      <c r="H810" t="s">
        <v>27</v>
      </c>
      <c r="I810" t="s">
        <v>48</v>
      </c>
      <c r="J810" t="s">
        <v>37</v>
      </c>
      <c r="K810" t="s">
        <v>44</v>
      </c>
      <c r="L810" s="3">
        <v>38</v>
      </c>
      <c r="M810" s="3">
        <v>4</v>
      </c>
      <c r="N810">
        <v>0</v>
      </c>
      <c r="O810">
        <v>7</v>
      </c>
      <c r="P810" t="s">
        <v>31</v>
      </c>
    </row>
    <row r="811" spans="1:16">
      <c r="A811" t="s">
        <v>963</v>
      </c>
      <c r="B811" s="6">
        <v>46257.343055555553</v>
      </c>
      <c r="C811" s="2">
        <v>46257.857801076389</v>
      </c>
      <c r="D811" t="s">
        <v>23</v>
      </c>
      <c r="E811" t="s">
        <v>40</v>
      </c>
      <c r="F811" t="s">
        <v>51</v>
      </c>
      <c r="G811" t="s">
        <v>120</v>
      </c>
      <c r="H811" t="s">
        <v>27</v>
      </c>
      <c r="I811" t="s">
        <v>43</v>
      </c>
      <c r="J811" t="s">
        <v>37</v>
      </c>
      <c r="K811" t="s">
        <v>101</v>
      </c>
      <c r="L811" s="3">
        <v>51</v>
      </c>
      <c r="M811" s="3">
        <v>4</v>
      </c>
      <c r="N811">
        <v>0</v>
      </c>
      <c r="O811">
        <v>9</v>
      </c>
      <c r="P811" t="s">
        <v>63</v>
      </c>
    </row>
    <row r="812" spans="1:16">
      <c r="A812" t="s">
        <v>964</v>
      </c>
      <c r="B812" s="6">
        <v>46111.28402777778</v>
      </c>
      <c r="C812" s="2">
        <v>46112.230522083337</v>
      </c>
      <c r="D812" t="s">
        <v>23</v>
      </c>
      <c r="E812" t="s">
        <v>50</v>
      </c>
      <c r="F812" t="s">
        <v>65</v>
      </c>
      <c r="G812" t="s">
        <v>66</v>
      </c>
      <c r="H812" t="s">
        <v>35</v>
      </c>
      <c r="I812" t="s">
        <v>43</v>
      </c>
      <c r="J812" t="s">
        <v>601</v>
      </c>
      <c r="K812" t="s">
        <v>44</v>
      </c>
      <c r="L812" s="3">
        <v>57</v>
      </c>
      <c r="M812" s="3">
        <v>4</v>
      </c>
      <c r="N812">
        <v>1</v>
      </c>
      <c r="O812">
        <v>12</v>
      </c>
      <c r="P812" t="s">
        <v>31</v>
      </c>
    </row>
    <row r="813" spans="1:16">
      <c r="A813" t="s">
        <v>965</v>
      </c>
      <c r="B813" s="6">
        <v>46178.344444444447</v>
      </c>
      <c r="C813" s="2">
        <v>46179.51441275463</v>
      </c>
      <c r="D813" t="s">
        <v>23</v>
      </c>
      <c r="E813" t="s">
        <v>33</v>
      </c>
      <c r="F813" t="s">
        <v>25</v>
      </c>
      <c r="G813" t="s">
        <v>66</v>
      </c>
      <c r="H813" t="s">
        <v>42</v>
      </c>
      <c r="I813" t="s">
        <v>43</v>
      </c>
      <c r="J813" t="s">
        <v>67</v>
      </c>
      <c r="K813" t="s">
        <v>38</v>
      </c>
      <c r="L813" s="3">
        <v>200</v>
      </c>
      <c r="M813" s="3">
        <v>4</v>
      </c>
      <c r="N813">
        <v>0</v>
      </c>
      <c r="O813">
        <v>6</v>
      </c>
      <c r="P813" t="s">
        <v>31</v>
      </c>
    </row>
    <row r="814" spans="1:16">
      <c r="A814" t="s">
        <v>966</v>
      </c>
      <c r="B814" s="6">
        <v>46166.905555555553</v>
      </c>
      <c r="C814" s="2">
        <v>46168.837395740738</v>
      </c>
      <c r="D814" t="s">
        <v>23</v>
      </c>
      <c r="E814" t="s">
        <v>33</v>
      </c>
      <c r="F814" t="s">
        <v>41</v>
      </c>
      <c r="G814" t="s">
        <v>66</v>
      </c>
      <c r="H814" t="s">
        <v>27</v>
      </c>
      <c r="I814" t="s">
        <v>43</v>
      </c>
      <c r="J814" t="s">
        <v>67</v>
      </c>
      <c r="K814" t="s">
        <v>44</v>
      </c>
      <c r="L814" s="3">
        <v>93</v>
      </c>
      <c r="M814" s="3">
        <v>3</v>
      </c>
      <c r="N814">
        <v>0</v>
      </c>
      <c r="O814">
        <v>2</v>
      </c>
      <c r="P814" t="s">
        <v>31</v>
      </c>
    </row>
    <row r="815" spans="1:16">
      <c r="A815" t="s">
        <v>967</v>
      </c>
      <c r="B815" s="6">
        <v>46147.643055555556</v>
      </c>
      <c r="C815" s="2">
        <v>46149.761371018518</v>
      </c>
      <c r="D815" t="s">
        <v>23</v>
      </c>
      <c r="E815" t="s">
        <v>50</v>
      </c>
      <c r="F815" t="s">
        <v>65</v>
      </c>
      <c r="G815" t="s">
        <v>120</v>
      </c>
      <c r="H815" t="s">
        <v>35</v>
      </c>
      <c r="I815" t="s">
        <v>36</v>
      </c>
      <c r="J815" t="s">
        <v>67</v>
      </c>
      <c r="K815" t="s">
        <v>44</v>
      </c>
      <c r="L815" s="3">
        <v>124</v>
      </c>
      <c r="M815" s="3">
        <v>3</v>
      </c>
      <c r="N815">
        <v>0</v>
      </c>
      <c r="O815">
        <v>6</v>
      </c>
      <c r="P815" t="s">
        <v>63</v>
      </c>
    </row>
    <row r="816" spans="1:16">
      <c r="A816" t="s">
        <v>766</v>
      </c>
      <c r="B816" s="6">
        <v>46052.440972222219</v>
      </c>
      <c r="C816" s="2">
        <v>46055.170634942129</v>
      </c>
      <c r="D816" t="s">
        <v>23</v>
      </c>
      <c r="E816" t="s">
        <v>33</v>
      </c>
      <c r="F816" t="s">
        <v>65</v>
      </c>
      <c r="G816" t="s">
        <v>75</v>
      </c>
      <c r="H816" t="s">
        <v>27</v>
      </c>
      <c r="I816" t="s">
        <v>36</v>
      </c>
      <c r="J816" t="s">
        <v>58</v>
      </c>
      <c r="K816" t="s">
        <v>55</v>
      </c>
      <c r="L816" s="3">
        <v>169</v>
      </c>
      <c r="M816" s="3">
        <v>3</v>
      </c>
      <c r="N816">
        <v>0</v>
      </c>
      <c r="O816">
        <v>3</v>
      </c>
      <c r="P816" t="s">
        <v>31</v>
      </c>
    </row>
    <row r="817" spans="1:16">
      <c r="A817" t="s">
        <v>968</v>
      </c>
      <c r="B817" s="6">
        <v>46160.719444444447</v>
      </c>
      <c r="C817" s="2">
        <v>46161.467399918984</v>
      </c>
      <c r="D817" t="s">
        <v>23</v>
      </c>
      <c r="E817" t="s">
        <v>40</v>
      </c>
      <c r="F817" t="s">
        <v>41</v>
      </c>
      <c r="G817" t="s">
        <v>54</v>
      </c>
      <c r="H817" t="s">
        <v>42</v>
      </c>
      <c r="I817" t="s">
        <v>43</v>
      </c>
      <c r="J817" t="s">
        <v>58</v>
      </c>
      <c r="K817" t="s">
        <v>30</v>
      </c>
      <c r="L817" s="3">
        <v>50</v>
      </c>
      <c r="M817" s="3">
        <v>4</v>
      </c>
      <c r="N817">
        <v>0</v>
      </c>
      <c r="O817">
        <v>7</v>
      </c>
      <c r="P817" t="s">
        <v>31</v>
      </c>
    </row>
    <row r="818" spans="1:16">
      <c r="A818" t="s">
        <v>969</v>
      </c>
      <c r="B818" s="6">
        <v>46090.547222222223</v>
      </c>
      <c r="C818" s="2">
        <v>46090.927181770836</v>
      </c>
      <c r="D818" t="s">
        <v>23</v>
      </c>
      <c r="E818" t="s">
        <v>40</v>
      </c>
      <c r="F818" t="s">
        <v>65</v>
      </c>
      <c r="G818" t="s">
        <v>54</v>
      </c>
      <c r="H818" t="s">
        <v>27</v>
      </c>
      <c r="I818" t="s">
        <v>48</v>
      </c>
      <c r="J818" t="s">
        <v>67</v>
      </c>
      <c r="K818" t="s">
        <v>55</v>
      </c>
      <c r="L818" s="3">
        <v>32</v>
      </c>
      <c r="M818" s="3">
        <v>4</v>
      </c>
      <c r="N818">
        <v>1</v>
      </c>
      <c r="O818">
        <v>6</v>
      </c>
      <c r="P818" t="s">
        <v>31</v>
      </c>
    </row>
    <row r="819" spans="1:16">
      <c r="A819" t="s">
        <v>970</v>
      </c>
      <c r="B819" s="6">
        <v>46226.204861111109</v>
      </c>
      <c r="C819" s="2">
        <v>46227.315259340277</v>
      </c>
      <c r="D819" t="s">
        <v>23</v>
      </c>
      <c r="E819" t="s">
        <v>50</v>
      </c>
      <c r="F819" t="s">
        <v>51</v>
      </c>
      <c r="G819" t="s">
        <v>75</v>
      </c>
      <c r="H819" t="s">
        <v>35</v>
      </c>
      <c r="I819" t="s">
        <v>43</v>
      </c>
      <c r="J819" t="s">
        <v>29</v>
      </c>
      <c r="K819" t="s">
        <v>62</v>
      </c>
      <c r="L819" s="3">
        <v>53</v>
      </c>
      <c r="M819" s="3">
        <v>4</v>
      </c>
      <c r="N819">
        <v>0</v>
      </c>
      <c r="O819">
        <v>5</v>
      </c>
      <c r="P819" t="s">
        <v>31</v>
      </c>
    </row>
    <row r="820" spans="1:16">
      <c r="A820" t="s">
        <v>971</v>
      </c>
      <c r="B820" s="6">
        <v>46024.606944444444</v>
      </c>
      <c r="C820" s="2">
        <v>46025.024946886573</v>
      </c>
      <c r="D820" t="s">
        <v>23</v>
      </c>
      <c r="E820" t="s">
        <v>50</v>
      </c>
      <c r="F820" t="s">
        <v>65</v>
      </c>
      <c r="G820" t="s">
        <v>26</v>
      </c>
      <c r="H820" t="s">
        <v>27</v>
      </c>
      <c r="I820" t="s">
        <v>36</v>
      </c>
      <c r="J820" t="s">
        <v>29</v>
      </c>
      <c r="K820" t="s">
        <v>71</v>
      </c>
      <c r="L820" s="3">
        <v>82</v>
      </c>
      <c r="M820" s="3">
        <v>4</v>
      </c>
      <c r="N820">
        <v>0</v>
      </c>
      <c r="O820">
        <v>7</v>
      </c>
      <c r="P820" t="s">
        <v>31</v>
      </c>
    </row>
    <row r="821" spans="1:16">
      <c r="A821" t="s">
        <v>972</v>
      </c>
      <c r="B821" s="6">
        <v>46223.356249999997</v>
      </c>
      <c r="C821" s="2">
        <v>46224.022979328707</v>
      </c>
      <c r="D821" t="s">
        <v>23</v>
      </c>
      <c r="E821" t="s">
        <v>50</v>
      </c>
      <c r="F821" t="s">
        <v>51</v>
      </c>
      <c r="G821" t="s">
        <v>66</v>
      </c>
      <c r="H821" t="s">
        <v>42</v>
      </c>
      <c r="I821" t="s">
        <v>48</v>
      </c>
      <c r="J821" t="s">
        <v>29</v>
      </c>
      <c r="K821" t="s">
        <v>85</v>
      </c>
      <c r="L821" s="3">
        <v>44</v>
      </c>
      <c r="M821" s="3">
        <v>4</v>
      </c>
      <c r="N821">
        <v>0</v>
      </c>
      <c r="O821">
        <v>11</v>
      </c>
      <c r="P821" t="s">
        <v>63</v>
      </c>
    </row>
    <row r="822" spans="1:16">
      <c r="A822" t="s">
        <v>973</v>
      </c>
      <c r="B822" s="6">
        <v>46247.13958333333</v>
      </c>
      <c r="C822" s="2">
        <v>46248.032124710648</v>
      </c>
      <c r="D822" t="s">
        <v>23</v>
      </c>
      <c r="E822" t="s">
        <v>50</v>
      </c>
      <c r="F822" t="s">
        <v>51</v>
      </c>
      <c r="G822" t="s">
        <v>54</v>
      </c>
      <c r="H822" t="s">
        <v>42</v>
      </c>
      <c r="I822" t="s">
        <v>43</v>
      </c>
      <c r="J822" t="s">
        <v>52</v>
      </c>
      <c r="K822" t="s">
        <v>62</v>
      </c>
      <c r="L822" s="3">
        <v>115</v>
      </c>
      <c r="M822" s="3">
        <v>4</v>
      </c>
      <c r="N822">
        <v>0</v>
      </c>
      <c r="O822">
        <v>7</v>
      </c>
      <c r="P822" t="s">
        <v>31</v>
      </c>
    </row>
    <row r="823" spans="1:16">
      <c r="A823" t="s">
        <v>974</v>
      </c>
      <c r="B823" s="6">
        <v>46112.121527777781</v>
      </c>
      <c r="C823" s="2">
        <v>46112.371479965281</v>
      </c>
      <c r="D823" t="s">
        <v>23</v>
      </c>
      <c r="E823" t="s">
        <v>50</v>
      </c>
      <c r="F823" t="s">
        <v>51</v>
      </c>
      <c r="G823" t="s">
        <v>26</v>
      </c>
      <c r="H823" t="s">
        <v>35</v>
      </c>
      <c r="I823" t="s">
        <v>36</v>
      </c>
      <c r="J823" t="s">
        <v>29</v>
      </c>
      <c r="K823" t="s">
        <v>85</v>
      </c>
      <c r="L823" s="3">
        <v>102</v>
      </c>
      <c r="M823" s="3">
        <v>4</v>
      </c>
      <c r="N823">
        <v>1</v>
      </c>
      <c r="O823">
        <v>7</v>
      </c>
      <c r="P823" t="s">
        <v>31</v>
      </c>
    </row>
    <row r="824" spans="1:16">
      <c r="A824" t="s">
        <v>975</v>
      </c>
      <c r="B824" s="6">
        <v>46053.558333333334</v>
      </c>
      <c r="C824" s="2">
        <v>46054.278755185187</v>
      </c>
      <c r="D824" t="s">
        <v>23</v>
      </c>
      <c r="E824" t="s">
        <v>33</v>
      </c>
      <c r="F824" t="s">
        <v>25</v>
      </c>
      <c r="G824" t="s">
        <v>34</v>
      </c>
      <c r="H824" t="s">
        <v>42</v>
      </c>
      <c r="I824" t="s">
        <v>36</v>
      </c>
      <c r="J824" t="s">
        <v>37</v>
      </c>
      <c r="K824" t="s">
        <v>55</v>
      </c>
      <c r="L824" s="3">
        <v>242</v>
      </c>
      <c r="M824" s="3">
        <v>4</v>
      </c>
      <c r="N824">
        <v>0</v>
      </c>
      <c r="O824">
        <v>5</v>
      </c>
      <c r="P824" t="s">
        <v>31</v>
      </c>
    </row>
    <row r="825" spans="1:16">
      <c r="A825" t="s">
        <v>976</v>
      </c>
      <c r="B825" s="6">
        <v>46171.393055555556</v>
      </c>
      <c r="C825" s="2">
        <v>46172.259480659719</v>
      </c>
      <c r="D825" t="s">
        <v>23</v>
      </c>
      <c r="E825" t="s">
        <v>50</v>
      </c>
      <c r="F825" t="s">
        <v>51</v>
      </c>
      <c r="G825" t="s">
        <v>26</v>
      </c>
      <c r="H825" t="s">
        <v>42</v>
      </c>
      <c r="I825" t="s">
        <v>48</v>
      </c>
      <c r="J825" t="s">
        <v>67</v>
      </c>
      <c r="K825" t="s">
        <v>62</v>
      </c>
      <c r="L825" s="3">
        <v>59</v>
      </c>
      <c r="M825" s="3">
        <v>4</v>
      </c>
      <c r="N825">
        <v>0</v>
      </c>
      <c r="O825">
        <v>6</v>
      </c>
      <c r="P825" t="s">
        <v>31</v>
      </c>
    </row>
    <row r="826" spans="1:16">
      <c r="A826" t="s">
        <v>977</v>
      </c>
      <c r="B826" s="6">
        <v>46220.459722222222</v>
      </c>
      <c r="C826" s="2">
        <v>46221.375045486115</v>
      </c>
      <c r="D826" t="s">
        <v>23</v>
      </c>
      <c r="E826" t="s">
        <v>40</v>
      </c>
      <c r="F826" t="s">
        <v>51</v>
      </c>
      <c r="G826" t="s">
        <v>54</v>
      </c>
      <c r="H826" t="s">
        <v>35</v>
      </c>
      <c r="I826" t="s">
        <v>36</v>
      </c>
      <c r="J826" t="s">
        <v>37</v>
      </c>
      <c r="K826" t="s">
        <v>68</v>
      </c>
      <c r="L826" s="3">
        <v>49</v>
      </c>
      <c r="M826" s="3">
        <v>4</v>
      </c>
      <c r="N826">
        <v>0</v>
      </c>
      <c r="O826">
        <v>5</v>
      </c>
      <c r="P826" t="s">
        <v>31</v>
      </c>
    </row>
    <row r="827" spans="1:16">
      <c r="A827" t="s">
        <v>978</v>
      </c>
      <c r="B827" s="6">
        <v>46138.677083333336</v>
      </c>
      <c r="C827" s="2">
        <v>46140.009560185186</v>
      </c>
      <c r="D827" t="s">
        <v>23</v>
      </c>
      <c r="E827" t="s">
        <v>50</v>
      </c>
      <c r="F827" t="s">
        <v>41</v>
      </c>
      <c r="G827" t="s">
        <v>26</v>
      </c>
      <c r="H827" t="s">
        <v>42</v>
      </c>
      <c r="I827" t="s">
        <v>43</v>
      </c>
      <c r="J827" t="s">
        <v>76</v>
      </c>
      <c r="K827" t="s">
        <v>30</v>
      </c>
      <c r="L827" s="3">
        <v>106</v>
      </c>
      <c r="M827" s="3">
        <v>4</v>
      </c>
      <c r="N827">
        <v>0</v>
      </c>
      <c r="O827">
        <v>2</v>
      </c>
      <c r="P827" t="s">
        <v>31</v>
      </c>
    </row>
    <row r="828" spans="1:16">
      <c r="A828" t="s">
        <v>979</v>
      </c>
      <c r="B828" s="6">
        <v>46260.347222222219</v>
      </c>
      <c r="C828" s="2">
        <v>46262.472055578706</v>
      </c>
      <c r="D828" t="s">
        <v>23</v>
      </c>
      <c r="E828" t="s">
        <v>33</v>
      </c>
      <c r="F828" t="s">
        <v>41</v>
      </c>
      <c r="G828" t="s">
        <v>34</v>
      </c>
      <c r="H828" t="s">
        <v>27</v>
      </c>
      <c r="I828" t="s">
        <v>36</v>
      </c>
      <c r="J828" t="s">
        <v>67</v>
      </c>
      <c r="K828" t="s">
        <v>30</v>
      </c>
      <c r="L828" s="3">
        <v>204</v>
      </c>
      <c r="M828" s="3">
        <v>3</v>
      </c>
      <c r="N828">
        <v>0</v>
      </c>
      <c r="O828">
        <v>7</v>
      </c>
      <c r="P828" t="s">
        <v>63</v>
      </c>
    </row>
    <row r="829" spans="1:16">
      <c r="A829" t="s">
        <v>980</v>
      </c>
      <c r="B829" s="6">
        <v>46051.861805555556</v>
      </c>
      <c r="C829" s="2">
        <v>46054.237337233797</v>
      </c>
      <c r="D829" t="s">
        <v>23</v>
      </c>
      <c r="E829" t="s">
        <v>33</v>
      </c>
      <c r="F829" t="s">
        <v>51</v>
      </c>
      <c r="G829" t="s">
        <v>34</v>
      </c>
      <c r="H829" t="s">
        <v>35</v>
      </c>
      <c r="I829" t="s">
        <v>28</v>
      </c>
      <c r="J829" t="s">
        <v>67</v>
      </c>
      <c r="K829" t="s">
        <v>93</v>
      </c>
      <c r="L829" s="3">
        <v>143</v>
      </c>
      <c r="M829" s="3">
        <v>3</v>
      </c>
      <c r="N829">
        <v>1</v>
      </c>
      <c r="O829">
        <v>5</v>
      </c>
      <c r="P829" t="s">
        <v>31</v>
      </c>
    </row>
    <row r="830" spans="1:16">
      <c r="A830" t="s">
        <v>981</v>
      </c>
      <c r="B830" s="6">
        <v>46063.438194444447</v>
      </c>
      <c r="C830" s="2">
        <v>46063.876967766206</v>
      </c>
      <c r="D830" t="s">
        <v>23</v>
      </c>
      <c r="E830" t="s">
        <v>50</v>
      </c>
      <c r="F830" t="s">
        <v>51</v>
      </c>
      <c r="G830" t="s">
        <v>54</v>
      </c>
      <c r="H830" t="s">
        <v>35</v>
      </c>
      <c r="I830" t="s">
        <v>36</v>
      </c>
      <c r="J830" t="s">
        <v>52</v>
      </c>
      <c r="K830" t="s">
        <v>71</v>
      </c>
      <c r="L830" s="3">
        <v>152</v>
      </c>
      <c r="M830" s="3">
        <v>4</v>
      </c>
      <c r="N830">
        <v>0</v>
      </c>
      <c r="O830">
        <v>4</v>
      </c>
      <c r="P830" t="s">
        <v>31</v>
      </c>
    </row>
    <row r="831" spans="1:16">
      <c r="A831" t="s">
        <v>982</v>
      </c>
      <c r="B831" s="6">
        <v>46143.007638888892</v>
      </c>
      <c r="C831" s="2">
        <v>46143.453916979168</v>
      </c>
      <c r="D831" t="s">
        <v>23</v>
      </c>
      <c r="E831" t="s">
        <v>40</v>
      </c>
      <c r="F831" t="s">
        <v>51</v>
      </c>
      <c r="G831" t="s">
        <v>26</v>
      </c>
      <c r="H831" t="s">
        <v>35</v>
      </c>
      <c r="I831" t="s">
        <v>36</v>
      </c>
      <c r="J831" t="s">
        <v>76</v>
      </c>
      <c r="K831" t="s">
        <v>44</v>
      </c>
      <c r="L831" s="3" t="s">
        <v>983</v>
      </c>
      <c r="M831" s="3">
        <v>5</v>
      </c>
      <c r="N831">
        <v>0</v>
      </c>
      <c r="O831">
        <v>5</v>
      </c>
      <c r="P831" t="s">
        <v>31</v>
      </c>
    </row>
    <row r="832" spans="1:16">
      <c r="A832" t="s">
        <v>984</v>
      </c>
      <c r="B832" s="6">
        <v>46158.197916666664</v>
      </c>
      <c r="C832" s="2">
        <v>46158.770913541666</v>
      </c>
      <c r="D832" t="s">
        <v>23</v>
      </c>
      <c r="E832" t="s">
        <v>50</v>
      </c>
      <c r="F832" t="s">
        <v>51</v>
      </c>
      <c r="G832" t="s">
        <v>34</v>
      </c>
      <c r="H832" t="s">
        <v>35</v>
      </c>
      <c r="I832" t="s">
        <v>43</v>
      </c>
      <c r="J832" t="s">
        <v>52</v>
      </c>
      <c r="K832" t="s">
        <v>93</v>
      </c>
      <c r="L832" s="3">
        <v>38</v>
      </c>
      <c r="M832" s="3">
        <v>4</v>
      </c>
      <c r="N832">
        <v>0</v>
      </c>
      <c r="O832">
        <v>5</v>
      </c>
      <c r="P832" t="s">
        <v>31</v>
      </c>
    </row>
    <row r="833" spans="1:16">
      <c r="A833" t="s">
        <v>985</v>
      </c>
      <c r="B833" s="6">
        <v>46053.313194444447</v>
      </c>
      <c r="C833" s="2">
        <v>46054.808963240743</v>
      </c>
      <c r="D833" t="s">
        <v>23</v>
      </c>
      <c r="E833" t="s">
        <v>50</v>
      </c>
      <c r="F833" t="s">
        <v>25</v>
      </c>
      <c r="G833" t="s">
        <v>66</v>
      </c>
      <c r="H833" t="s">
        <v>42</v>
      </c>
      <c r="I833" t="s">
        <v>48</v>
      </c>
      <c r="J833" t="s">
        <v>37</v>
      </c>
      <c r="K833" t="s">
        <v>85</v>
      </c>
      <c r="L833" s="3">
        <v>63</v>
      </c>
      <c r="M833" s="3">
        <v>4</v>
      </c>
      <c r="N833">
        <v>0</v>
      </c>
      <c r="O833">
        <v>3</v>
      </c>
      <c r="P833" t="s">
        <v>31</v>
      </c>
    </row>
    <row r="834" spans="1:16">
      <c r="A834" t="s">
        <v>986</v>
      </c>
      <c r="B834" s="6">
        <v>46091.354861111111</v>
      </c>
      <c r="C834" s="2">
        <v>46092.672050289351</v>
      </c>
      <c r="D834" t="s">
        <v>23</v>
      </c>
      <c r="E834" t="s">
        <v>33</v>
      </c>
      <c r="F834" t="s">
        <v>41</v>
      </c>
      <c r="G834" t="s">
        <v>26</v>
      </c>
      <c r="H834" t="s">
        <v>42</v>
      </c>
      <c r="I834" t="s">
        <v>48</v>
      </c>
      <c r="J834" t="s">
        <v>37</v>
      </c>
      <c r="K834" t="s">
        <v>68</v>
      </c>
      <c r="L834" s="3">
        <v>197</v>
      </c>
      <c r="M834" s="3">
        <v>3</v>
      </c>
      <c r="N834">
        <v>0</v>
      </c>
      <c r="O834">
        <v>6</v>
      </c>
      <c r="P834" t="s">
        <v>31</v>
      </c>
    </row>
    <row r="835" spans="1:16">
      <c r="A835" t="s">
        <v>987</v>
      </c>
      <c r="B835" s="6">
        <v>46144.519444444442</v>
      </c>
      <c r="C835" s="2">
        <v>46145.312508263887</v>
      </c>
      <c r="D835" t="s">
        <v>23</v>
      </c>
      <c r="E835" t="s">
        <v>33</v>
      </c>
      <c r="F835" t="s">
        <v>65</v>
      </c>
      <c r="G835" t="s">
        <v>66</v>
      </c>
      <c r="H835" t="s">
        <v>27</v>
      </c>
      <c r="I835" t="s">
        <v>28</v>
      </c>
      <c r="J835" t="s">
        <v>29</v>
      </c>
      <c r="K835" t="s">
        <v>101</v>
      </c>
      <c r="L835" s="3">
        <v>296</v>
      </c>
      <c r="M835" s="3">
        <v>3</v>
      </c>
      <c r="N835">
        <v>0</v>
      </c>
      <c r="O835">
        <v>6</v>
      </c>
      <c r="P835" t="s">
        <v>31</v>
      </c>
    </row>
    <row r="836" spans="1:16">
      <c r="A836" t="s">
        <v>988</v>
      </c>
      <c r="B836" s="6">
        <v>46171.165972222225</v>
      </c>
      <c r="C836" s="2">
        <v>46173.831902962964</v>
      </c>
      <c r="D836" t="s">
        <v>23</v>
      </c>
      <c r="E836" t="s">
        <v>50</v>
      </c>
      <c r="F836" t="s">
        <v>51</v>
      </c>
      <c r="G836" t="s">
        <v>54</v>
      </c>
      <c r="H836" t="s">
        <v>42</v>
      </c>
      <c r="I836" t="s">
        <v>28</v>
      </c>
      <c r="J836" t="s">
        <v>760</v>
      </c>
      <c r="K836" t="s">
        <v>68</v>
      </c>
      <c r="L836" s="3">
        <v>62</v>
      </c>
      <c r="M836" s="3">
        <v>3</v>
      </c>
      <c r="N836">
        <v>1</v>
      </c>
      <c r="O836">
        <v>6</v>
      </c>
      <c r="P836" t="s">
        <v>31</v>
      </c>
    </row>
    <row r="837" spans="1:16">
      <c r="A837" t="s">
        <v>989</v>
      </c>
      <c r="B837" s="6">
        <v>46231.277777777781</v>
      </c>
      <c r="C837" s="2">
        <v>46231.81803224537</v>
      </c>
      <c r="D837" t="s">
        <v>23</v>
      </c>
      <c r="E837" t="s">
        <v>50</v>
      </c>
      <c r="F837" t="s">
        <v>51</v>
      </c>
      <c r="G837" t="s">
        <v>54</v>
      </c>
      <c r="H837" t="s">
        <v>27</v>
      </c>
      <c r="I837" t="s">
        <v>48</v>
      </c>
      <c r="J837" t="s">
        <v>29</v>
      </c>
      <c r="K837" t="s">
        <v>68</v>
      </c>
      <c r="L837" s="3">
        <v>153</v>
      </c>
      <c r="M837" s="3">
        <v>4</v>
      </c>
      <c r="N837">
        <v>0</v>
      </c>
      <c r="O837">
        <v>7</v>
      </c>
      <c r="P837" t="s">
        <v>31</v>
      </c>
    </row>
    <row r="838" spans="1:16">
      <c r="A838" t="s">
        <v>990</v>
      </c>
      <c r="B838" s="6">
        <v>46052.651388888888</v>
      </c>
      <c r="C838" s="2">
        <v>46053.329856840275</v>
      </c>
      <c r="D838" t="s">
        <v>23</v>
      </c>
      <c r="E838" t="s">
        <v>40</v>
      </c>
      <c r="F838" t="s">
        <v>65</v>
      </c>
      <c r="G838" t="s">
        <v>259</v>
      </c>
      <c r="H838" t="s">
        <v>35</v>
      </c>
      <c r="I838" t="s">
        <v>48</v>
      </c>
      <c r="J838" t="s">
        <v>67</v>
      </c>
      <c r="K838" t="s">
        <v>55</v>
      </c>
      <c r="L838" s="3">
        <v>41</v>
      </c>
      <c r="M838" s="3">
        <v>5</v>
      </c>
      <c r="N838">
        <v>0</v>
      </c>
      <c r="O838">
        <v>5</v>
      </c>
      <c r="P838" t="s">
        <v>31</v>
      </c>
    </row>
    <row r="839" spans="1:16">
      <c r="A839" t="s">
        <v>991</v>
      </c>
      <c r="B839" s="6">
        <v>46061.663888888892</v>
      </c>
      <c r="C839" s="2">
        <v>46063.759833425924</v>
      </c>
      <c r="D839" t="s">
        <v>23</v>
      </c>
      <c r="E839" t="s">
        <v>33</v>
      </c>
      <c r="F839" t="s">
        <v>25</v>
      </c>
      <c r="G839" t="s">
        <v>26</v>
      </c>
      <c r="H839" t="s">
        <v>42</v>
      </c>
      <c r="I839" t="s">
        <v>36</v>
      </c>
      <c r="J839" t="s">
        <v>52</v>
      </c>
      <c r="K839" t="s">
        <v>71</v>
      </c>
      <c r="L839" s="3">
        <v>104</v>
      </c>
      <c r="M839" s="3">
        <v>3</v>
      </c>
      <c r="N839">
        <v>0</v>
      </c>
      <c r="O839">
        <v>2</v>
      </c>
      <c r="P839" t="s">
        <v>31</v>
      </c>
    </row>
    <row r="840" spans="1:16">
      <c r="A840" t="s">
        <v>992</v>
      </c>
      <c r="B840" s="6">
        <v>46128.469444444447</v>
      </c>
      <c r="C840" s="2">
        <v>46129.277062789355</v>
      </c>
      <c r="D840" t="s">
        <v>23</v>
      </c>
      <c r="E840" t="s">
        <v>50</v>
      </c>
      <c r="F840" t="s">
        <v>25</v>
      </c>
      <c r="G840" t="s">
        <v>26</v>
      </c>
      <c r="H840" t="s">
        <v>35</v>
      </c>
      <c r="I840" t="s">
        <v>36</v>
      </c>
      <c r="J840" t="s">
        <v>37</v>
      </c>
      <c r="K840" t="s">
        <v>55</v>
      </c>
      <c r="L840" s="3">
        <v>93</v>
      </c>
      <c r="M840" s="3">
        <v>4</v>
      </c>
      <c r="N840">
        <v>0</v>
      </c>
      <c r="O840">
        <v>6</v>
      </c>
      <c r="P840" t="s">
        <v>31</v>
      </c>
    </row>
    <row r="841" spans="1:16">
      <c r="A841" t="s">
        <v>993</v>
      </c>
      <c r="B841" s="6">
        <v>46224.583333333336</v>
      </c>
      <c r="C841" s="2">
        <v>46225.29303872685</v>
      </c>
      <c r="D841" t="s">
        <v>23</v>
      </c>
      <c r="E841" t="s">
        <v>50</v>
      </c>
      <c r="F841" t="s">
        <v>51</v>
      </c>
      <c r="G841" t="s">
        <v>26</v>
      </c>
      <c r="H841" t="s">
        <v>42</v>
      </c>
      <c r="I841" t="s">
        <v>43</v>
      </c>
      <c r="J841" t="s">
        <v>52</v>
      </c>
      <c r="K841" t="s">
        <v>93</v>
      </c>
      <c r="L841" s="3">
        <v>99</v>
      </c>
      <c r="M841" s="3">
        <v>4</v>
      </c>
      <c r="N841">
        <v>0</v>
      </c>
      <c r="O841">
        <v>4</v>
      </c>
      <c r="P841" t="s">
        <v>31</v>
      </c>
    </row>
    <row r="842" spans="1:16">
      <c r="A842" t="s">
        <v>994</v>
      </c>
      <c r="B842" s="6" t="s">
        <v>995</v>
      </c>
      <c r="C842" s="2">
        <v>46139.461739027778</v>
      </c>
      <c r="D842" t="s">
        <v>23</v>
      </c>
      <c r="E842" t="s">
        <v>50</v>
      </c>
      <c r="F842" t="s">
        <v>51</v>
      </c>
      <c r="G842" t="s">
        <v>75</v>
      </c>
      <c r="H842" t="s">
        <v>27</v>
      </c>
      <c r="I842" t="s">
        <v>36</v>
      </c>
      <c r="J842" t="s">
        <v>29</v>
      </c>
      <c r="K842" t="s">
        <v>71</v>
      </c>
      <c r="L842" s="3">
        <v>89</v>
      </c>
      <c r="M842" s="3">
        <v>4</v>
      </c>
      <c r="N842">
        <v>0</v>
      </c>
      <c r="O842">
        <v>3</v>
      </c>
      <c r="P842" t="s">
        <v>31</v>
      </c>
    </row>
    <row r="843" spans="1:16">
      <c r="A843" t="s">
        <v>996</v>
      </c>
      <c r="B843" s="6">
        <v>46176.864583333336</v>
      </c>
      <c r="C843" s="2"/>
      <c r="D843" t="s">
        <v>74</v>
      </c>
      <c r="E843" t="s">
        <v>50</v>
      </c>
      <c r="F843" t="s">
        <v>41</v>
      </c>
      <c r="G843" t="s">
        <v>120</v>
      </c>
      <c r="H843" t="s">
        <v>27</v>
      </c>
      <c r="I843" t="s">
        <v>36</v>
      </c>
      <c r="J843" t="s">
        <v>52</v>
      </c>
      <c r="K843" t="s">
        <v>62</v>
      </c>
      <c r="L843" s="3">
        <v>66</v>
      </c>
      <c r="M843" s="3"/>
      <c r="N843">
        <v>0</v>
      </c>
      <c r="O843">
        <v>6</v>
      </c>
      <c r="P843" t="s">
        <v>31</v>
      </c>
    </row>
    <row r="844" spans="1:16">
      <c r="A844" t="s">
        <v>997</v>
      </c>
      <c r="B844" s="6">
        <v>46141.434027777781</v>
      </c>
      <c r="C844" s="2">
        <v>46143.86753236111</v>
      </c>
      <c r="D844" t="s">
        <v>23</v>
      </c>
      <c r="E844" t="s">
        <v>50</v>
      </c>
      <c r="F844" t="s">
        <v>41</v>
      </c>
      <c r="G844" t="s">
        <v>54</v>
      </c>
      <c r="H844" t="s">
        <v>35</v>
      </c>
      <c r="I844" t="s">
        <v>36</v>
      </c>
      <c r="J844" t="s">
        <v>37</v>
      </c>
      <c r="K844" t="s">
        <v>101</v>
      </c>
      <c r="L844" s="3">
        <v>142</v>
      </c>
      <c r="M844" s="3">
        <v>4</v>
      </c>
      <c r="N844">
        <v>0</v>
      </c>
      <c r="O844">
        <v>6</v>
      </c>
      <c r="P844" t="s">
        <v>31</v>
      </c>
    </row>
    <row r="845" spans="1:16">
      <c r="A845" t="s">
        <v>998</v>
      </c>
      <c r="B845" s="6">
        <v>46239.947222222225</v>
      </c>
      <c r="C845" s="2">
        <v>46241.218360046296</v>
      </c>
      <c r="D845" t="s">
        <v>23</v>
      </c>
      <c r="E845" t="s">
        <v>33</v>
      </c>
      <c r="F845" t="s">
        <v>51</v>
      </c>
      <c r="G845" t="s">
        <v>26</v>
      </c>
      <c r="H845" t="s">
        <v>35</v>
      </c>
      <c r="I845" t="s">
        <v>48</v>
      </c>
      <c r="J845" t="s">
        <v>67</v>
      </c>
      <c r="K845" t="s">
        <v>38</v>
      </c>
      <c r="L845" s="3">
        <v>177</v>
      </c>
      <c r="M845" s="3">
        <v>4</v>
      </c>
      <c r="N845">
        <v>0</v>
      </c>
      <c r="O845">
        <v>6</v>
      </c>
      <c r="P845" t="s">
        <v>31</v>
      </c>
    </row>
    <row r="846" spans="1:16">
      <c r="A846" t="s">
        <v>999</v>
      </c>
      <c r="B846" s="6">
        <v>46197.678472222222</v>
      </c>
      <c r="C846" s="2">
        <v>46198.202238020836</v>
      </c>
      <c r="D846" t="s">
        <v>23</v>
      </c>
      <c r="E846" t="s">
        <v>50</v>
      </c>
      <c r="F846" t="s">
        <v>25</v>
      </c>
      <c r="G846" t="s">
        <v>66</v>
      </c>
      <c r="H846" t="s">
        <v>42</v>
      </c>
      <c r="I846" t="s">
        <v>48</v>
      </c>
      <c r="J846" t="s">
        <v>37</v>
      </c>
      <c r="K846" t="s">
        <v>71</v>
      </c>
      <c r="L846" s="3">
        <v>153</v>
      </c>
      <c r="M846" s="3">
        <v>4</v>
      </c>
      <c r="N846">
        <v>0</v>
      </c>
      <c r="O846">
        <v>7</v>
      </c>
      <c r="P846" t="s">
        <v>31</v>
      </c>
    </row>
    <row r="847" spans="1:16">
      <c r="A847" t="s">
        <v>1000</v>
      </c>
      <c r="B847" s="6">
        <v>46075.189583333333</v>
      </c>
      <c r="C847" s="2">
        <v>46077.948021226854</v>
      </c>
      <c r="D847" t="s">
        <v>23</v>
      </c>
      <c r="E847" t="s">
        <v>112</v>
      </c>
      <c r="F847" t="s">
        <v>25</v>
      </c>
      <c r="G847" t="s">
        <v>75</v>
      </c>
      <c r="H847" t="s">
        <v>42</v>
      </c>
      <c r="I847" t="s">
        <v>28</v>
      </c>
      <c r="J847" t="s">
        <v>58</v>
      </c>
      <c r="K847" t="s">
        <v>101</v>
      </c>
      <c r="L847" s="3">
        <v>95</v>
      </c>
      <c r="M847" s="3">
        <v>3</v>
      </c>
      <c r="N847">
        <v>1</v>
      </c>
      <c r="O847">
        <v>10</v>
      </c>
      <c r="P847" t="s">
        <v>31</v>
      </c>
    </row>
    <row r="848" spans="1:16">
      <c r="A848" t="s">
        <v>1001</v>
      </c>
      <c r="B848" s="6">
        <v>46092.138194444444</v>
      </c>
      <c r="C848" s="2">
        <v>46094.424574513891</v>
      </c>
      <c r="D848" t="s">
        <v>23</v>
      </c>
      <c r="E848" t="s">
        <v>33</v>
      </c>
      <c r="F848" t="s">
        <v>65</v>
      </c>
      <c r="G848" t="s">
        <v>75</v>
      </c>
      <c r="H848" t="s">
        <v>42</v>
      </c>
      <c r="I848" t="s">
        <v>36</v>
      </c>
      <c r="J848" t="s">
        <v>58</v>
      </c>
      <c r="K848" t="s">
        <v>30</v>
      </c>
      <c r="L848" s="3">
        <v>232</v>
      </c>
      <c r="M848" s="3">
        <v>3</v>
      </c>
      <c r="N848">
        <v>0</v>
      </c>
      <c r="O848">
        <v>7</v>
      </c>
      <c r="P848" t="s">
        <v>31</v>
      </c>
    </row>
    <row r="849" spans="1:16">
      <c r="A849" t="s">
        <v>1002</v>
      </c>
      <c r="B849" s="6">
        <v>46129.95</v>
      </c>
      <c r="C849" s="2">
        <v>46131.136105138889</v>
      </c>
      <c r="D849" t="s">
        <v>23</v>
      </c>
      <c r="E849" t="s">
        <v>33</v>
      </c>
      <c r="F849" t="s">
        <v>51</v>
      </c>
      <c r="G849" t="s">
        <v>75</v>
      </c>
      <c r="H849" t="s">
        <v>42</v>
      </c>
      <c r="I849" t="s">
        <v>36</v>
      </c>
      <c r="J849" t="s">
        <v>29</v>
      </c>
      <c r="K849" t="s">
        <v>93</v>
      </c>
      <c r="L849" s="3">
        <v>374</v>
      </c>
      <c r="M849" s="3">
        <v>3</v>
      </c>
      <c r="N849">
        <v>0</v>
      </c>
      <c r="O849">
        <v>7</v>
      </c>
      <c r="P849" t="s">
        <v>31</v>
      </c>
    </row>
    <row r="850" spans="1:16">
      <c r="A850" t="s">
        <v>1003</v>
      </c>
      <c r="B850" s="6">
        <v>46087.176388888889</v>
      </c>
      <c r="C850" s="2">
        <v>46087.952038738425</v>
      </c>
      <c r="D850" t="s">
        <v>23</v>
      </c>
      <c r="E850" t="s">
        <v>50</v>
      </c>
      <c r="F850" t="s">
        <v>41</v>
      </c>
      <c r="G850" t="s">
        <v>54</v>
      </c>
      <c r="H850" t="s">
        <v>35</v>
      </c>
      <c r="I850" t="s">
        <v>36</v>
      </c>
      <c r="J850" t="s">
        <v>601</v>
      </c>
      <c r="K850" t="s">
        <v>93</v>
      </c>
      <c r="L850" s="3">
        <v>52</v>
      </c>
      <c r="M850" s="3">
        <v>4</v>
      </c>
      <c r="N850">
        <v>0</v>
      </c>
      <c r="O850">
        <v>6</v>
      </c>
      <c r="P850" t="s">
        <v>31</v>
      </c>
    </row>
    <row r="851" spans="1:16">
      <c r="A851" t="s">
        <v>1004</v>
      </c>
      <c r="B851" s="6">
        <v>46141.593055555553</v>
      </c>
      <c r="C851" s="2">
        <v>46142.794767465275</v>
      </c>
      <c r="D851" t="s">
        <v>23</v>
      </c>
      <c r="F851" t="s">
        <v>51</v>
      </c>
      <c r="G851" t="s">
        <v>54</v>
      </c>
      <c r="H851" t="s">
        <v>42</v>
      </c>
      <c r="I851" t="s">
        <v>28</v>
      </c>
      <c r="J851" t="s">
        <v>58</v>
      </c>
      <c r="K851" t="s">
        <v>55</v>
      </c>
      <c r="L851" s="3">
        <v>341</v>
      </c>
      <c r="M851" s="3">
        <v>3</v>
      </c>
      <c r="N851">
        <v>0</v>
      </c>
      <c r="O851">
        <v>5</v>
      </c>
      <c r="P851" t="s">
        <v>31</v>
      </c>
    </row>
    <row r="852" spans="1:16">
      <c r="A852" t="s">
        <v>1005</v>
      </c>
      <c r="B852" s="6">
        <v>46216.790277777778</v>
      </c>
      <c r="C852" s="2">
        <v>46217.425807129628</v>
      </c>
      <c r="D852" t="s">
        <v>23</v>
      </c>
      <c r="E852" t="s">
        <v>50</v>
      </c>
      <c r="F852" t="s">
        <v>25</v>
      </c>
      <c r="G852" t="s">
        <v>26</v>
      </c>
      <c r="H852" t="s">
        <v>42</v>
      </c>
      <c r="I852" t="s">
        <v>48</v>
      </c>
      <c r="J852" t="s">
        <v>37</v>
      </c>
      <c r="K852" t="s">
        <v>44</v>
      </c>
      <c r="L852" s="3">
        <v>105</v>
      </c>
      <c r="M852" s="3">
        <v>4</v>
      </c>
      <c r="N852">
        <v>0</v>
      </c>
      <c r="O852">
        <v>7</v>
      </c>
      <c r="P852" t="s">
        <v>31</v>
      </c>
    </row>
    <row r="853" spans="1:16">
      <c r="A853" t="s">
        <v>1006</v>
      </c>
      <c r="B853" s="6">
        <v>46216.393055555556</v>
      </c>
      <c r="C853" s="2">
        <v>46217.131854710649</v>
      </c>
      <c r="D853" t="s">
        <v>23</v>
      </c>
      <c r="E853" t="s">
        <v>50</v>
      </c>
      <c r="F853" t="s">
        <v>51</v>
      </c>
      <c r="G853" t="s">
        <v>66</v>
      </c>
      <c r="H853" t="s">
        <v>35</v>
      </c>
      <c r="I853" t="s">
        <v>36</v>
      </c>
      <c r="J853" t="s">
        <v>52</v>
      </c>
      <c r="K853" t="s">
        <v>68</v>
      </c>
      <c r="L853" s="3">
        <v>79</v>
      </c>
      <c r="M853" s="3">
        <v>5</v>
      </c>
      <c r="N853">
        <v>0</v>
      </c>
      <c r="O853">
        <v>2</v>
      </c>
      <c r="P853" t="s">
        <v>31</v>
      </c>
    </row>
    <row r="854" spans="1:16">
      <c r="A854" t="s">
        <v>1007</v>
      </c>
      <c r="B854" s="6">
        <v>46145.886111111111</v>
      </c>
      <c r="C854" s="2">
        <v>46147.185225648151</v>
      </c>
      <c r="D854" t="s">
        <v>23</v>
      </c>
      <c r="E854" t="s">
        <v>50</v>
      </c>
      <c r="F854" t="s">
        <v>51</v>
      </c>
      <c r="G854" t="s">
        <v>34</v>
      </c>
      <c r="H854" t="s">
        <v>42</v>
      </c>
      <c r="I854" t="s">
        <v>48</v>
      </c>
      <c r="J854" t="s">
        <v>76</v>
      </c>
      <c r="K854" t="s">
        <v>55</v>
      </c>
      <c r="L854" s="3">
        <v>91</v>
      </c>
      <c r="M854" s="3">
        <v>4</v>
      </c>
      <c r="N854">
        <v>0</v>
      </c>
      <c r="O854">
        <v>7</v>
      </c>
      <c r="P854" t="s">
        <v>31</v>
      </c>
    </row>
    <row r="855" spans="1:16">
      <c r="A855" t="s">
        <v>1008</v>
      </c>
      <c r="B855" s="6">
        <v>46146.436111111114</v>
      </c>
      <c r="C855" s="2">
        <v>46146.753717071762</v>
      </c>
      <c r="D855" t="s">
        <v>23</v>
      </c>
      <c r="E855" t="s">
        <v>50</v>
      </c>
      <c r="F855" t="s">
        <v>65</v>
      </c>
      <c r="G855" t="s">
        <v>26</v>
      </c>
      <c r="H855" t="s">
        <v>27</v>
      </c>
      <c r="I855" t="s">
        <v>48</v>
      </c>
      <c r="J855" t="s">
        <v>29</v>
      </c>
      <c r="L855" s="3">
        <v>125</v>
      </c>
      <c r="M855" s="3">
        <v>4</v>
      </c>
      <c r="N855">
        <v>0</v>
      </c>
      <c r="O855">
        <v>4</v>
      </c>
      <c r="P855" t="s">
        <v>31</v>
      </c>
    </row>
    <row r="856" spans="1:16">
      <c r="A856" t="s">
        <v>1009</v>
      </c>
      <c r="B856" s="6">
        <v>46208.209722222222</v>
      </c>
      <c r="C856" s="2">
        <v>46208.372275798611</v>
      </c>
      <c r="D856" t="s">
        <v>23</v>
      </c>
      <c r="E856" t="s">
        <v>40</v>
      </c>
      <c r="F856" t="s">
        <v>41</v>
      </c>
      <c r="G856" t="s">
        <v>26</v>
      </c>
      <c r="H856" t="s">
        <v>42</v>
      </c>
      <c r="I856" t="s">
        <v>28</v>
      </c>
      <c r="J856" t="s">
        <v>29</v>
      </c>
      <c r="L856" s="3">
        <v>61</v>
      </c>
      <c r="M856" s="3">
        <v>4</v>
      </c>
      <c r="N856">
        <v>0</v>
      </c>
      <c r="O856">
        <v>2</v>
      </c>
      <c r="P856" t="s">
        <v>31</v>
      </c>
    </row>
    <row r="857" spans="1:16">
      <c r="A857" t="s">
        <v>1010</v>
      </c>
      <c r="B857" s="6">
        <v>46108.671527777777</v>
      </c>
      <c r="C857" s="2">
        <v>46110.152087847222</v>
      </c>
      <c r="D857" t="s">
        <v>23</v>
      </c>
      <c r="E857" t="s">
        <v>50</v>
      </c>
      <c r="F857" t="s">
        <v>51</v>
      </c>
      <c r="G857" t="s">
        <v>66</v>
      </c>
      <c r="H857" t="s">
        <v>35</v>
      </c>
      <c r="I857" t="s">
        <v>28</v>
      </c>
      <c r="J857" t="s">
        <v>37</v>
      </c>
      <c r="K857" t="s">
        <v>93</v>
      </c>
      <c r="L857" s="3">
        <v>198</v>
      </c>
      <c r="M857" s="3">
        <v>3</v>
      </c>
      <c r="N857">
        <v>1</v>
      </c>
      <c r="O857">
        <v>6</v>
      </c>
      <c r="P857" t="s">
        <v>31</v>
      </c>
    </row>
    <row r="858" spans="1:16">
      <c r="A858" t="s">
        <v>1011</v>
      </c>
      <c r="B858" s="6">
        <v>46163.508333333331</v>
      </c>
      <c r="C858" s="2">
        <v>46165.221341249999</v>
      </c>
      <c r="D858" t="s">
        <v>23</v>
      </c>
      <c r="E858" t="s">
        <v>50</v>
      </c>
      <c r="F858" t="s">
        <v>51</v>
      </c>
      <c r="G858" t="s">
        <v>66</v>
      </c>
      <c r="H858" t="s">
        <v>42</v>
      </c>
      <c r="I858" t="s">
        <v>36</v>
      </c>
      <c r="J858" t="s">
        <v>37</v>
      </c>
      <c r="K858" t="s">
        <v>93</v>
      </c>
      <c r="L858" s="3">
        <v>60</v>
      </c>
      <c r="M858" s="3">
        <v>4</v>
      </c>
      <c r="N858">
        <v>0</v>
      </c>
      <c r="O858">
        <v>5</v>
      </c>
      <c r="P858" t="s">
        <v>31</v>
      </c>
    </row>
    <row r="859" spans="1:16">
      <c r="A859" t="s">
        <v>1012</v>
      </c>
      <c r="B859" s="6">
        <v>46100.140277777777</v>
      </c>
      <c r="C859" s="2">
        <v>46100.752206041667</v>
      </c>
      <c r="D859" t="s">
        <v>23</v>
      </c>
      <c r="E859" t="s">
        <v>50</v>
      </c>
      <c r="F859" t="s">
        <v>25</v>
      </c>
      <c r="G859" t="s">
        <v>34</v>
      </c>
      <c r="H859" t="s">
        <v>35</v>
      </c>
      <c r="I859" t="s">
        <v>48</v>
      </c>
      <c r="J859" t="s">
        <v>67</v>
      </c>
      <c r="K859" t="s">
        <v>101</v>
      </c>
      <c r="L859" s="3">
        <v>52</v>
      </c>
      <c r="M859" s="3">
        <v>4</v>
      </c>
      <c r="N859">
        <v>1</v>
      </c>
      <c r="O859">
        <v>11</v>
      </c>
      <c r="P859" t="s">
        <v>31</v>
      </c>
    </row>
    <row r="860" spans="1:16">
      <c r="A860" t="s">
        <v>1013</v>
      </c>
      <c r="B860" s="6" t="s">
        <v>1014</v>
      </c>
      <c r="C860" s="2">
        <v>46116.153460254631</v>
      </c>
      <c r="D860" t="s">
        <v>23</v>
      </c>
      <c r="E860" t="s">
        <v>40</v>
      </c>
      <c r="F860" t="s">
        <v>25</v>
      </c>
      <c r="G860" t="s">
        <v>34</v>
      </c>
      <c r="H860" t="s">
        <v>42</v>
      </c>
      <c r="I860" t="s">
        <v>36</v>
      </c>
      <c r="J860" t="s">
        <v>67</v>
      </c>
      <c r="K860" t="s">
        <v>71</v>
      </c>
      <c r="L860" s="3">
        <v>49</v>
      </c>
      <c r="M860" s="3">
        <v>4</v>
      </c>
      <c r="N860">
        <v>0</v>
      </c>
      <c r="O860">
        <v>2</v>
      </c>
      <c r="P860" t="s">
        <v>31</v>
      </c>
    </row>
    <row r="861" spans="1:16">
      <c r="A861" t="s">
        <v>1015</v>
      </c>
      <c r="B861" s="6">
        <v>46066.181944444441</v>
      </c>
      <c r="C861" s="2">
        <v>46069.164305833336</v>
      </c>
      <c r="D861" t="s">
        <v>23</v>
      </c>
      <c r="E861" t="s">
        <v>50</v>
      </c>
      <c r="F861" t="s">
        <v>51</v>
      </c>
      <c r="G861" t="s">
        <v>26</v>
      </c>
      <c r="H861" t="s">
        <v>35</v>
      </c>
      <c r="I861" t="s">
        <v>43</v>
      </c>
      <c r="J861" t="s">
        <v>37</v>
      </c>
      <c r="K861" t="s">
        <v>85</v>
      </c>
      <c r="L861" s="3">
        <v>132</v>
      </c>
      <c r="M861" s="3">
        <v>3</v>
      </c>
      <c r="N861">
        <v>0</v>
      </c>
      <c r="O861">
        <v>12</v>
      </c>
      <c r="P861" t="s">
        <v>63</v>
      </c>
    </row>
    <row r="862" spans="1:16">
      <c r="A862" t="s">
        <v>1016</v>
      </c>
      <c r="B862" s="6">
        <v>46056.276388888888</v>
      </c>
      <c r="C862" s="2">
        <v>46057.412106759257</v>
      </c>
      <c r="D862" t="s">
        <v>23</v>
      </c>
      <c r="E862" t="s">
        <v>33</v>
      </c>
      <c r="F862" t="s">
        <v>51</v>
      </c>
      <c r="G862" t="s">
        <v>26</v>
      </c>
      <c r="H862" t="s">
        <v>35</v>
      </c>
      <c r="I862" t="s">
        <v>36</v>
      </c>
      <c r="J862" t="s">
        <v>52</v>
      </c>
      <c r="K862" t="s">
        <v>30</v>
      </c>
      <c r="L862" s="3">
        <v>285</v>
      </c>
      <c r="M862" s="3">
        <v>4</v>
      </c>
      <c r="N862">
        <v>0</v>
      </c>
      <c r="O862">
        <v>7</v>
      </c>
      <c r="P862" t="s">
        <v>31</v>
      </c>
    </row>
    <row r="863" spans="1:16">
      <c r="A863" t="s">
        <v>1017</v>
      </c>
      <c r="B863" s="6">
        <v>46186.613888888889</v>
      </c>
      <c r="C863" s="2">
        <v>46189.631129189816</v>
      </c>
      <c r="D863" t="s">
        <v>23</v>
      </c>
      <c r="E863" t="s">
        <v>33</v>
      </c>
      <c r="F863" t="s">
        <v>51</v>
      </c>
      <c r="G863" t="s">
        <v>66</v>
      </c>
      <c r="H863" t="s">
        <v>42</v>
      </c>
      <c r="I863" t="s">
        <v>43</v>
      </c>
      <c r="J863" t="s">
        <v>58</v>
      </c>
      <c r="K863" t="s">
        <v>62</v>
      </c>
      <c r="L863" s="3">
        <v>147</v>
      </c>
      <c r="M863" s="3">
        <v>4</v>
      </c>
      <c r="N863">
        <v>0</v>
      </c>
      <c r="O863">
        <v>3</v>
      </c>
      <c r="P863" t="s">
        <v>31</v>
      </c>
    </row>
    <row r="864" spans="1:16">
      <c r="A864" t="s">
        <v>1018</v>
      </c>
      <c r="B864" s="6">
        <v>46027.670138888891</v>
      </c>
      <c r="C864" s="2">
        <v>46028.388228148149</v>
      </c>
      <c r="D864" t="s">
        <v>23</v>
      </c>
      <c r="E864" t="s">
        <v>50</v>
      </c>
      <c r="F864" t="s">
        <v>41</v>
      </c>
      <c r="G864" t="s">
        <v>26</v>
      </c>
      <c r="H864" t="s">
        <v>42</v>
      </c>
      <c r="I864" t="s">
        <v>48</v>
      </c>
      <c r="J864" t="s">
        <v>37</v>
      </c>
      <c r="K864" t="s">
        <v>71</v>
      </c>
      <c r="L864" s="3">
        <v>101</v>
      </c>
      <c r="M864" s="3">
        <v>4</v>
      </c>
      <c r="N864">
        <v>0</v>
      </c>
      <c r="O864">
        <v>7</v>
      </c>
      <c r="P864" t="s">
        <v>31</v>
      </c>
    </row>
    <row r="865" spans="1:16">
      <c r="A865" t="s">
        <v>1019</v>
      </c>
      <c r="B865" s="6">
        <v>46137.248611111114</v>
      </c>
      <c r="C865" s="2">
        <v>46137.40824986111</v>
      </c>
      <c r="D865" t="s">
        <v>23</v>
      </c>
      <c r="E865" t="s">
        <v>24</v>
      </c>
      <c r="F865" t="s">
        <v>41</v>
      </c>
      <c r="G865" t="s">
        <v>26</v>
      </c>
      <c r="H865" t="s">
        <v>35</v>
      </c>
      <c r="I865" t="s">
        <v>28</v>
      </c>
      <c r="J865" t="s">
        <v>37</v>
      </c>
      <c r="K865" t="s">
        <v>71</v>
      </c>
      <c r="L865" s="3">
        <v>21</v>
      </c>
      <c r="M865" s="3">
        <v>5</v>
      </c>
      <c r="N865">
        <v>0</v>
      </c>
      <c r="O865">
        <v>7</v>
      </c>
      <c r="P865" t="s">
        <v>31</v>
      </c>
    </row>
    <row r="866" spans="1:16">
      <c r="A866" t="s">
        <v>1020</v>
      </c>
      <c r="B866" s="6">
        <v>46139.434027777781</v>
      </c>
      <c r="C866" s="2">
        <v>46140.724712118055</v>
      </c>
      <c r="D866" t="s">
        <v>23</v>
      </c>
      <c r="E866" t="s">
        <v>50</v>
      </c>
      <c r="F866" t="s">
        <v>51</v>
      </c>
      <c r="G866" t="s">
        <v>66</v>
      </c>
      <c r="H866" t="s">
        <v>35</v>
      </c>
      <c r="I866" t="s">
        <v>48</v>
      </c>
      <c r="J866" t="s">
        <v>760</v>
      </c>
      <c r="K866" t="s">
        <v>101</v>
      </c>
      <c r="L866" s="3">
        <v>62</v>
      </c>
      <c r="M866" s="3">
        <v>4</v>
      </c>
      <c r="N866">
        <v>0</v>
      </c>
      <c r="O866">
        <v>6</v>
      </c>
      <c r="P866" t="s">
        <v>31</v>
      </c>
    </row>
    <row r="867" spans="1:16">
      <c r="A867" t="s">
        <v>1021</v>
      </c>
      <c r="B867" s="6">
        <v>46218.731249999997</v>
      </c>
      <c r="C867" s="2">
        <v>46218.893944363423</v>
      </c>
      <c r="D867" t="s">
        <v>23</v>
      </c>
      <c r="E867" t="s">
        <v>50</v>
      </c>
      <c r="F867" t="s">
        <v>25</v>
      </c>
      <c r="G867" t="s">
        <v>54</v>
      </c>
      <c r="H867" t="s">
        <v>35</v>
      </c>
      <c r="I867" t="s">
        <v>28</v>
      </c>
      <c r="J867" t="s">
        <v>29</v>
      </c>
      <c r="K867" t="s">
        <v>30</v>
      </c>
      <c r="L867" s="3">
        <v>204</v>
      </c>
      <c r="M867" s="3">
        <v>4</v>
      </c>
      <c r="N867">
        <v>0</v>
      </c>
      <c r="O867">
        <v>5</v>
      </c>
      <c r="P867" t="s">
        <v>31</v>
      </c>
    </row>
    <row r="868" spans="1:16">
      <c r="A868" t="s">
        <v>1022</v>
      </c>
      <c r="B868" s="6">
        <v>46061.415972222225</v>
      </c>
      <c r="C868" s="2">
        <v>46062.715684212963</v>
      </c>
      <c r="D868" t="s">
        <v>23</v>
      </c>
      <c r="E868" t="s">
        <v>595</v>
      </c>
      <c r="F868" t="s">
        <v>25</v>
      </c>
      <c r="G868" t="s">
        <v>54</v>
      </c>
      <c r="H868" t="s">
        <v>35</v>
      </c>
      <c r="I868" t="s">
        <v>36</v>
      </c>
      <c r="J868" t="s">
        <v>67</v>
      </c>
      <c r="K868" t="s">
        <v>44</v>
      </c>
      <c r="L868" s="3">
        <v>187</v>
      </c>
      <c r="M868" s="3">
        <v>3</v>
      </c>
      <c r="N868">
        <v>2</v>
      </c>
      <c r="O868">
        <v>13</v>
      </c>
      <c r="P868" t="s">
        <v>31</v>
      </c>
    </row>
    <row r="869" spans="1:16">
      <c r="A869" t="s">
        <v>1023</v>
      </c>
      <c r="B869" s="6">
        <v>46175.32708333333</v>
      </c>
      <c r="C869" s="2">
        <v>46176.788532696759</v>
      </c>
      <c r="D869" t="s">
        <v>23</v>
      </c>
      <c r="E869" t="s">
        <v>40</v>
      </c>
      <c r="F869" t="s">
        <v>65</v>
      </c>
      <c r="G869" t="s">
        <v>26</v>
      </c>
      <c r="H869" t="s">
        <v>35</v>
      </c>
      <c r="I869" t="s">
        <v>28</v>
      </c>
      <c r="J869" t="s">
        <v>76</v>
      </c>
      <c r="K869" t="s">
        <v>30</v>
      </c>
      <c r="L869" s="3">
        <v>54</v>
      </c>
      <c r="M869" s="3">
        <v>4</v>
      </c>
      <c r="N869">
        <v>0</v>
      </c>
      <c r="O869">
        <v>6</v>
      </c>
      <c r="P869" t="s">
        <v>31</v>
      </c>
    </row>
    <row r="870" spans="1:16">
      <c r="A870" t="s">
        <v>1024</v>
      </c>
      <c r="B870" s="6">
        <v>46139.515972222223</v>
      </c>
      <c r="C870" s="2">
        <v>46140.131338645835</v>
      </c>
      <c r="D870" t="s">
        <v>23</v>
      </c>
      <c r="E870" t="s">
        <v>40</v>
      </c>
      <c r="F870" t="s">
        <v>65</v>
      </c>
      <c r="G870" t="s">
        <v>26</v>
      </c>
      <c r="H870" t="s">
        <v>27</v>
      </c>
      <c r="I870" t="s">
        <v>48</v>
      </c>
      <c r="J870" t="s">
        <v>37</v>
      </c>
      <c r="K870" t="s">
        <v>38</v>
      </c>
      <c r="L870" s="3">
        <v>184</v>
      </c>
      <c r="M870" s="3">
        <v>4</v>
      </c>
      <c r="N870">
        <v>0</v>
      </c>
      <c r="O870">
        <v>3</v>
      </c>
      <c r="P870" t="s">
        <v>31</v>
      </c>
    </row>
    <row r="871" spans="1:16">
      <c r="A871" t="s">
        <v>1025</v>
      </c>
      <c r="B871" s="6">
        <v>46137.795138888891</v>
      </c>
      <c r="C871" s="2">
        <v>46138.077958518516</v>
      </c>
      <c r="D871" t="s">
        <v>23</v>
      </c>
      <c r="E871" t="s">
        <v>24</v>
      </c>
      <c r="F871" t="s">
        <v>25</v>
      </c>
      <c r="G871" t="s">
        <v>26</v>
      </c>
      <c r="H871" t="s">
        <v>27</v>
      </c>
      <c r="I871" t="s">
        <v>43</v>
      </c>
      <c r="J871" t="s">
        <v>37</v>
      </c>
      <c r="K871" t="s">
        <v>93</v>
      </c>
      <c r="L871" s="3">
        <v>14</v>
      </c>
      <c r="M871" s="3">
        <v>3</v>
      </c>
      <c r="N871">
        <v>2</v>
      </c>
      <c r="O871">
        <v>12</v>
      </c>
      <c r="P871" t="s">
        <v>31</v>
      </c>
    </row>
    <row r="872" spans="1:16">
      <c r="A872" t="s">
        <v>1026</v>
      </c>
      <c r="B872" s="6">
        <v>46187.731944444444</v>
      </c>
      <c r="C872" s="2">
        <v>46189.199624652778</v>
      </c>
      <c r="D872" t="s">
        <v>23</v>
      </c>
      <c r="E872" t="s">
        <v>33</v>
      </c>
      <c r="F872" t="s">
        <v>25</v>
      </c>
      <c r="G872" t="s">
        <v>26</v>
      </c>
      <c r="H872" t="s">
        <v>42</v>
      </c>
      <c r="I872" t="s">
        <v>36</v>
      </c>
      <c r="J872" t="s">
        <v>67</v>
      </c>
      <c r="K872" t="s">
        <v>38</v>
      </c>
      <c r="L872" s="3">
        <v>462</v>
      </c>
      <c r="M872" s="3">
        <v>3</v>
      </c>
      <c r="N872">
        <v>0</v>
      </c>
      <c r="O872">
        <v>7</v>
      </c>
      <c r="P872" t="s">
        <v>31</v>
      </c>
    </row>
    <row r="873" spans="1:16">
      <c r="A873" t="s">
        <v>1027</v>
      </c>
      <c r="B873" s="6">
        <v>46126.170138888891</v>
      </c>
      <c r="C873" s="2">
        <v>46127.615540486113</v>
      </c>
      <c r="D873" t="s">
        <v>23</v>
      </c>
      <c r="E873" t="s">
        <v>33</v>
      </c>
      <c r="F873" t="s">
        <v>41</v>
      </c>
      <c r="G873" t="s">
        <v>26</v>
      </c>
      <c r="H873" t="s">
        <v>27</v>
      </c>
      <c r="I873" t="s">
        <v>43</v>
      </c>
      <c r="J873" t="s">
        <v>52</v>
      </c>
      <c r="K873" t="s">
        <v>71</v>
      </c>
      <c r="L873" s="3">
        <v>62</v>
      </c>
      <c r="M873" s="3">
        <v>4</v>
      </c>
      <c r="N873">
        <v>0</v>
      </c>
      <c r="O873">
        <v>8</v>
      </c>
      <c r="P873" t="s">
        <v>63</v>
      </c>
    </row>
    <row r="874" spans="1:16">
      <c r="A874" t="s">
        <v>1028</v>
      </c>
      <c r="B874" s="6">
        <v>46047.268750000003</v>
      </c>
      <c r="C874" s="2">
        <v>46047.474824884259</v>
      </c>
      <c r="D874" t="s">
        <v>23</v>
      </c>
      <c r="E874" t="s">
        <v>40</v>
      </c>
      <c r="F874" t="s">
        <v>65</v>
      </c>
      <c r="G874" t="s">
        <v>75</v>
      </c>
      <c r="H874" t="s">
        <v>27</v>
      </c>
      <c r="I874" t="s">
        <v>36</v>
      </c>
      <c r="J874" t="s">
        <v>163</v>
      </c>
      <c r="K874" t="s">
        <v>30</v>
      </c>
      <c r="L874" s="3">
        <v>33</v>
      </c>
      <c r="M874" s="3">
        <v>4</v>
      </c>
      <c r="N874">
        <v>0</v>
      </c>
      <c r="O874">
        <v>6</v>
      </c>
      <c r="P874" t="s">
        <v>31</v>
      </c>
    </row>
    <row r="875" spans="1:16">
      <c r="A875" t="s">
        <v>1029</v>
      </c>
      <c r="B875" s="6">
        <v>46040.275000000001</v>
      </c>
      <c r="C875" s="2">
        <v>46040.56588952546</v>
      </c>
      <c r="D875" t="s">
        <v>23</v>
      </c>
      <c r="E875" t="s">
        <v>24</v>
      </c>
      <c r="F875" t="s">
        <v>25</v>
      </c>
      <c r="G875" t="s">
        <v>66</v>
      </c>
      <c r="H875" t="s">
        <v>42</v>
      </c>
      <c r="I875" t="s">
        <v>36</v>
      </c>
      <c r="J875" t="s">
        <v>67</v>
      </c>
      <c r="K875" t="s">
        <v>68</v>
      </c>
      <c r="L875" s="3">
        <v>14</v>
      </c>
      <c r="M875" s="3">
        <v>5</v>
      </c>
      <c r="N875">
        <v>0</v>
      </c>
      <c r="O875">
        <v>3</v>
      </c>
      <c r="P875" t="s">
        <v>31</v>
      </c>
    </row>
    <row r="876" spans="1:16">
      <c r="A876" t="s">
        <v>1030</v>
      </c>
      <c r="B876" s="6">
        <v>46163.609027777777</v>
      </c>
      <c r="C876" s="2">
        <v>46164.503792002317</v>
      </c>
      <c r="D876" t="s">
        <v>23</v>
      </c>
      <c r="E876" t="s">
        <v>276</v>
      </c>
      <c r="F876" t="s">
        <v>25</v>
      </c>
      <c r="G876" t="s">
        <v>26</v>
      </c>
      <c r="H876" t="s">
        <v>42</v>
      </c>
      <c r="I876" t="s">
        <v>28</v>
      </c>
      <c r="J876" t="s">
        <v>76</v>
      </c>
      <c r="K876" t="s">
        <v>71</v>
      </c>
      <c r="L876" s="3">
        <v>53</v>
      </c>
      <c r="M876" s="3">
        <v>4</v>
      </c>
      <c r="N876">
        <v>0</v>
      </c>
      <c r="O876">
        <v>3</v>
      </c>
      <c r="P876" t="s">
        <v>31</v>
      </c>
    </row>
    <row r="877" spans="1:16">
      <c r="A877" t="s">
        <v>1031</v>
      </c>
      <c r="B877" s="6">
        <v>46077.09097222222</v>
      </c>
      <c r="C877" s="2">
        <v>46077.422164108793</v>
      </c>
      <c r="D877" t="s">
        <v>23</v>
      </c>
      <c r="E877" t="s">
        <v>40</v>
      </c>
      <c r="F877" t="s">
        <v>51</v>
      </c>
      <c r="G877" t="s">
        <v>34</v>
      </c>
      <c r="H877" t="s">
        <v>35</v>
      </c>
      <c r="I877" t="s">
        <v>28</v>
      </c>
      <c r="J877" t="s">
        <v>37</v>
      </c>
      <c r="K877" t="s">
        <v>62</v>
      </c>
      <c r="L877" s="3">
        <v>16</v>
      </c>
      <c r="M877" s="3">
        <v>5</v>
      </c>
      <c r="N877">
        <v>0</v>
      </c>
      <c r="O877">
        <v>7</v>
      </c>
      <c r="P877" t="s">
        <v>31</v>
      </c>
    </row>
    <row r="878" spans="1:16">
      <c r="A878" t="s">
        <v>1032</v>
      </c>
      <c r="B878" s="6">
        <v>46199.386805555558</v>
      </c>
      <c r="C878" s="2">
        <v>46199.666385648146</v>
      </c>
      <c r="D878" t="s">
        <v>23</v>
      </c>
      <c r="E878" t="s">
        <v>24</v>
      </c>
      <c r="F878" t="s">
        <v>41</v>
      </c>
      <c r="G878" t="s">
        <v>66</v>
      </c>
      <c r="H878" t="s">
        <v>35</v>
      </c>
      <c r="I878" t="s">
        <v>48</v>
      </c>
      <c r="J878" t="s">
        <v>58</v>
      </c>
      <c r="K878" t="s">
        <v>71</v>
      </c>
      <c r="L878" s="3">
        <v>15</v>
      </c>
      <c r="M878" s="3">
        <v>4</v>
      </c>
      <c r="N878">
        <v>0</v>
      </c>
      <c r="O878">
        <v>7</v>
      </c>
      <c r="P878" t="s">
        <v>31</v>
      </c>
    </row>
    <row r="879" spans="1:16">
      <c r="A879" t="s">
        <v>1033</v>
      </c>
      <c r="B879" s="6">
        <v>46070.753472222219</v>
      </c>
      <c r="C879" s="2">
        <v>46071.675449861112</v>
      </c>
      <c r="D879" t="s">
        <v>23</v>
      </c>
      <c r="E879" t="s">
        <v>40</v>
      </c>
      <c r="F879" t="s">
        <v>65</v>
      </c>
      <c r="G879" t="s">
        <v>66</v>
      </c>
      <c r="H879" t="s">
        <v>35</v>
      </c>
      <c r="I879" t="s">
        <v>48</v>
      </c>
      <c r="J879" t="s">
        <v>37</v>
      </c>
      <c r="K879" t="s">
        <v>44</v>
      </c>
      <c r="L879" s="3">
        <v>35</v>
      </c>
      <c r="M879" s="3">
        <v>4</v>
      </c>
      <c r="N879">
        <v>0</v>
      </c>
      <c r="O879">
        <v>5</v>
      </c>
      <c r="P879" t="s">
        <v>31</v>
      </c>
    </row>
    <row r="880" spans="1:16">
      <c r="A880" t="s">
        <v>1034</v>
      </c>
      <c r="B880" s="6" t="s">
        <v>1035</v>
      </c>
      <c r="C880" s="2">
        <v>46266.0168131713</v>
      </c>
      <c r="D880" t="s">
        <v>23</v>
      </c>
      <c r="E880" t="s">
        <v>50</v>
      </c>
      <c r="F880" t="s">
        <v>51</v>
      </c>
      <c r="G880" t="s">
        <v>26</v>
      </c>
      <c r="H880" t="s">
        <v>27</v>
      </c>
      <c r="I880" t="s">
        <v>43</v>
      </c>
      <c r="J880" t="s">
        <v>58</v>
      </c>
      <c r="K880" t="s">
        <v>55</v>
      </c>
      <c r="L880" s="3">
        <v>99</v>
      </c>
      <c r="M880" s="3">
        <v>3</v>
      </c>
      <c r="N880">
        <v>1</v>
      </c>
      <c r="O880">
        <v>6</v>
      </c>
      <c r="P880" t="s">
        <v>31</v>
      </c>
    </row>
    <row r="881" spans="1:16">
      <c r="A881" t="s">
        <v>1036</v>
      </c>
      <c r="B881" s="6">
        <v>46252.946527777778</v>
      </c>
      <c r="C881" s="2">
        <v>46253.242925370374</v>
      </c>
      <c r="D881" t="s">
        <v>23</v>
      </c>
      <c r="E881" t="s">
        <v>40</v>
      </c>
      <c r="F881" t="s">
        <v>51</v>
      </c>
      <c r="G881" t="s">
        <v>26</v>
      </c>
      <c r="H881" t="s">
        <v>42</v>
      </c>
      <c r="I881" t="s">
        <v>48</v>
      </c>
      <c r="J881" t="s">
        <v>29</v>
      </c>
      <c r="K881" t="s">
        <v>93</v>
      </c>
      <c r="L881" s="3">
        <v>48</v>
      </c>
      <c r="M881" s="3">
        <v>4</v>
      </c>
      <c r="N881">
        <v>0</v>
      </c>
      <c r="O881">
        <v>2</v>
      </c>
      <c r="P881" t="s">
        <v>31</v>
      </c>
    </row>
    <row r="882" spans="1:16">
      <c r="A882" t="s">
        <v>1037</v>
      </c>
      <c r="B882" s="6">
        <v>46181.101388888892</v>
      </c>
      <c r="C882" s="2"/>
      <c r="D882" t="s">
        <v>74</v>
      </c>
      <c r="E882" t="s">
        <v>33</v>
      </c>
      <c r="F882" t="s">
        <v>65</v>
      </c>
      <c r="G882" t="s">
        <v>54</v>
      </c>
      <c r="H882" t="s">
        <v>27</v>
      </c>
      <c r="I882" t="s">
        <v>36</v>
      </c>
      <c r="J882" t="s">
        <v>29</v>
      </c>
      <c r="K882" t="s">
        <v>38</v>
      </c>
      <c r="L882" s="3">
        <v>220</v>
      </c>
      <c r="M882" s="3"/>
      <c r="N882">
        <v>0</v>
      </c>
      <c r="O882">
        <v>3</v>
      </c>
      <c r="P882" t="s">
        <v>31</v>
      </c>
    </row>
    <row r="883" spans="1:16">
      <c r="A883" t="s">
        <v>1038</v>
      </c>
      <c r="B883" s="6">
        <v>46097.06527777778</v>
      </c>
      <c r="C883" s="2">
        <v>46097.909779490743</v>
      </c>
      <c r="D883" t="s">
        <v>23</v>
      </c>
      <c r="E883" t="s">
        <v>50</v>
      </c>
      <c r="F883" t="s">
        <v>25</v>
      </c>
      <c r="G883" t="s">
        <v>54</v>
      </c>
      <c r="H883" t="s">
        <v>42</v>
      </c>
      <c r="I883" t="s">
        <v>28</v>
      </c>
      <c r="J883" t="s">
        <v>37</v>
      </c>
      <c r="K883" t="s">
        <v>44</v>
      </c>
      <c r="L883" s="3">
        <v>41</v>
      </c>
      <c r="M883" s="3">
        <v>4</v>
      </c>
      <c r="N883">
        <v>0</v>
      </c>
      <c r="O883">
        <v>6</v>
      </c>
      <c r="P883" t="s">
        <v>31</v>
      </c>
    </row>
    <row r="884" spans="1:16">
      <c r="A884" t="s">
        <v>1039</v>
      </c>
      <c r="B884" s="6" t="s">
        <v>1040</v>
      </c>
      <c r="C884" s="2">
        <v>46085.292895798608</v>
      </c>
      <c r="D884" t="s">
        <v>23</v>
      </c>
      <c r="E884" t="s">
        <v>33</v>
      </c>
      <c r="F884" t="s">
        <v>51</v>
      </c>
      <c r="G884" t="s">
        <v>66</v>
      </c>
      <c r="H884" t="s">
        <v>35</v>
      </c>
      <c r="I884" t="s">
        <v>36</v>
      </c>
      <c r="J884" t="s">
        <v>52</v>
      </c>
      <c r="K884" t="s">
        <v>30</v>
      </c>
      <c r="L884" s="3">
        <v>249</v>
      </c>
      <c r="M884" s="3">
        <v>4</v>
      </c>
      <c r="N884">
        <v>0</v>
      </c>
      <c r="O884">
        <v>3</v>
      </c>
      <c r="P884" t="s">
        <v>31</v>
      </c>
    </row>
    <row r="885" spans="1:16">
      <c r="A885" t="s">
        <v>1041</v>
      </c>
      <c r="B885" s="6">
        <v>46096.065972222219</v>
      </c>
      <c r="C885" s="2">
        <v>46097.892154768517</v>
      </c>
      <c r="D885" t="s">
        <v>23</v>
      </c>
      <c r="E885" t="s">
        <v>50</v>
      </c>
      <c r="F885" t="s">
        <v>25</v>
      </c>
      <c r="G885" t="s">
        <v>26</v>
      </c>
      <c r="H885" t="s">
        <v>35</v>
      </c>
      <c r="I885" t="s">
        <v>28</v>
      </c>
      <c r="J885" t="s">
        <v>37</v>
      </c>
      <c r="K885" t="s">
        <v>71</v>
      </c>
      <c r="L885" s="3">
        <v>147</v>
      </c>
      <c r="M885" s="3">
        <v>3</v>
      </c>
      <c r="N885">
        <v>1</v>
      </c>
      <c r="O885">
        <v>10</v>
      </c>
      <c r="P885" t="s">
        <v>63</v>
      </c>
    </row>
    <row r="886" spans="1:16">
      <c r="A886" t="s">
        <v>1042</v>
      </c>
      <c r="B886" s="6">
        <v>46064.531944444447</v>
      </c>
      <c r="C886" s="2">
        <v>46065.210298576392</v>
      </c>
      <c r="D886" t="s">
        <v>23</v>
      </c>
      <c r="E886" t="s">
        <v>40</v>
      </c>
      <c r="F886" t="s">
        <v>51</v>
      </c>
      <c r="G886" t="s">
        <v>75</v>
      </c>
      <c r="H886" t="s">
        <v>35</v>
      </c>
      <c r="I886" t="s">
        <v>43</v>
      </c>
      <c r="J886" t="s">
        <v>76</v>
      </c>
      <c r="K886" t="s">
        <v>85</v>
      </c>
      <c r="L886" s="3">
        <v>34</v>
      </c>
      <c r="M886" s="3">
        <v>5</v>
      </c>
      <c r="N886">
        <v>0</v>
      </c>
      <c r="O886">
        <v>6</v>
      </c>
      <c r="P886" t="s">
        <v>31</v>
      </c>
    </row>
    <row r="887" spans="1:16">
      <c r="A887" t="s">
        <v>1043</v>
      </c>
      <c r="B887" s="6">
        <v>46136.636111111111</v>
      </c>
      <c r="C887" s="2">
        <v>46136.700606284721</v>
      </c>
      <c r="D887" t="s">
        <v>23</v>
      </c>
      <c r="E887" t="s">
        <v>24</v>
      </c>
      <c r="F887" t="s">
        <v>51</v>
      </c>
      <c r="G887" t="s">
        <v>26</v>
      </c>
      <c r="H887" t="s">
        <v>35</v>
      </c>
      <c r="I887" t="s">
        <v>36</v>
      </c>
      <c r="J887" t="s">
        <v>52</v>
      </c>
      <c r="K887" t="s">
        <v>101</v>
      </c>
      <c r="L887" s="3">
        <v>24</v>
      </c>
      <c r="M887" s="3">
        <v>4</v>
      </c>
      <c r="N887">
        <v>0</v>
      </c>
      <c r="O887">
        <v>2</v>
      </c>
      <c r="P887" t="s">
        <v>31</v>
      </c>
    </row>
    <row r="888" spans="1:16">
      <c r="A888" t="s">
        <v>1044</v>
      </c>
      <c r="B888" s="6">
        <v>46151.409722222219</v>
      </c>
      <c r="C888" s="2">
        <v>46152.705623414353</v>
      </c>
      <c r="D888" t="s">
        <v>23</v>
      </c>
      <c r="E888" t="s">
        <v>33</v>
      </c>
      <c r="F888" t="s">
        <v>65</v>
      </c>
      <c r="G888" t="s">
        <v>34</v>
      </c>
      <c r="H888" t="s">
        <v>42</v>
      </c>
      <c r="I888" t="s">
        <v>36</v>
      </c>
      <c r="J888" t="s">
        <v>29</v>
      </c>
      <c r="K888" t="s">
        <v>71</v>
      </c>
      <c r="L888" s="3">
        <v>100</v>
      </c>
      <c r="M888" s="3">
        <v>3</v>
      </c>
      <c r="N888">
        <v>2</v>
      </c>
      <c r="O888">
        <v>8</v>
      </c>
      <c r="P888" t="s">
        <v>31</v>
      </c>
    </row>
    <row r="889" spans="1:16">
      <c r="A889" t="s">
        <v>1045</v>
      </c>
      <c r="B889" s="6">
        <v>46115.5</v>
      </c>
      <c r="C889" s="2">
        <v>46117.105406238428</v>
      </c>
      <c r="D889" t="s">
        <v>23</v>
      </c>
      <c r="E889" t="s">
        <v>50</v>
      </c>
      <c r="F889" t="s">
        <v>25</v>
      </c>
      <c r="G889" t="s">
        <v>66</v>
      </c>
      <c r="H889" t="s">
        <v>35</v>
      </c>
      <c r="I889" t="s">
        <v>36</v>
      </c>
      <c r="J889" t="s">
        <v>58</v>
      </c>
      <c r="K889" t="s">
        <v>55</v>
      </c>
      <c r="L889" s="3">
        <v>65</v>
      </c>
      <c r="M889" s="3">
        <v>4</v>
      </c>
      <c r="N889">
        <v>0</v>
      </c>
      <c r="O889">
        <v>7</v>
      </c>
      <c r="P889" t="s">
        <v>31</v>
      </c>
    </row>
    <row r="890" spans="1:16">
      <c r="A890" t="s">
        <v>1046</v>
      </c>
      <c r="B890" s="6">
        <v>46122.81527777778</v>
      </c>
      <c r="C890" s="2">
        <v>46124.998064942127</v>
      </c>
      <c r="D890" t="s">
        <v>23</v>
      </c>
      <c r="E890" t="s">
        <v>50</v>
      </c>
      <c r="F890" t="s">
        <v>41</v>
      </c>
      <c r="G890" t="s">
        <v>26</v>
      </c>
      <c r="H890" t="s">
        <v>35</v>
      </c>
      <c r="I890" t="s">
        <v>43</v>
      </c>
      <c r="J890" t="s">
        <v>37</v>
      </c>
      <c r="K890" t="s">
        <v>68</v>
      </c>
      <c r="L890" s="3">
        <v>105</v>
      </c>
      <c r="M890" s="3">
        <v>3</v>
      </c>
      <c r="N890">
        <v>0</v>
      </c>
      <c r="O890">
        <v>2</v>
      </c>
      <c r="P890" t="s">
        <v>31</v>
      </c>
    </row>
    <row r="891" spans="1:16">
      <c r="A891" t="s">
        <v>1047</v>
      </c>
      <c r="B891" s="6">
        <v>46114.320833333331</v>
      </c>
      <c r="C891" s="2">
        <v>46114.567604201387</v>
      </c>
      <c r="D891" t="s">
        <v>23</v>
      </c>
      <c r="E891" t="s">
        <v>40</v>
      </c>
      <c r="F891" t="s">
        <v>51</v>
      </c>
      <c r="G891" t="s">
        <v>26</v>
      </c>
      <c r="H891" t="s">
        <v>35</v>
      </c>
      <c r="I891" t="s">
        <v>36</v>
      </c>
      <c r="J891" t="s">
        <v>52</v>
      </c>
      <c r="K891" t="s">
        <v>38</v>
      </c>
      <c r="L891" s="3">
        <v>92</v>
      </c>
      <c r="M891" s="3">
        <v>4</v>
      </c>
      <c r="N891">
        <v>0</v>
      </c>
      <c r="O891">
        <v>2</v>
      </c>
      <c r="P891" t="s">
        <v>31</v>
      </c>
    </row>
    <row r="892" spans="1:16">
      <c r="A892" t="s">
        <v>1048</v>
      </c>
      <c r="B892" s="6">
        <v>46064.071527777778</v>
      </c>
      <c r="C892" s="2" t="s">
        <v>1049</v>
      </c>
      <c r="D892" t="s">
        <v>23</v>
      </c>
      <c r="E892" t="s">
        <v>50</v>
      </c>
      <c r="F892" t="s">
        <v>25</v>
      </c>
      <c r="G892" t="s">
        <v>34</v>
      </c>
      <c r="H892" t="s">
        <v>27</v>
      </c>
      <c r="I892" t="s">
        <v>43</v>
      </c>
      <c r="J892" t="s">
        <v>37</v>
      </c>
      <c r="K892" t="s">
        <v>85</v>
      </c>
      <c r="L892" s="3">
        <v>348</v>
      </c>
      <c r="M892" s="3">
        <v>3</v>
      </c>
      <c r="N892">
        <v>0</v>
      </c>
      <c r="O892">
        <v>3</v>
      </c>
      <c r="P892" t="s">
        <v>31</v>
      </c>
    </row>
    <row r="893" spans="1:16">
      <c r="A893" t="s">
        <v>1050</v>
      </c>
      <c r="B893" s="6">
        <v>46185.870833333334</v>
      </c>
      <c r="C893" s="2">
        <v>46186.59389822917</v>
      </c>
      <c r="D893" t="s">
        <v>23</v>
      </c>
      <c r="E893" t="s">
        <v>50</v>
      </c>
      <c r="F893" t="s">
        <v>51</v>
      </c>
      <c r="G893" t="s">
        <v>66</v>
      </c>
      <c r="H893" t="s">
        <v>27</v>
      </c>
      <c r="I893" t="s">
        <v>28</v>
      </c>
      <c r="J893" t="s">
        <v>29</v>
      </c>
      <c r="K893" t="s">
        <v>101</v>
      </c>
      <c r="L893" s="3">
        <v>90</v>
      </c>
      <c r="M893" s="3">
        <v>4</v>
      </c>
      <c r="N893">
        <v>0</v>
      </c>
      <c r="O893">
        <v>4</v>
      </c>
      <c r="P893" t="s">
        <v>31</v>
      </c>
    </row>
    <row r="894" spans="1:16">
      <c r="A894" t="s">
        <v>1051</v>
      </c>
      <c r="B894" s="6">
        <v>46129.648611111108</v>
      </c>
      <c r="C894" s="2">
        <v>46129.977500590277</v>
      </c>
      <c r="D894" t="s">
        <v>23</v>
      </c>
      <c r="E894" t="s">
        <v>40</v>
      </c>
      <c r="F894" t="s">
        <v>51</v>
      </c>
      <c r="G894" t="s">
        <v>54</v>
      </c>
      <c r="H894" t="s">
        <v>27</v>
      </c>
      <c r="I894" t="s">
        <v>48</v>
      </c>
      <c r="J894" t="s">
        <v>67</v>
      </c>
      <c r="K894" t="s">
        <v>30</v>
      </c>
      <c r="L894" s="3">
        <v>49</v>
      </c>
      <c r="M894" s="3">
        <v>5</v>
      </c>
      <c r="N894">
        <v>0</v>
      </c>
      <c r="O894">
        <v>3</v>
      </c>
      <c r="P894" t="s">
        <v>31</v>
      </c>
    </row>
    <row r="895" spans="1:16">
      <c r="A895" t="s">
        <v>1052</v>
      </c>
      <c r="B895" s="6">
        <v>46056.370833333334</v>
      </c>
      <c r="C895" s="2">
        <v>46057.281683159723</v>
      </c>
      <c r="D895" t="s">
        <v>23</v>
      </c>
      <c r="E895" t="s">
        <v>50</v>
      </c>
      <c r="F895" t="s">
        <v>41</v>
      </c>
      <c r="G895" t="s">
        <v>34</v>
      </c>
      <c r="H895" t="s">
        <v>27</v>
      </c>
      <c r="I895" t="s">
        <v>28</v>
      </c>
      <c r="J895" t="s">
        <v>37</v>
      </c>
      <c r="K895" t="s">
        <v>93</v>
      </c>
      <c r="L895" s="3">
        <v>58</v>
      </c>
      <c r="M895" s="3">
        <v>3</v>
      </c>
      <c r="N895">
        <v>2</v>
      </c>
      <c r="O895">
        <v>8</v>
      </c>
      <c r="P895" t="s">
        <v>31</v>
      </c>
    </row>
    <row r="896" spans="1:16">
      <c r="A896" t="s">
        <v>1053</v>
      </c>
      <c r="B896" s="6">
        <v>46189.17291666667</v>
      </c>
      <c r="C896" s="2">
        <v>46189.546366296294</v>
      </c>
      <c r="D896" t="s">
        <v>23</v>
      </c>
      <c r="E896" t="s">
        <v>50</v>
      </c>
      <c r="F896" t="s">
        <v>51</v>
      </c>
      <c r="G896" t="s">
        <v>26</v>
      </c>
      <c r="H896" t="s">
        <v>35</v>
      </c>
      <c r="I896" t="s">
        <v>36</v>
      </c>
      <c r="J896" t="s">
        <v>52</v>
      </c>
      <c r="K896" t="s">
        <v>85</v>
      </c>
      <c r="L896" s="3">
        <v>122</v>
      </c>
      <c r="M896" s="3">
        <v>4</v>
      </c>
      <c r="N896">
        <v>1</v>
      </c>
      <c r="O896">
        <v>7</v>
      </c>
      <c r="P896" t="s">
        <v>31</v>
      </c>
    </row>
    <row r="897" spans="1:16">
      <c r="A897" t="s">
        <v>1054</v>
      </c>
      <c r="B897" s="6">
        <v>46059.076388888891</v>
      </c>
      <c r="C897" s="2">
        <v>46061.852654745373</v>
      </c>
      <c r="D897" t="s">
        <v>23</v>
      </c>
      <c r="E897" t="s">
        <v>33</v>
      </c>
      <c r="F897" t="s">
        <v>25</v>
      </c>
      <c r="G897" t="s">
        <v>26</v>
      </c>
      <c r="H897" t="s">
        <v>42</v>
      </c>
      <c r="I897" t="s">
        <v>28</v>
      </c>
      <c r="J897" t="s">
        <v>37</v>
      </c>
      <c r="K897" t="s">
        <v>38</v>
      </c>
      <c r="L897" s="3">
        <v>175</v>
      </c>
      <c r="M897" s="3">
        <v>3</v>
      </c>
      <c r="N897">
        <v>0</v>
      </c>
      <c r="O897">
        <v>6</v>
      </c>
      <c r="P897" t="s">
        <v>31</v>
      </c>
    </row>
    <row r="898" spans="1:16">
      <c r="A898" t="s">
        <v>1055</v>
      </c>
      <c r="B898" s="6">
        <v>46188.67083333333</v>
      </c>
      <c r="C898" s="2">
        <v>46188.906892673614</v>
      </c>
      <c r="D898" t="s">
        <v>23</v>
      </c>
      <c r="E898" t="s">
        <v>24</v>
      </c>
      <c r="F898" t="s">
        <v>65</v>
      </c>
      <c r="G898" t="s">
        <v>54</v>
      </c>
      <c r="H898" t="s">
        <v>35</v>
      </c>
      <c r="I898" t="s">
        <v>36</v>
      </c>
      <c r="J898" t="s">
        <v>52</v>
      </c>
      <c r="K898" t="s">
        <v>93</v>
      </c>
      <c r="L898" s="3">
        <v>34</v>
      </c>
      <c r="M898" s="3">
        <v>4</v>
      </c>
      <c r="N898">
        <v>1</v>
      </c>
      <c r="O898">
        <v>6</v>
      </c>
      <c r="P898" t="s">
        <v>31</v>
      </c>
    </row>
    <row r="899" spans="1:16">
      <c r="A899" t="s">
        <v>1056</v>
      </c>
      <c r="B899" s="6">
        <v>46169.69027777778</v>
      </c>
      <c r="C899" s="2">
        <v>46172.766403310183</v>
      </c>
      <c r="D899" t="s">
        <v>23</v>
      </c>
      <c r="E899" t="s">
        <v>33</v>
      </c>
      <c r="F899" t="s">
        <v>41</v>
      </c>
      <c r="G899" t="s">
        <v>34</v>
      </c>
      <c r="H899" t="s">
        <v>27</v>
      </c>
      <c r="I899" t="s">
        <v>28</v>
      </c>
      <c r="J899" t="s">
        <v>37</v>
      </c>
      <c r="K899" t="s">
        <v>30</v>
      </c>
      <c r="L899" s="3">
        <v>241</v>
      </c>
      <c r="M899" s="3">
        <v>3</v>
      </c>
      <c r="N899">
        <v>0</v>
      </c>
      <c r="O899">
        <v>6</v>
      </c>
      <c r="P899" t="s">
        <v>31</v>
      </c>
    </row>
    <row r="900" spans="1:16">
      <c r="A900" t="s">
        <v>1057</v>
      </c>
      <c r="B900" s="6">
        <v>46065.609027777777</v>
      </c>
      <c r="C900" s="2">
        <v>46066.581278020836</v>
      </c>
      <c r="D900" t="s">
        <v>23</v>
      </c>
      <c r="E900" t="s">
        <v>33</v>
      </c>
      <c r="F900" t="s">
        <v>25</v>
      </c>
      <c r="G900" t="s">
        <v>54</v>
      </c>
      <c r="H900" t="s">
        <v>35</v>
      </c>
      <c r="I900" t="s">
        <v>48</v>
      </c>
      <c r="J900" t="s">
        <v>67</v>
      </c>
      <c r="K900" t="s">
        <v>38</v>
      </c>
      <c r="L900" s="3">
        <v>492</v>
      </c>
      <c r="M900" s="3">
        <v>3</v>
      </c>
      <c r="N900">
        <v>0</v>
      </c>
      <c r="O900">
        <v>5</v>
      </c>
      <c r="P900" t="s">
        <v>31</v>
      </c>
    </row>
    <row r="901" spans="1:16">
      <c r="A901" t="s">
        <v>1058</v>
      </c>
      <c r="B901" s="6">
        <v>46253.600694444445</v>
      </c>
      <c r="C901" s="2">
        <v>46255.723163761577</v>
      </c>
      <c r="D901" t="s">
        <v>23</v>
      </c>
      <c r="E901" t="s">
        <v>33</v>
      </c>
      <c r="F901" t="s">
        <v>51</v>
      </c>
      <c r="G901" t="s">
        <v>26</v>
      </c>
      <c r="H901" t="s">
        <v>35</v>
      </c>
      <c r="I901" t="s">
        <v>36</v>
      </c>
      <c r="J901" t="s">
        <v>58</v>
      </c>
      <c r="K901" t="s">
        <v>30</v>
      </c>
      <c r="L901" s="3">
        <v>116</v>
      </c>
      <c r="M901" s="3">
        <v>4</v>
      </c>
      <c r="N901">
        <v>0</v>
      </c>
      <c r="O901">
        <v>2</v>
      </c>
      <c r="P901" t="s">
        <v>31</v>
      </c>
    </row>
    <row r="902" spans="1:16">
      <c r="A902" t="s">
        <v>1059</v>
      </c>
      <c r="B902" s="6">
        <v>46158.384722222225</v>
      </c>
      <c r="C902" s="2">
        <v>46158.47502416667</v>
      </c>
      <c r="D902" t="s">
        <v>23</v>
      </c>
      <c r="E902" t="s">
        <v>40</v>
      </c>
      <c r="F902" t="s">
        <v>51</v>
      </c>
      <c r="G902" t="s">
        <v>26</v>
      </c>
      <c r="H902" t="s">
        <v>35</v>
      </c>
      <c r="I902" t="s">
        <v>48</v>
      </c>
      <c r="J902" t="s">
        <v>29</v>
      </c>
      <c r="K902" t="s">
        <v>30</v>
      </c>
      <c r="L902" s="3">
        <v>34</v>
      </c>
      <c r="M902" s="3">
        <v>5</v>
      </c>
      <c r="N902">
        <v>0</v>
      </c>
      <c r="O902">
        <v>4</v>
      </c>
      <c r="P902" t="s">
        <v>31</v>
      </c>
    </row>
    <row r="903" spans="1:16">
      <c r="A903" t="s">
        <v>1060</v>
      </c>
      <c r="B903" s="6">
        <v>46207.918749999997</v>
      </c>
      <c r="C903" s="2">
        <v>46208.418494259262</v>
      </c>
      <c r="D903" t="s">
        <v>23</v>
      </c>
      <c r="E903" t="s">
        <v>50</v>
      </c>
      <c r="F903" t="s">
        <v>25</v>
      </c>
      <c r="G903" t="s">
        <v>66</v>
      </c>
      <c r="H903" t="s">
        <v>35</v>
      </c>
      <c r="I903" t="s">
        <v>36</v>
      </c>
      <c r="J903" t="s">
        <v>29</v>
      </c>
      <c r="K903" t="s">
        <v>93</v>
      </c>
      <c r="L903" s="3">
        <v>346</v>
      </c>
      <c r="M903" s="3">
        <v>3</v>
      </c>
      <c r="N903">
        <v>0</v>
      </c>
      <c r="O903">
        <v>2</v>
      </c>
      <c r="P903" t="s">
        <v>31</v>
      </c>
    </row>
    <row r="904" spans="1:16">
      <c r="A904" t="s">
        <v>1061</v>
      </c>
      <c r="B904" s="6">
        <v>46131.751388888886</v>
      </c>
      <c r="C904" s="2">
        <v>46132.123820844907</v>
      </c>
      <c r="D904" t="s">
        <v>23</v>
      </c>
      <c r="E904" t="s">
        <v>50</v>
      </c>
      <c r="F904" t="s">
        <v>25</v>
      </c>
      <c r="G904" t="s">
        <v>34</v>
      </c>
      <c r="H904" t="s">
        <v>42</v>
      </c>
      <c r="I904" t="s">
        <v>36</v>
      </c>
      <c r="J904" t="s">
        <v>29</v>
      </c>
      <c r="K904" t="s">
        <v>38</v>
      </c>
      <c r="L904" s="3">
        <v>105</v>
      </c>
      <c r="M904" s="3">
        <v>4</v>
      </c>
      <c r="N904">
        <v>0</v>
      </c>
      <c r="O904">
        <v>6</v>
      </c>
      <c r="P904" t="s">
        <v>31</v>
      </c>
    </row>
    <row r="905" spans="1:16">
      <c r="A905" t="s">
        <v>1062</v>
      </c>
      <c r="B905" s="6">
        <v>46191.40902777778</v>
      </c>
      <c r="C905" s="2">
        <v>46192.500917523146</v>
      </c>
      <c r="D905" t="s">
        <v>23</v>
      </c>
      <c r="E905" t="s">
        <v>50</v>
      </c>
      <c r="F905" t="s">
        <v>51</v>
      </c>
      <c r="G905" t="s">
        <v>66</v>
      </c>
      <c r="H905" t="s">
        <v>42</v>
      </c>
      <c r="I905" t="s">
        <v>36</v>
      </c>
      <c r="J905" t="s">
        <v>37</v>
      </c>
      <c r="K905" t="s">
        <v>44</v>
      </c>
      <c r="L905" s="3">
        <v>73</v>
      </c>
      <c r="M905" s="3">
        <v>4</v>
      </c>
      <c r="N905">
        <v>1</v>
      </c>
      <c r="O905">
        <v>7</v>
      </c>
      <c r="P905" t="s">
        <v>31</v>
      </c>
    </row>
    <row r="906" spans="1:16">
      <c r="A906" t="s">
        <v>1063</v>
      </c>
      <c r="B906" s="6">
        <v>46189.415972222225</v>
      </c>
      <c r="C906" s="2">
        <v>46194.162202638887</v>
      </c>
      <c r="D906" t="s">
        <v>23</v>
      </c>
      <c r="E906" t="s">
        <v>50</v>
      </c>
      <c r="F906" t="s">
        <v>51</v>
      </c>
      <c r="G906" t="s">
        <v>34</v>
      </c>
      <c r="H906" t="s">
        <v>27</v>
      </c>
      <c r="I906" t="s">
        <v>28</v>
      </c>
      <c r="J906" t="s">
        <v>37</v>
      </c>
      <c r="K906" t="s">
        <v>44</v>
      </c>
      <c r="L906" s="3">
        <v>70</v>
      </c>
      <c r="M906" s="3">
        <v>3</v>
      </c>
      <c r="N906">
        <v>1</v>
      </c>
      <c r="O906">
        <v>11</v>
      </c>
      <c r="P906" t="s">
        <v>63</v>
      </c>
    </row>
    <row r="907" spans="1:16">
      <c r="A907" t="s">
        <v>1064</v>
      </c>
      <c r="B907" s="6">
        <v>46213.084027777775</v>
      </c>
      <c r="C907" s="2">
        <v>46213.725235208331</v>
      </c>
      <c r="D907" t="s">
        <v>23</v>
      </c>
      <c r="E907" t="s">
        <v>33</v>
      </c>
      <c r="F907" t="s">
        <v>51</v>
      </c>
      <c r="G907" t="s">
        <v>26</v>
      </c>
      <c r="H907" t="s">
        <v>27</v>
      </c>
      <c r="I907" t="s">
        <v>36</v>
      </c>
      <c r="J907" t="s">
        <v>58</v>
      </c>
      <c r="K907" t="s">
        <v>55</v>
      </c>
      <c r="L907" s="3">
        <v>144</v>
      </c>
      <c r="M907" s="3">
        <v>4</v>
      </c>
      <c r="N907">
        <v>0</v>
      </c>
      <c r="O907">
        <v>3</v>
      </c>
      <c r="P907" t="s">
        <v>31</v>
      </c>
    </row>
    <row r="908" spans="1:16">
      <c r="A908" t="s">
        <v>1065</v>
      </c>
      <c r="B908" s="6">
        <v>46181.093055555553</v>
      </c>
      <c r="C908" s="2">
        <v>46181.404981886575</v>
      </c>
      <c r="D908" t="s">
        <v>23</v>
      </c>
      <c r="E908" t="s">
        <v>40</v>
      </c>
      <c r="F908" t="s">
        <v>25</v>
      </c>
      <c r="G908" t="s">
        <v>75</v>
      </c>
      <c r="H908" t="s">
        <v>35</v>
      </c>
      <c r="I908" t="s">
        <v>43</v>
      </c>
      <c r="J908" t="s">
        <v>52</v>
      </c>
      <c r="K908" t="s">
        <v>93</v>
      </c>
      <c r="L908" s="3">
        <v>34</v>
      </c>
      <c r="M908" s="3">
        <v>4</v>
      </c>
      <c r="N908">
        <v>1</v>
      </c>
      <c r="O908">
        <v>7</v>
      </c>
      <c r="P908" t="s">
        <v>31</v>
      </c>
    </row>
    <row r="909" spans="1:16">
      <c r="A909" t="s">
        <v>1066</v>
      </c>
      <c r="B909" s="6" t="s">
        <v>1067</v>
      </c>
      <c r="C909" s="2">
        <v>46090.306208842594</v>
      </c>
      <c r="D909" t="s">
        <v>23</v>
      </c>
      <c r="E909" t="s">
        <v>33</v>
      </c>
      <c r="F909" t="s">
        <v>51</v>
      </c>
      <c r="G909" t="s">
        <v>54</v>
      </c>
      <c r="H909" t="s">
        <v>42</v>
      </c>
      <c r="I909" t="s">
        <v>36</v>
      </c>
      <c r="J909" t="s">
        <v>37</v>
      </c>
      <c r="K909" t="s">
        <v>101</v>
      </c>
      <c r="L909" s="3">
        <v>86</v>
      </c>
      <c r="M909" s="3">
        <v>4</v>
      </c>
      <c r="N909">
        <v>0</v>
      </c>
      <c r="O909">
        <v>6</v>
      </c>
      <c r="P909" t="s">
        <v>31</v>
      </c>
    </row>
    <row r="910" spans="1:16">
      <c r="A910" t="s">
        <v>1068</v>
      </c>
      <c r="B910" s="6">
        <v>46091.072916666664</v>
      </c>
      <c r="C910" s="2">
        <v>46091.753802164349</v>
      </c>
      <c r="D910" t="s">
        <v>23</v>
      </c>
      <c r="E910" t="s">
        <v>50</v>
      </c>
      <c r="F910" t="s">
        <v>51</v>
      </c>
      <c r="G910" t="s">
        <v>34</v>
      </c>
      <c r="H910" t="s">
        <v>35</v>
      </c>
      <c r="I910" t="s">
        <v>28</v>
      </c>
      <c r="J910" t="s">
        <v>52</v>
      </c>
      <c r="K910" t="s">
        <v>93</v>
      </c>
      <c r="L910" s="3">
        <v>168</v>
      </c>
      <c r="M910" s="3">
        <v>4</v>
      </c>
      <c r="N910">
        <v>0</v>
      </c>
      <c r="O910">
        <v>5</v>
      </c>
      <c r="P910" t="s">
        <v>31</v>
      </c>
    </row>
    <row r="911" spans="1:16">
      <c r="A911" t="s">
        <v>1069</v>
      </c>
      <c r="B911" s="6">
        <v>46037.224305555559</v>
      </c>
      <c r="C911" s="2">
        <v>46038.521495046298</v>
      </c>
      <c r="D911" t="s">
        <v>23</v>
      </c>
      <c r="E911" t="s">
        <v>50</v>
      </c>
      <c r="F911" t="s">
        <v>25</v>
      </c>
      <c r="G911" t="s">
        <v>34</v>
      </c>
      <c r="H911" t="s">
        <v>42</v>
      </c>
      <c r="I911" t="s">
        <v>36</v>
      </c>
      <c r="J911" t="s">
        <v>37</v>
      </c>
      <c r="K911" t="s">
        <v>71</v>
      </c>
      <c r="L911" s="3">
        <v>86</v>
      </c>
      <c r="M911" s="3">
        <v>4</v>
      </c>
      <c r="N911">
        <v>0</v>
      </c>
      <c r="O911">
        <v>4</v>
      </c>
      <c r="P911" t="s">
        <v>31</v>
      </c>
    </row>
    <row r="912" spans="1:16">
      <c r="A912" t="s">
        <v>1070</v>
      </c>
      <c r="B912" s="6">
        <v>46061.42083333333</v>
      </c>
      <c r="C912" s="2">
        <v>46062.786244745374</v>
      </c>
      <c r="D912" t="s">
        <v>23</v>
      </c>
      <c r="E912" t="s">
        <v>50</v>
      </c>
      <c r="F912" t="s">
        <v>51</v>
      </c>
      <c r="G912" t="s">
        <v>26</v>
      </c>
      <c r="H912" t="s">
        <v>42</v>
      </c>
      <c r="I912" t="s">
        <v>48</v>
      </c>
      <c r="J912" t="s">
        <v>76</v>
      </c>
      <c r="K912" t="s">
        <v>85</v>
      </c>
      <c r="L912" s="3">
        <v>103</v>
      </c>
      <c r="M912" s="3">
        <v>4</v>
      </c>
      <c r="N912">
        <v>0</v>
      </c>
      <c r="O912">
        <v>4</v>
      </c>
      <c r="P912" t="s">
        <v>31</v>
      </c>
    </row>
    <row r="913" spans="1:16">
      <c r="A913" t="s">
        <v>1071</v>
      </c>
      <c r="B913" s="6">
        <v>46206.696527777778</v>
      </c>
      <c r="C913" s="2">
        <v>46208.333796030092</v>
      </c>
      <c r="D913" t="s">
        <v>23</v>
      </c>
      <c r="E913" t="s">
        <v>112</v>
      </c>
      <c r="F913" t="s">
        <v>51</v>
      </c>
      <c r="G913" t="s">
        <v>26</v>
      </c>
      <c r="H913" t="s">
        <v>35</v>
      </c>
      <c r="I913" t="s">
        <v>43</v>
      </c>
      <c r="J913" t="s">
        <v>67</v>
      </c>
      <c r="K913" t="s">
        <v>85</v>
      </c>
      <c r="L913" s="3">
        <v>143</v>
      </c>
      <c r="M913" s="3">
        <v>3</v>
      </c>
      <c r="N913">
        <v>0</v>
      </c>
      <c r="O913">
        <v>4</v>
      </c>
      <c r="P913" t="s">
        <v>31</v>
      </c>
    </row>
    <row r="914" spans="1:16">
      <c r="A914" t="s">
        <v>1072</v>
      </c>
      <c r="B914" s="6">
        <v>46238.231249999997</v>
      </c>
      <c r="C914" s="2">
        <v>46239.650035937499</v>
      </c>
      <c r="D914" t="s">
        <v>23</v>
      </c>
      <c r="E914" t="s">
        <v>33</v>
      </c>
      <c r="F914" t="s">
        <v>51</v>
      </c>
      <c r="G914" t="s">
        <v>26</v>
      </c>
      <c r="H914" t="s">
        <v>35</v>
      </c>
      <c r="I914" t="s">
        <v>43</v>
      </c>
      <c r="J914" t="s">
        <v>76</v>
      </c>
      <c r="K914" t="s">
        <v>101</v>
      </c>
      <c r="L914" s="3">
        <v>57</v>
      </c>
      <c r="M914" s="3">
        <v>4</v>
      </c>
      <c r="N914">
        <v>0</v>
      </c>
      <c r="O914">
        <v>6</v>
      </c>
      <c r="P914" t="s">
        <v>31</v>
      </c>
    </row>
    <row r="915" spans="1:16">
      <c r="A915" t="s">
        <v>1073</v>
      </c>
      <c r="B915" s="6">
        <v>46253.132638888892</v>
      </c>
      <c r="C915" s="2">
        <v>46254.802617638888</v>
      </c>
      <c r="D915" t="s">
        <v>23</v>
      </c>
      <c r="E915" t="s">
        <v>40</v>
      </c>
      <c r="F915" t="s">
        <v>25</v>
      </c>
      <c r="G915" t="s">
        <v>66</v>
      </c>
      <c r="H915" t="s">
        <v>27</v>
      </c>
      <c r="I915" t="s">
        <v>36</v>
      </c>
      <c r="J915" t="s">
        <v>58</v>
      </c>
      <c r="K915" t="s">
        <v>62</v>
      </c>
      <c r="L915" s="3">
        <v>44</v>
      </c>
      <c r="M915" s="3">
        <v>4</v>
      </c>
      <c r="N915">
        <v>0</v>
      </c>
      <c r="O915">
        <v>5</v>
      </c>
      <c r="P915" t="s">
        <v>31</v>
      </c>
    </row>
    <row r="916" spans="1:16">
      <c r="A916" t="s">
        <v>1074</v>
      </c>
      <c r="B916" s="6">
        <v>46037.931250000001</v>
      </c>
      <c r="C916" s="2">
        <v>46038.430496944442</v>
      </c>
      <c r="D916" t="s">
        <v>23</v>
      </c>
      <c r="E916" t="s">
        <v>50</v>
      </c>
      <c r="F916" t="s">
        <v>51</v>
      </c>
      <c r="G916" t="s">
        <v>54</v>
      </c>
      <c r="H916" t="s">
        <v>42</v>
      </c>
      <c r="I916" t="s">
        <v>28</v>
      </c>
      <c r="J916" t="s">
        <v>52</v>
      </c>
      <c r="K916" t="s">
        <v>71</v>
      </c>
      <c r="L916" s="3">
        <v>124</v>
      </c>
      <c r="M916" s="3">
        <v>4</v>
      </c>
      <c r="N916">
        <v>0</v>
      </c>
      <c r="O916">
        <v>5</v>
      </c>
      <c r="P916" t="s">
        <v>31</v>
      </c>
    </row>
    <row r="917" spans="1:16">
      <c r="A917" t="s">
        <v>1075</v>
      </c>
      <c r="B917" s="6">
        <v>46045.007638888892</v>
      </c>
      <c r="C917" s="2">
        <v>46045.395016840281</v>
      </c>
      <c r="D917" t="s">
        <v>23</v>
      </c>
      <c r="E917" t="s">
        <v>50</v>
      </c>
      <c r="F917" t="s">
        <v>25</v>
      </c>
      <c r="G917" t="s">
        <v>259</v>
      </c>
      <c r="H917" t="s">
        <v>35</v>
      </c>
      <c r="I917" t="s">
        <v>36</v>
      </c>
      <c r="J917" t="s">
        <v>52</v>
      </c>
      <c r="K917" t="s">
        <v>85</v>
      </c>
      <c r="L917" s="3">
        <v>81</v>
      </c>
      <c r="M917" s="3">
        <v>4</v>
      </c>
      <c r="N917">
        <v>0</v>
      </c>
      <c r="O917">
        <v>3</v>
      </c>
      <c r="P917" t="s">
        <v>31</v>
      </c>
    </row>
    <row r="918" spans="1:16">
      <c r="A918" t="s">
        <v>1076</v>
      </c>
      <c r="B918" s="6">
        <v>46177.838194444441</v>
      </c>
      <c r="C918" s="2">
        <v>46178.077867546293</v>
      </c>
      <c r="D918" t="s">
        <v>23</v>
      </c>
      <c r="E918" t="s">
        <v>276</v>
      </c>
      <c r="F918" t="s">
        <v>25</v>
      </c>
      <c r="G918" t="s">
        <v>26</v>
      </c>
      <c r="H918" t="s">
        <v>42</v>
      </c>
      <c r="I918" t="s">
        <v>36</v>
      </c>
      <c r="J918" t="s">
        <v>52</v>
      </c>
      <c r="K918" t="s">
        <v>55</v>
      </c>
      <c r="L918" s="3">
        <v>35</v>
      </c>
      <c r="M918" s="3">
        <v>4</v>
      </c>
      <c r="N918">
        <v>0</v>
      </c>
      <c r="O918">
        <v>6</v>
      </c>
      <c r="P918" t="s">
        <v>31</v>
      </c>
    </row>
    <row r="919" spans="1:16">
      <c r="A919" t="s">
        <v>1077</v>
      </c>
      <c r="B919" s="6">
        <v>46040.351388888892</v>
      </c>
      <c r="C919" s="2">
        <v>46040.740998310182</v>
      </c>
      <c r="D919" t="s">
        <v>23</v>
      </c>
      <c r="E919" t="s">
        <v>24</v>
      </c>
      <c r="F919" t="s">
        <v>51</v>
      </c>
      <c r="G919" t="s">
        <v>26</v>
      </c>
      <c r="H919" t="s">
        <v>27</v>
      </c>
      <c r="I919" t="s">
        <v>28</v>
      </c>
      <c r="J919" t="s">
        <v>58</v>
      </c>
      <c r="K919" t="s">
        <v>55</v>
      </c>
      <c r="L919" s="3">
        <v>3</v>
      </c>
      <c r="M919" s="3">
        <v>5</v>
      </c>
      <c r="N919">
        <v>0</v>
      </c>
      <c r="O919">
        <v>5</v>
      </c>
      <c r="P919" t="s">
        <v>31</v>
      </c>
    </row>
    <row r="920" spans="1:16">
      <c r="A920" t="s">
        <v>1078</v>
      </c>
      <c r="B920" s="6">
        <v>46069.619444444441</v>
      </c>
      <c r="C920" s="2">
        <v>46069.978834085647</v>
      </c>
      <c r="D920" t="s">
        <v>23</v>
      </c>
      <c r="E920" t="s">
        <v>50</v>
      </c>
      <c r="F920" t="s">
        <v>41</v>
      </c>
      <c r="G920" t="s">
        <v>26</v>
      </c>
      <c r="H920" t="s">
        <v>42</v>
      </c>
      <c r="I920" t="s">
        <v>43</v>
      </c>
      <c r="J920" t="s">
        <v>52</v>
      </c>
      <c r="K920" t="s">
        <v>71</v>
      </c>
      <c r="L920" s="3">
        <v>160</v>
      </c>
      <c r="M920" s="3">
        <v>4</v>
      </c>
      <c r="N920">
        <v>0</v>
      </c>
      <c r="O920">
        <v>6</v>
      </c>
      <c r="P920" t="s">
        <v>31</v>
      </c>
    </row>
    <row r="921" spans="1:16">
      <c r="A921" t="s">
        <v>1079</v>
      </c>
      <c r="B921" s="6">
        <v>46190.080555555556</v>
      </c>
      <c r="C921" s="2">
        <v>46193.492799085645</v>
      </c>
      <c r="D921" t="s">
        <v>23</v>
      </c>
      <c r="E921" t="s">
        <v>33</v>
      </c>
      <c r="F921" t="s">
        <v>25</v>
      </c>
      <c r="G921" t="s">
        <v>54</v>
      </c>
      <c r="H921" t="s">
        <v>42</v>
      </c>
      <c r="I921" t="s">
        <v>48</v>
      </c>
      <c r="J921" t="s">
        <v>37</v>
      </c>
      <c r="K921" t="s">
        <v>85</v>
      </c>
      <c r="L921" s="3">
        <v>227</v>
      </c>
      <c r="M921" s="3">
        <v>3</v>
      </c>
      <c r="N921">
        <v>0</v>
      </c>
      <c r="O921">
        <v>2</v>
      </c>
      <c r="P921" t="s">
        <v>31</v>
      </c>
    </row>
    <row r="922" spans="1:16">
      <c r="A922" t="s">
        <v>1080</v>
      </c>
      <c r="B922" s="6">
        <v>46222.225694444445</v>
      </c>
      <c r="C922" s="2">
        <v>46222.651665833335</v>
      </c>
      <c r="D922" t="s">
        <v>23</v>
      </c>
      <c r="E922" t="s">
        <v>40</v>
      </c>
      <c r="F922" t="s">
        <v>41</v>
      </c>
      <c r="G922" t="s">
        <v>26</v>
      </c>
      <c r="H922" t="s">
        <v>27</v>
      </c>
      <c r="I922" t="s">
        <v>36</v>
      </c>
      <c r="J922" t="s">
        <v>37</v>
      </c>
      <c r="K922" t="s">
        <v>101</v>
      </c>
      <c r="L922" s="3">
        <v>16</v>
      </c>
      <c r="M922" s="3">
        <v>5</v>
      </c>
      <c r="N922">
        <v>0</v>
      </c>
      <c r="O922">
        <v>5</v>
      </c>
      <c r="P922" t="s">
        <v>31</v>
      </c>
    </row>
    <row r="923" spans="1:16">
      <c r="A923" t="s">
        <v>1081</v>
      </c>
      <c r="B923" s="6">
        <v>46241.934027777781</v>
      </c>
      <c r="C923" s="2">
        <v>46244.593269618053</v>
      </c>
      <c r="D923" t="s">
        <v>23</v>
      </c>
      <c r="E923" t="s">
        <v>50</v>
      </c>
      <c r="F923" t="s">
        <v>51</v>
      </c>
      <c r="G923" t="s">
        <v>66</v>
      </c>
      <c r="H923" t="s">
        <v>35</v>
      </c>
      <c r="I923" t="s">
        <v>28</v>
      </c>
      <c r="J923" t="s">
        <v>37</v>
      </c>
      <c r="K923" t="s">
        <v>30</v>
      </c>
      <c r="L923" s="3">
        <v>124</v>
      </c>
      <c r="M923" s="3">
        <v>3</v>
      </c>
      <c r="N923">
        <v>0</v>
      </c>
      <c r="O923">
        <v>2</v>
      </c>
      <c r="P923" t="s">
        <v>31</v>
      </c>
    </row>
    <row r="924" spans="1:16">
      <c r="A924" t="s">
        <v>1082</v>
      </c>
      <c r="B924" s="6">
        <v>46093.058333333334</v>
      </c>
      <c r="C924" s="2">
        <v>46093.941879571757</v>
      </c>
      <c r="D924" t="s">
        <v>23</v>
      </c>
      <c r="E924" t="s">
        <v>33</v>
      </c>
      <c r="F924" t="s">
        <v>25</v>
      </c>
      <c r="G924" t="s">
        <v>212</v>
      </c>
      <c r="H924" t="s">
        <v>42</v>
      </c>
      <c r="I924" t="s">
        <v>48</v>
      </c>
      <c r="J924" t="s">
        <v>52</v>
      </c>
      <c r="K924" t="s">
        <v>44</v>
      </c>
      <c r="L924" s="3">
        <v>89</v>
      </c>
      <c r="M924" s="3">
        <v>4</v>
      </c>
      <c r="N924">
        <v>0</v>
      </c>
      <c r="O924">
        <v>7</v>
      </c>
      <c r="P924" t="s">
        <v>31</v>
      </c>
    </row>
    <row r="925" spans="1:16">
      <c r="A925" t="s">
        <v>1083</v>
      </c>
      <c r="B925" s="6">
        <v>46064.176388888889</v>
      </c>
      <c r="C925" s="2">
        <v>46064.322997673611</v>
      </c>
      <c r="D925" t="s">
        <v>23</v>
      </c>
      <c r="E925" t="s">
        <v>40</v>
      </c>
      <c r="F925" t="s">
        <v>51</v>
      </c>
      <c r="G925" t="s">
        <v>54</v>
      </c>
      <c r="H925" t="s">
        <v>35</v>
      </c>
      <c r="I925" t="s">
        <v>43</v>
      </c>
      <c r="J925" t="s">
        <v>29</v>
      </c>
      <c r="K925" t="s">
        <v>55</v>
      </c>
      <c r="L925" s="3">
        <v>28</v>
      </c>
      <c r="M925" s="3">
        <v>4</v>
      </c>
      <c r="N925">
        <v>0</v>
      </c>
      <c r="O925">
        <v>2</v>
      </c>
      <c r="P925" t="s">
        <v>31</v>
      </c>
    </row>
    <row r="926" spans="1:16">
      <c r="A926" t="s">
        <v>1084</v>
      </c>
      <c r="B926" s="6" t="s">
        <v>1085</v>
      </c>
      <c r="C926" s="2">
        <v>46080.001201747684</v>
      </c>
      <c r="D926" t="s">
        <v>23</v>
      </c>
      <c r="E926" t="s">
        <v>50</v>
      </c>
      <c r="F926" t="s">
        <v>51</v>
      </c>
      <c r="G926" t="s">
        <v>26</v>
      </c>
      <c r="H926" t="s">
        <v>35</v>
      </c>
      <c r="I926" t="s">
        <v>48</v>
      </c>
      <c r="J926" t="s">
        <v>58</v>
      </c>
      <c r="K926" t="s">
        <v>68</v>
      </c>
      <c r="L926" s="3">
        <v>99</v>
      </c>
      <c r="M926" s="3">
        <v>4</v>
      </c>
      <c r="N926">
        <v>0</v>
      </c>
      <c r="O926">
        <v>2</v>
      </c>
      <c r="P926" t="s">
        <v>31</v>
      </c>
    </row>
    <row r="927" spans="1:16">
      <c r="A927" t="s">
        <v>1086</v>
      </c>
      <c r="B927" s="6">
        <v>46100.01666666667</v>
      </c>
      <c r="C927" s="2">
        <v>46101.605145486108</v>
      </c>
      <c r="D927" t="s">
        <v>23</v>
      </c>
      <c r="E927" t="s">
        <v>33</v>
      </c>
      <c r="F927" t="s">
        <v>41</v>
      </c>
      <c r="G927" t="s">
        <v>26</v>
      </c>
      <c r="H927" t="s">
        <v>35</v>
      </c>
      <c r="I927" t="s">
        <v>43</v>
      </c>
      <c r="J927" t="s">
        <v>52</v>
      </c>
      <c r="K927" t="s">
        <v>71</v>
      </c>
      <c r="L927" s="3">
        <v>442</v>
      </c>
      <c r="M927" s="3">
        <v>2</v>
      </c>
      <c r="N927">
        <v>2</v>
      </c>
      <c r="O927">
        <v>13</v>
      </c>
      <c r="P927" t="s">
        <v>31</v>
      </c>
    </row>
    <row r="928" spans="1:16">
      <c r="A928" t="s">
        <v>1087</v>
      </c>
      <c r="B928" s="6">
        <v>46031.440972222219</v>
      </c>
      <c r="C928" s="2">
        <v>46032.886628831016</v>
      </c>
      <c r="D928" t="s">
        <v>23</v>
      </c>
      <c r="E928" t="s">
        <v>112</v>
      </c>
      <c r="F928" t="s">
        <v>51</v>
      </c>
      <c r="G928" t="s">
        <v>26</v>
      </c>
      <c r="H928" t="s">
        <v>42</v>
      </c>
      <c r="I928" t="s">
        <v>28</v>
      </c>
      <c r="J928" t="s">
        <v>67</v>
      </c>
      <c r="K928" t="s">
        <v>44</v>
      </c>
      <c r="L928" s="3">
        <v>207</v>
      </c>
      <c r="M928" s="3">
        <v>4</v>
      </c>
      <c r="N928">
        <v>0</v>
      </c>
      <c r="O928">
        <v>6</v>
      </c>
      <c r="P928" t="s">
        <v>31</v>
      </c>
    </row>
    <row r="929" spans="1:16">
      <c r="A929" t="s">
        <v>1088</v>
      </c>
      <c r="B929" s="6">
        <v>46101.084722222222</v>
      </c>
      <c r="C929" s="2">
        <v>46102.792161724537</v>
      </c>
      <c r="D929" t="s">
        <v>23</v>
      </c>
      <c r="E929" t="s">
        <v>33</v>
      </c>
      <c r="F929" t="s">
        <v>51</v>
      </c>
      <c r="G929" t="s">
        <v>26</v>
      </c>
      <c r="H929" t="s">
        <v>42</v>
      </c>
      <c r="I929" t="s">
        <v>28</v>
      </c>
      <c r="J929" t="s">
        <v>52</v>
      </c>
      <c r="K929" t="s">
        <v>68</v>
      </c>
      <c r="L929" s="3">
        <v>166</v>
      </c>
      <c r="M929" s="3">
        <v>3</v>
      </c>
      <c r="N929">
        <v>1</v>
      </c>
      <c r="O929">
        <v>7</v>
      </c>
      <c r="P929" t="s">
        <v>31</v>
      </c>
    </row>
    <row r="930" spans="1:16">
      <c r="A930" t="s">
        <v>1089</v>
      </c>
      <c r="B930" s="6">
        <v>46218.17291666667</v>
      </c>
      <c r="C930" s="2" t="s">
        <v>1090</v>
      </c>
      <c r="D930" t="s">
        <v>23</v>
      </c>
      <c r="E930" t="s">
        <v>50</v>
      </c>
      <c r="F930" t="s">
        <v>25</v>
      </c>
      <c r="G930" t="s">
        <v>26</v>
      </c>
      <c r="H930" t="s">
        <v>35</v>
      </c>
      <c r="I930" t="s">
        <v>48</v>
      </c>
      <c r="J930" t="s">
        <v>37</v>
      </c>
      <c r="K930" t="s">
        <v>71</v>
      </c>
      <c r="L930" s="3">
        <v>101</v>
      </c>
      <c r="M930" s="3">
        <v>4</v>
      </c>
      <c r="N930">
        <v>1</v>
      </c>
      <c r="O930">
        <v>11</v>
      </c>
      <c r="P930" t="s">
        <v>31</v>
      </c>
    </row>
    <row r="931" spans="1:16">
      <c r="A931" t="s">
        <v>1091</v>
      </c>
      <c r="B931" s="6">
        <v>46246.39166666667</v>
      </c>
      <c r="C931" s="2">
        <v>46247.887460138889</v>
      </c>
      <c r="D931" t="s">
        <v>23</v>
      </c>
      <c r="E931" t="s">
        <v>595</v>
      </c>
      <c r="F931" t="s">
        <v>51</v>
      </c>
      <c r="G931" t="s">
        <v>66</v>
      </c>
      <c r="H931" t="s">
        <v>35</v>
      </c>
      <c r="I931" t="s">
        <v>48</v>
      </c>
      <c r="J931" t="s">
        <v>37</v>
      </c>
      <c r="K931" t="s">
        <v>68</v>
      </c>
      <c r="L931" s="3">
        <v>125</v>
      </c>
      <c r="M931" s="3">
        <v>4</v>
      </c>
      <c r="N931">
        <v>0</v>
      </c>
      <c r="O931">
        <v>5</v>
      </c>
      <c r="P931" t="s">
        <v>31</v>
      </c>
    </row>
    <row r="932" spans="1:16">
      <c r="A932" t="s">
        <v>1092</v>
      </c>
      <c r="B932" s="6">
        <v>46195.245833333334</v>
      </c>
      <c r="C932" s="2">
        <v>46195.604483020834</v>
      </c>
      <c r="D932" t="s">
        <v>23</v>
      </c>
      <c r="E932" t="s">
        <v>24</v>
      </c>
      <c r="F932" t="s">
        <v>51</v>
      </c>
      <c r="G932" t="s">
        <v>75</v>
      </c>
      <c r="H932" t="s">
        <v>42</v>
      </c>
      <c r="I932" t="s">
        <v>43</v>
      </c>
      <c r="J932" t="s">
        <v>37</v>
      </c>
      <c r="K932" t="s">
        <v>55</v>
      </c>
      <c r="L932" s="3">
        <v>21</v>
      </c>
      <c r="M932" s="3">
        <v>3</v>
      </c>
      <c r="N932">
        <v>3</v>
      </c>
      <c r="O932">
        <v>12</v>
      </c>
      <c r="P932" t="s">
        <v>31</v>
      </c>
    </row>
    <row r="933" spans="1:16">
      <c r="A933" t="s">
        <v>1093</v>
      </c>
      <c r="B933" s="6">
        <v>46219.29583333333</v>
      </c>
      <c r="C933" s="2">
        <v>46221.836989618052</v>
      </c>
      <c r="D933" t="s">
        <v>23</v>
      </c>
      <c r="E933" t="s">
        <v>33</v>
      </c>
      <c r="F933" t="s">
        <v>25</v>
      </c>
      <c r="G933" t="s">
        <v>26</v>
      </c>
      <c r="H933" t="s">
        <v>35</v>
      </c>
      <c r="I933" t="s">
        <v>36</v>
      </c>
      <c r="J933" t="s">
        <v>37</v>
      </c>
      <c r="K933" t="s">
        <v>30</v>
      </c>
      <c r="L933" s="3">
        <v>99</v>
      </c>
      <c r="M933" s="3">
        <v>4</v>
      </c>
      <c r="N933">
        <v>0</v>
      </c>
      <c r="O933">
        <v>5</v>
      </c>
      <c r="P933" t="s">
        <v>31</v>
      </c>
    </row>
    <row r="934" spans="1:16">
      <c r="A934" t="s">
        <v>1094</v>
      </c>
      <c r="B934" s="6">
        <v>46088.038888888892</v>
      </c>
      <c r="C934" s="2">
        <v>46088.372238159725</v>
      </c>
      <c r="D934" t="s">
        <v>23</v>
      </c>
      <c r="F934" t="s">
        <v>25</v>
      </c>
      <c r="G934" t="s">
        <v>75</v>
      </c>
      <c r="H934" t="s">
        <v>27</v>
      </c>
      <c r="I934" t="s">
        <v>43</v>
      </c>
      <c r="J934" t="s">
        <v>29</v>
      </c>
      <c r="K934" t="s">
        <v>93</v>
      </c>
      <c r="L934" s="3">
        <v>104</v>
      </c>
      <c r="M934" s="3">
        <v>4</v>
      </c>
      <c r="N934">
        <v>0</v>
      </c>
      <c r="O934">
        <v>7</v>
      </c>
      <c r="P934" t="s">
        <v>31</v>
      </c>
    </row>
    <row r="935" spans="1:16">
      <c r="A935" t="s">
        <v>1095</v>
      </c>
      <c r="B935" s="6">
        <v>46033.438888888886</v>
      </c>
      <c r="C935" s="2">
        <v>46034.721212870369</v>
      </c>
      <c r="D935" t="s">
        <v>23</v>
      </c>
      <c r="E935" t="s">
        <v>110</v>
      </c>
      <c r="F935" t="s">
        <v>51</v>
      </c>
      <c r="G935" t="s">
        <v>66</v>
      </c>
      <c r="H935" t="s">
        <v>35</v>
      </c>
      <c r="I935" t="s">
        <v>36</v>
      </c>
      <c r="J935" t="s">
        <v>67</v>
      </c>
      <c r="K935" t="s">
        <v>44</v>
      </c>
      <c r="L935" s="3">
        <v>438</v>
      </c>
      <c r="M935" s="3">
        <v>3</v>
      </c>
      <c r="N935">
        <v>0</v>
      </c>
      <c r="O935">
        <v>6</v>
      </c>
      <c r="P935" t="s">
        <v>31</v>
      </c>
    </row>
    <row r="936" spans="1:16">
      <c r="A936" t="s">
        <v>1096</v>
      </c>
      <c r="B936" s="6">
        <v>46068.245833333334</v>
      </c>
      <c r="C936" s="2">
        <v>46069.143109513891</v>
      </c>
      <c r="D936" t="s">
        <v>23</v>
      </c>
      <c r="E936" t="s">
        <v>33</v>
      </c>
      <c r="F936" t="s">
        <v>51</v>
      </c>
      <c r="G936" t="s">
        <v>26</v>
      </c>
      <c r="H936" t="s">
        <v>35</v>
      </c>
      <c r="I936" t="s">
        <v>43</v>
      </c>
      <c r="J936" t="s">
        <v>29</v>
      </c>
      <c r="K936" t="s">
        <v>68</v>
      </c>
      <c r="L936" s="3">
        <v>252</v>
      </c>
      <c r="M936" s="3">
        <v>3</v>
      </c>
      <c r="N936">
        <v>0</v>
      </c>
      <c r="O936">
        <v>3</v>
      </c>
      <c r="P936" t="s">
        <v>31</v>
      </c>
    </row>
    <row r="937" spans="1:16">
      <c r="A937" t="s">
        <v>1097</v>
      </c>
      <c r="B937" s="6">
        <v>46126.344444444447</v>
      </c>
      <c r="C937" s="2"/>
      <c r="D937" t="s">
        <v>57</v>
      </c>
      <c r="E937" t="s">
        <v>50</v>
      </c>
      <c r="F937" t="s">
        <v>51</v>
      </c>
      <c r="G937" t="s">
        <v>26</v>
      </c>
      <c r="H937" t="s">
        <v>35</v>
      </c>
      <c r="I937" t="s">
        <v>36</v>
      </c>
      <c r="J937" t="s">
        <v>67</v>
      </c>
      <c r="K937" t="s">
        <v>93</v>
      </c>
      <c r="L937" s="3">
        <v>73</v>
      </c>
      <c r="M937" s="3"/>
      <c r="N937">
        <v>0</v>
      </c>
      <c r="O937">
        <v>4</v>
      </c>
      <c r="P937" t="s">
        <v>31</v>
      </c>
    </row>
    <row r="938" spans="1:16">
      <c r="A938" t="s">
        <v>1098</v>
      </c>
      <c r="B938" s="6">
        <v>46137.032638888886</v>
      </c>
      <c r="C938" s="2">
        <v>46137.642681747682</v>
      </c>
      <c r="D938" t="s">
        <v>23</v>
      </c>
      <c r="E938" t="s">
        <v>50</v>
      </c>
      <c r="F938" t="s">
        <v>25</v>
      </c>
      <c r="G938" t="s">
        <v>34</v>
      </c>
      <c r="H938" t="s">
        <v>35</v>
      </c>
      <c r="I938" t="s">
        <v>36</v>
      </c>
      <c r="J938" t="s">
        <v>601</v>
      </c>
      <c r="K938" t="s">
        <v>30</v>
      </c>
      <c r="L938" s="3">
        <v>93</v>
      </c>
      <c r="M938" s="3">
        <v>4</v>
      </c>
      <c r="N938">
        <v>0</v>
      </c>
      <c r="O938">
        <v>4</v>
      </c>
      <c r="P938" t="s">
        <v>31</v>
      </c>
    </row>
    <row r="939" spans="1:16">
      <c r="A939" t="s">
        <v>1099</v>
      </c>
      <c r="B939" s="6">
        <v>46128.65347222222</v>
      </c>
      <c r="C939" s="2">
        <v>46129.842480023151</v>
      </c>
      <c r="D939" t="s">
        <v>23</v>
      </c>
      <c r="E939" t="s">
        <v>50</v>
      </c>
      <c r="F939" t="s">
        <v>51</v>
      </c>
      <c r="G939" t="s">
        <v>34</v>
      </c>
      <c r="H939" t="s">
        <v>35</v>
      </c>
      <c r="I939" t="s">
        <v>28</v>
      </c>
      <c r="J939" t="s">
        <v>52</v>
      </c>
      <c r="K939" t="s">
        <v>38</v>
      </c>
      <c r="L939" s="3">
        <v>74</v>
      </c>
      <c r="M939" s="3">
        <v>4</v>
      </c>
      <c r="N939">
        <v>0</v>
      </c>
      <c r="O939">
        <v>5</v>
      </c>
      <c r="P939" t="s">
        <v>31</v>
      </c>
    </row>
    <row r="940" spans="1:16">
      <c r="A940" t="s">
        <v>1100</v>
      </c>
      <c r="B940" s="6">
        <v>46115.354166666664</v>
      </c>
      <c r="C940" s="2">
        <v>46116.827770300923</v>
      </c>
      <c r="D940" t="s">
        <v>23</v>
      </c>
      <c r="E940" t="s">
        <v>33</v>
      </c>
      <c r="F940" t="s">
        <v>25</v>
      </c>
      <c r="G940" t="s">
        <v>26</v>
      </c>
      <c r="H940" t="s">
        <v>35</v>
      </c>
      <c r="I940" t="s">
        <v>43</v>
      </c>
      <c r="J940" t="s">
        <v>76</v>
      </c>
      <c r="K940" t="s">
        <v>101</v>
      </c>
      <c r="L940" s="3">
        <v>135</v>
      </c>
      <c r="M940" s="3">
        <v>4</v>
      </c>
      <c r="N940">
        <v>0</v>
      </c>
      <c r="O940">
        <v>5</v>
      </c>
      <c r="P940" t="s">
        <v>31</v>
      </c>
    </row>
    <row r="941" spans="1:16">
      <c r="A941" t="s">
        <v>1101</v>
      </c>
      <c r="B941" s="6">
        <v>46186.348611111112</v>
      </c>
      <c r="C941" s="2">
        <v>46187.664100358794</v>
      </c>
      <c r="D941" t="s">
        <v>23</v>
      </c>
      <c r="E941" t="s">
        <v>33</v>
      </c>
      <c r="F941" t="s">
        <v>51</v>
      </c>
      <c r="G941" t="s">
        <v>54</v>
      </c>
      <c r="H941" t="s">
        <v>42</v>
      </c>
      <c r="I941" t="s">
        <v>48</v>
      </c>
      <c r="J941" t="s">
        <v>29</v>
      </c>
      <c r="K941" t="s">
        <v>62</v>
      </c>
      <c r="L941" s="3">
        <v>62</v>
      </c>
      <c r="M941" s="3">
        <v>4</v>
      </c>
      <c r="N941">
        <v>1</v>
      </c>
      <c r="O941">
        <v>14</v>
      </c>
      <c r="P941" t="s">
        <v>63</v>
      </c>
    </row>
    <row r="942" spans="1:16">
      <c r="A942" t="s">
        <v>1102</v>
      </c>
      <c r="B942" s="6">
        <v>46202.810416666667</v>
      </c>
      <c r="C942" s="2">
        <v>46203.521523194446</v>
      </c>
      <c r="D942" t="s">
        <v>23</v>
      </c>
      <c r="E942" t="s">
        <v>50</v>
      </c>
      <c r="F942" t="s">
        <v>25</v>
      </c>
      <c r="G942" t="s">
        <v>26</v>
      </c>
      <c r="H942" t="s">
        <v>42</v>
      </c>
      <c r="I942" t="s">
        <v>43</v>
      </c>
      <c r="J942" t="s">
        <v>67</v>
      </c>
      <c r="K942" t="s">
        <v>93</v>
      </c>
      <c r="L942" s="3">
        <v>124</v>
      </c>
      <c r="M942" s="3">
        <v>4</v>
      </c>
      <c r="N942">
        <v>0</v>
      </c>
      <c r="O942">
        <v>2</v>
      </c>
      <c r="P942" t="s">
        <v>31</v>
      </c>
    </row>
    <row r="943" spans="1:16">
      <c r="A943" t="s">
        <v>1103</v>
      </c>
      <c r="B943" s="6">
        <v>46226.452777777777</v>
      </c>
      <c r="C943" s="2">
        <v>46226.987442106481</v>
      </c>
      <c r="D943" t="s">
        <v>23</v>
      </c>
      <c r="E943" t="s">
        <v>40</v>
      </c>
      <c r="F943" t="s">
        <v>51</v>
      </c>
      <c r="G943" t="s">
        <v>26</v>
      </c>
      <c r="H943" t="s">
        <v>27</v>
      </c>
      <c r="I943" t="s">
        <v>28</v>
      </c>
      <c r="J943" t="s">
        <v>67</v>
      </c>
      <c r="K943" t="s">
        <v>71</v>
      </c>
      <c r="L943" s="3">
        <v>36</v>
      </c>
      <c r="M943" s="3">
        <v>4</v>
      </c>
      <c r="N943">
        <v>0</v>
      </c>
      <c r="O943">
        <v>5</v>
      </c>
      <c r="P943" t="s">
        <v>31</v>
      </c>
    </row>
    <row r="944" spans="1:16">
      <c r="A944" t="s">
        <v>1104</v>
      </c>
      <c r="B944" s="6">
        <v>46067.604861111111</v>
      </c>
      <c r="C944" s="2">
        <v>46068.371131041669</v>
      </c>
      <c r="D944" t="s">
        <v>23</v>
      </c>
      <c r="E944" t="s">
        <v>40</v>
      </c>
      <c r="F944" t="s">
        <v>25</v>
      </c>
      <c r="G944" t="s">
        <v>34</v>
      </c>
      <c r="H944" t="s">
        <v>27</v>
      </c>
      <c r="I944" t="s">
        <v>28</v>
      </c>
      <c r="J944" t="s">
        <v>67</v>
      </c>
      <c r="K944" t="s">
        <v>62</v>
      </c>
      <c r="L944" s="3">
        <v>28</v>
      </c>
      <c r="M944" s="3">
        <v>4</v>
      </c>
      <c r="N944">
        <v>0</v>
      </c>
      <c r="O944">
        <v>5</v>
      </c>
      <c r="P944" t="s">
        <v>31</v>
      </c>
    </row>
    <row r="945" spans="1:16">
      <c r="A945" t="s">
        <v>1105</v>
      </c>
      <c r="B945" s="6" t="s">
        <v>1106</v>
      </c>
      <c r="C945" s="2">
        <v>46041.816114270834</v>
      </c>
      <c r="D945" t="s">
        <v>23</v>
      </c>
      <c r="E945" t="s">
        <v>33</v>
      </c>
      <c r="F945" t="s">
        <v>65</v>
      </c>
      <c r="G945" t="s">
        <v>34</v>
      </c>
      <c r="H945" t="s">
        <v>42</v>
      </c>
      <c r="I945" t="s">
        <v>36</v>
      </c>
      <c r="J945" t="s">
        <v>29</v>
      </c>
      <c r="K945" t="s">
        <v>68</v>
      </c>
      <c r="L945" s="3">
        <v>346</v>
      </c>
      <c r="M945" s="3">
        <v>3</v>
      </c>
      <c r="N945">
        <v>0</v>
      </c>
      <c r="O945">
        <v>6</v>
      </c>
      <c r="P945" t="s">
        <v>31</v>
      </c>
    </row>
    <row r="946" spans="1:16">
      <c r="A946" t="s">
        <v>1107</v>
      </c>
      <c r="B946" s="6">
        <v>46092.336111111108</v>
      </c>
      <c r="C946" s="2">
        <v>46095.603387858799</v>
      </c>
      <c r="D946" t="s">
        <v>23</v>
      </c>
      <c r="E946" t="s">
        <v>50</v>
      </c>
      <c r="F946" t="s">
        <v>51</v>
      </c>
      <c r="G946" t="s">
        <v>26</v>
      </c>
      <c r="H946" t="s">
        <v>27</v>
      </c>
      <c r="I946" t="s">
        <v>28</v>
      </c>
      <c r="J946" t="s">
        <v>58</v>
      </c>
      <c r="K946" t="s">
        <v>62</v>
      </c>
      <c r="L946" s="3">
        <v>73</v>
      </c>
      <c r="M946" s="3">
        <v>4</v>
      </c>
      <c r="N946">
        <v>0</v>
      </c>
      <c r="O946">
        <v>7</v>
      </c>
      <c r="P946" t="s">
        <v>31</v>
      </c>
    </row>
    <row r="947" spans="1:16">
      <c r="A947" t="s">
        <v>1108</v>
      </c>
      <c r="B947" s="6">
        <v>46102.429166666669</v>
      </c>
      <c r="C947" s="2">
        <v>46102.846386493053</v>
      </c>
      <c r="D947" t="s">
        <v>23</v>
      </c>
      <c r="E947" t="s">
        <v>50</v>
      </c>
      <c r="F947" t="s">
        <v>41</v>
      </c>
      <c r="G947" t="s">
        <v>26</v>
      </c>
      <c r="H947" t="s">
        <v>27</v>
      </c>
      <c r="I947" t="s">
        <v>28</v>
      </c>
      <c r="J947" t="s">
        <v>52</v>
      </c>
      <c r="K947" t="s">
        <v>30</v>
      </c>
      <c r="L947" s="3">
        <v>122</v>
      </c>
      <c r="M947" s="3">
        <v>4</v>
      </c>
      <c r="N947">
        <v>1</v>
      </c>
      <c r="O947">
        <v>8</v>
      </c>
      <c r="P947" t="s">
        <v>31</v>
      </c>
    </row>
    <row r="948" spans="1:16">
      <c r="A948" t="s">
        <v>1109</v>
      </c>
      <c r="B948" s="6">
        <v>46200.34375</v>
      </c>
      <c r="C948" s="2">
        <v>46201.008522418982</v>
      </c>
      <c r="D948" t="s">
        <v>23</v>
      </c>
      <c r="E948" t="s">
        <v>50</v>
      </c>
      <c r="F948" t="s">
        <v>51</v>
      </c>
      <c r="G948" t="s">
        <v>34</v>
      </c>
      <c r="H948" t="s">
        <v>42</v>
      </c>
      <c r="I948" t="s">
        <v>36</v>
      </c>
      <c r="J948" t="s">
        <v>52</v>
      </c>
      <c r="K948" t="s">
        <v>62</v>
      </c>
      <c r="L948" s="3">
        <v>52</v>
      </c>
      <c r="M948" s="3">
        <v>4</v>
      </c>
      <c r="N948">
        <v>0</v>
      </c>
      <c r="O948">
        <v>7</v>
      </c>
      <c r="P948" t="s">
        <v>31</v>
      </c>
    </row>
    <row r="949" spans="1:16">
      <c r="A949" t="s">
        <v>1110</v>
      </c>
      <c r="B949" s="6">
        <v>46171.313888888886</v>
      </c>
      <c r="C949" s="2">
        <v>46171.909930081019</v>
      </c>
      <c r="D949" t="s">
        <v>23</v>
      </c>
      <c r="E949" t="s">
        <v>50</v>
      </c>
      <c r="F949" t="s">
        <v>51</v>
      </c>
      <c r="G949" t="s">
        <v>34</v>
      </c>
      <c r="H949" t="s">
        <v>27</v>
      </c>
      <c r="I949" t="s">
        <v>48</v>
      </c>
      <c r="J949" t="s">
        <v>37</v>
      </c>
      <c r="K949" t="s">
        <v>93</v>
      </c>
      <c r="L949" s="3">
        <v>70</v>
      </c>
      <c r="M949" s="3">
        <v>4</v>
      </c>
      <c r="N949">
        <v>0</v>
      </c>
      <c r="O949">
        <v>4</v>
      </c>
      <c r="P949" t="s">
        <v>31</v>
      </c>
    </row>
    <row r="950" spans="1:16">
      <c r="A950" t="s">
        <v>1111</v>
      </c>
      <c r="B950" s="6">
        <v>46196.415972222225</v>
      </c>
      <c r="C950" s="2">
        <v>46197.223137152774</v>
      </c>
      <c r="D950" t="s">
        <v>23</v>
      </c>
      <c r="E950" t="s">
        <v>50</v>
      </c>
      <c r="F950" t="s">
        <v>51</v>
      </c>
      <c r="G950" t="s">
        <v>66</v>
      </c>
      <c r="H950" t="s">
        <v>35</v>
      </c>
      <c r="I950" t="s">
        <v>36</v>
      </c>
      <c r="J950" t="s">
        <v>58</v>
      </c>
      <c r="K950" t="s">
        <v>44</v>
      </c>
      <c r="L950" s="3" t="s">
        <v>1112</v>
      </c>
      <c r="M950" s="3">
        <v>4</v>
      </c>
      <c r="N950">
        <v>0</v>
      </c>
      <c r="O950">
        <v>5</v>
      </c>
      <c r="P950" t="s">
        <v>31</v>
      </c>
    </row>
    <row r="951" spans="1:16">
      <c r="A951" t="s">
        <v>1113</v>
      </c>
      <c r="B951" s="6">
        <v>46192.623611111114</v>
      </c>
      <c r="C951" s="2">
        <v>46193.205060277774</v>
      </c>
      <c r="D951" t="s">
        <v>23</v>
      </c>
      <c r="E951" t="s">
        <v>50</v>
      </c>
      <c r="F951" t="s">
        <v>25</v>
      </c>
      <c r="G951" t="s">
        <v>75</v>
      </c>
      <c r="H951" t="s">
        <v>35</v>
      </c>
      <c r="I951" t="s">
        <v>28</v>
      </c>
      <c r="J951" t="s">
        <v>52</v>
      </c>
      <c r="K951" t="s">
        <v>44</v>
      </c>
      <c r="L951" s="3">
        <v>64</v>
      </c>
      <c r="M951" s="3">
        <v>4</v>
      </c>
      <c r="N951">
        <v>1</v>
      </c>
      <c r="O951">
        <v>8</v>
      </c>
      <c r="P951" t="s">
        <v>31</v>
      </c>
    </row>
    <row r="952" spans="1:16">
      <c r="A952" t="s">
        <v>1023</v>
      </c>
      <c r="B952" s="6">
        <v>46175.32708333333</v>
      </c>
      <c r="C952" s="2">
        <v>46176.788532696759</v>
      </c>
      <c r="D952" t="s">
        <v>23</v>
      </c>
      <c r="E952" t="s">
        <v>40</v>
      </c>
      <c r="F952" t="s">
        <v>65</v>
      </c>
      <c r="G952" t="s">
        <v>26</v>
      </c>
      <c r="H952" t="s">
        <v>35</v>
      </c>
      <c r="I952" t="s">
        <v>28</v>
      </c>
      <c r="J952" t="s">
        <v>76</v>
      </c>
      <c r="K952" t="s">
        <v>30</v>
      </c>
      <c r="L952" s="3">
        <v>54</v>
      </c>
      <c r="M952" s="3">
        <v>4</v>
      </c>
      <c r="N952">
        <v>0</v>
      </c>
      <c r="O952">
        <v>6</v>
      </c>
      <c r="P952" t="s">
        <v>31</v>
      </c>
    </row>
    <row r="953" spans="1:16">
      <c r="A953" t="s">
        <v>1114</v>
      </c>
      <c r="B953" s="6">
        <v>46205.366666666669</v>
      </c>
      <c r="C953" s="2">
        <v>46206.948426423609</v>
      </c>
      <c r="D953" t="s">
        <v>23</v>
      </c>
      <c r="E953" t="s">
        <v>33</v>
      </c>
      <c r="F953" t="s">
        <v>25</v>
      </c>
      <c r="G953" t="s">
        <v>26</v>
      </c>
      <c r="H953" t="s">
        <v>42</v>
      </c>
      <c r="I953" t="s">
        <v>48</v>
      </c>
      <c r="J953" t="s">
        <v>67</v>
      </c>
      <c r="K953" t="s">
        <v>62</v>
      </c>
      <c r="L953" s="3">
        <v>225</v>
      </c>
      <c r="M953" s="3">
        <v>3</v>
      </c>
      <c r="N953">
        <v>0</v>
      </c>
      <c r="O953">
        <v>5</v>
      </c>
      <c r="P953" t="s">
        <v>31</v>
      </c>
    </row>
    <row r="954" spans="1:16">
      <c r="A954" t="s">
        <v>1115</v>
      </c>
      <c r="B954" s="6">
        <v>46116.957638888889</v>
      </c>
      <c r="C954" s="2">
        <v>46117.862046979164</v>
      </c>
      <c r="D954" t="s">
        <v>23</v>
      </c>
      <c r="E954" t="s">
        <v>50</v>
      </c>
      <c r="F954" t="s">
        <v>25</v>
      </c>
      <c r="G954" t="s">
        <v>66</v>
      </c>
      <c r="H954" t="s">
        <v>27</v>
      </c>
      <c r="I954" t="s">
        <v>43</v>
      </c>
      <c r="J954" t="s">
        <v>76</v>
      </c>
      <c r="K954" t="s">
        <v>30</v>
      </c>
      <c r="L954" s="3">
        <v>141</v>
      </c>
      <c r="M954" s="3">
        <v>4</v>
      </c>
      <c r="N954">
        <v>0</v>
      </c>
      <c r="O954">
        <v>2</v>
      </c>
      <c r="P954" t="s">
        <v>31</v>
      </c>
    </row>
    <row r="955" spans="1:16">
      <c r="A955" t="s">
        <v>1116</v>
      </c>
      <c r="B955" s="6">
        <v>46173.793055555558</v>
      </c>
      <c r="C955" s="2">
        <v>46174.682996388889</v>
      </c>
      <c r="D955" t="s">
        <v>23</v>
      </c>
      <c r="E955" t="s">
        <v>40</v>
      </c>
      <c r="F955" t="s">
        <v>51</v>
      </c>
      <c r="G955" t="s">
        <v>26</v>
      </c>
      <c r="H955" t="s">
        <v>42</v>
      </c>
      <c r="I955" t="s">
        <v>28</v>
      </c>
      <c r="J955" t="s">
        <v>37</v>
      </c>
      <c r="K955" t="s">
        <v>55</v>
      </c>
      <c r="L955" s="3">
        <v>41</v>
      </c>
      <c r="M955" s="3">
        <v>4</v>
      </c>
      <c r="N955">
        <v>0</v>
      </c>
      <c r="O955">
        <v>2</v>
      </c>
      <c r="P955" t="s">
        <v>31</v>
      </c>
    </row>
    <row r="956" spans="1:16">
      <c r="A956" t="s">
        <v>1117</v>
      </c>
      <c r="B956" s="6" t="s">
        <v>1118</v>
      </c>
      <c r="C956" s="2">
        <v>46036.543447916665</v>
      </c>
      <c r="D956" t="s">
        <v>23</v>
      </c>
      <c r="E956" t="s">
        <v>33</v>
      </c>
      <c r="F956" t="s">
        <v>25</v>
      </c>
      <c r="G956" t="s">
        <v>54</v>
      </c>
      <c r="H956" t="s">
        <v>27</v>
      </c>
      <c r="I956" t="s">
        <v>48</v>
      </c>
      <c r="J956" t="s">
        <v>58</v>
      </c>
      <c r="K956" t="s">
        <v>55</v>
      </c>
      <c r="L956" s="3">
        <v>402</v>
      </c>
      <c r="M956" s="3">
        <v>3</v>
      </c>
      <c r="N956">
        <v>0</v>
      </c>
      <c r="O956">
        <v>5</v>
      </c>
      <c r="P956" t="s">
        <v>31</v>
      </c>
    </row>
    <row r="957" spans="1:16">
      <c r="A957" t="s">
        <v>1119</v>
      </c>
      <c r="B957" s="6">
        <v>46111.163888888892</v>
      </c>
      <c r="C957" s="2" t="s">
        <v>1120</v>
      </c>
      <c r="D957" t="s">
        <v>23</v>
      </c>
      <c r="E957" t="s">
        <v>50</v>
      </c>
      <c r="F957" t="s">
        <v>25</v>
      </c>
      <c r="G957" t="s">
        <v>26</v>
      </c>
      <c r="H957" t="s">
        <v>42</v>
      </c>
      <c r="I957" t="s">
        <v>48</v>
      </c>
      <c r="J957" t="s">
        <v>52</v>
      </c>
      <c r="K957" t="s">
        <v>62</v>
      </c>
      <c r="L957" s="3">
        <v>102</v>
      </c>
      <c r="M957" s="3">
        <v>4</v>
      </c>
      <c r="N957">
        <v>0</v>
      </c>
      <c r="O957">
        <v>6</v>
      </c>
      <c r="P957" t="s">
        <v>31</v>
      </c>
    </row>
    <row r="958" spans="1:16">
      <c r="A958" t="s">
        <v>1121</v>
      </c>
      <c r="B958" s="6">
        <v>46142.201388888891</v>
      </c>
      <c r="C958" s="2">
        <v>46142.466505115743</v>
      </c>
      <c r="D958" t="s">
        <v>23</v>
      </c>
      <c r="F958" t="s">
        <v>51</v>
      </c>
      <c r="G958" t="s">
        <v>26</v>
      </c>
      <c r="H958" t="s">
        <v>35</v>
      </c>
      <c r="I958" t="s">
        <v>48</v>
      </c>
      <c r="J958" t="s">
        <v>52</v>
      </c>
      <c r="K958" t="s">
        <v>30</v>
      </c>
      <c r="L958" s="3">
        <v>145</v>
      </c>
      <c r="M958" s="3">
        <v>4</v>
      </c>
      <c r="N958">
        <v>0</v>
      </c>
      <c r="O958">
        <v>3</v>
      </c>
      <c r="P958" t="s">
        <v>31</v>
      </c>
    </row>
    <row r="959" spans="1:16">
      <c r="A959" t="s">
        <v>1122</v>
      </c>
      <c r="B959" s="6">
        <v>46204.474999999999</v>
      </c>
      <c r="C959" s="2">
        <v>46204.789455208331</v>
      </c>
      <c r="D959" t="s">
        <v>23</v>
      </c>
      <c r="E959" t="s">
        <v>50</v>
      </c>
      <c r="F959" t="s">
        <v>41</v>
      </c>
      <c r="G959" t="s">
        <v>54</v>
      </c>
      <c r="H959" t="s">
        <v>42</v>
      </c>
      <c r="I959" t="s">
        <v>43</v>
      </c>
      <c r="J959" t="s">
        <v>29</v>
      </c>
      <c r="K959" t="s">
        <v>62</v>
      </c>
      <c r="L959" s="3">
        <v>50</v>
      </c>
      <c r="M959" s="3">
        <v>5</v>
      </c>
      <c r="N959">
        <v>0</v>
      </c>
      <c r="O959">
        <v>2</v>
      </c>
      <c r="P959" t="s">
        <v>31</v>
      </c>
    </row>
    <row r="960" spans="1:16">
      <c r="A960" t="s">
        <v>1123</v>
      </c>
      <c r="B960" s="6">
        <v>46059.106944444444</v>
      </c>
      <c r="C960" s="2">
        <v>46060.892093587965</v>
      </c>
      <c r="D960" t="s">
        <v>23</v>
      </c>
      <c r="E960" t="s">
        <v>33</v>
      </c>
      <c r="F960" t="s">
        <v>100</v>
      </c>
      <c r="G960" t="s">
        <v>34</v>
      </c>
      <c r="H960" t="s">
        <v>27</v>
      </c>
      <c r="I960" t="s">
        <v>36</v>
      </c>
      <c r="J960" t="s">
        <v>37</v>
      </c>
      <c r="K960" t="s">
        <v>44</v>
      </c>
      <c r="L960" s="3">
        <v>234</v>
      </c>
      <c r="M960" s="3">
        <v>3</v>
      </c>
      <c r="N960">
        <v>0</v>
      </c>
      <c r="O960">
        <v>5</v>
      </c>
      <c r="P960" t="s">
        <v>31</v>
      </c>
    </row>
    <row r="961" spans="1:16">
      <c r="A961" t="s">
        <v>1124</v>
      </c>
      <c r="B961" s="6">
        <v>46166.884722222225</v>
      </c>
      <c r="C961" s="2">
        <v>46169.383729594905</v>
      </c>
      <c r="D961" t="s">
        <v>23</v>
      </c>
      <c r="E961" t="s">
        <v>33</v>
      </c>
      <c r="F961" t="s">
        <v>41</v>
      </c>
      <c r="G961" t="s">
        <v>75</v>
      </c>
      <c r="H961" t="s">
        <v>27</v>
      </c>
      <c r="I961" t="s">
        <v>36</v>
      </c>
      <c r="J961" t="s">
        <v>58</v>
      </c>
      <c r="K961" t="s">
        <v>44</v>
      </c>
      <c r="L961" s="3">
        <v>325</v>
      </c>
      <c r="M961" s="3">
        <v>3</v>
      </c>
      <c r="N961">
        <v>0</v>
      </c>
      <c r="O961">
        <v>6</v>
      </c>
      <c r="P961" t="s">
        <v>31</v>
      </c>
    </row>
    <row r="962" spans="1:16">
      <c r="A962" t="s">
        <v>1125</v>
      </c>
      <c r="B962" s="6">
        <v>46184.664583333331</v>
      </c>
      <c r="C962" s="2">
        <v>46186.801655740739</v>
      </c>
      <c r="D962" t="s">
        <v>23</v>
      </c>
      <c r="E962" t="s">
        <v>50</v>
      </c>
      <c r="F962" t="s">
        <v>25</v>
      </c>
      <c r="G962" t="s">
        <v>259</v>
      </c>
      <c r="H962" t="s">
        <v>42</v>
      </c>
      <c r="I962" t="s">
        <v>48</v>
      </c>
      <c r="J962" t="s">
        <v>58</v>
      </c>
      <c r="K962" t="s">
        <v>71</v>
      </c>
      <c r="L962" s="3">
        <v>72</v>
      </c>
      <c r="M962" s="3">
        <v>3</v>
      </c>
      <c r="N962">
        <v>1</v>
      </c>
      <c r="O962">
        <v>8</v>
      </c>
      <c r="P962" t="s">
        <v>31</v>
      </c>
    </row>
    <row r="963" spans="1:16">
      <c r="A963" t="s">
        <v>1126</v>
      </c>
      <c r="B963" s="6">
        <v>46226.469444444447</v>
      </c>
      <c r="C963" s="2">
        <v>46227.292670300929</v>
      </c>
      <c r="D963" t="s">
        <v>23</v>
      </c>
      <c r="E963" t="s">
        <v>50</v>
      </c>
      <c r="F963" t="s">
        <v>41</v>
      </c>
      <c r="G963" t="s">
        <v>26</v>
      </c>
      <c r="H963" t="s">
        <v>27</v>
      </c>
      <c r="I963" t="s">
        <v>28</v>
      </c>
      <c r="J963" t="s">
        <v>52</v>
      </c>
      <c r="K963" t="s">
        <v>85</v>
      </c>
      <c r="L963" s="3">
        <v>50</v>
      </c>
      <c r="M963" s="3">
        <v>4</v>
      </c>
      <c r="N963">
        <v>1</v>
      </c>
      <c r="O963">
        <v>10</v>
      </c>
      <c r="P963" t="s">
        <v>31</v>
      </c>
    </row>
    <row r="964" spans="1:16">
      <c r="A964" t="s">
        <v>1127</v>
      </c>
      <c r="B964" s="6">
        <v>46145.05972222222</v>
      </c>
      <c r="C964" s="2"/>
      <c r="D964" t="s">
        <v>74</v>
      </c>
      <c r="E964" t="s">
        <v>33</v>
      </c>
      <c r="F964" t="s">
        <v>51</v>
      </c>
      <c r="G964" t="s">
        <v>54</v>
      </c>
      <c r="H964" t="s">
        <v>27</v>
      </c>
      <c r="I964" t="s">
        <v>28</v>
      </c>
      <c r="J964" t="s">
        <v>29</v>
      </c>
      <c r="K964" t="s">
        <v>55</v>
      </c>
      <c r="L964" s="3">
        <v>614</v>
      </c>
      <c r="M964" s="3"/>
      <c r="N964">
        <v>0</v>
      </c>
      <c r="O964">
        <v>6</v>
      </c>
      <c r="P964" t="s">
        <v>31</v>
      </c>
    </row>
    <row r="965" spans="1:16">
      <c r="A965" t="s">
        <v>1128</v>
      </c>
      <c r="B965" s="6">
        <v>46178.11041666667</v>
      </c>
      <c r="C965" s="2" t="s">
        <v>1129</v>
      </c>
      <c r="D965" t="s">
        <v>23</v>
      </c>
      <c r="E965" t="s">
        <v>40</v>
      </c>
      <c r="F965" t="s">
        <v>41</v>
      </c>
      <c r="G965" t="s">
        <v>34</v>
      </c>
      <c r="H965" t="s">
        <v>27</v>
      </c>
      <c r="I965" t="s">
        <v>28</v>
      </c>
      <c r="J965" t="s">
        <v>76</v>
      </c>
      <c r="K965" t="s">
        <v>85</v>
      </c>
      <c r="L965" s="3">
        <v>31</v>
      </c>
      <c r="M965" s="3">
        <v>4</v>
      </c>
      <c r="N965">
        <v>0</v>
      </c>
      <c r="O965">
        <v>3</v>
      </c>
      <c r="P965" t="s">
        <v>31</v>
      </c>
    </row>
    <row r="966" spans="1:16">
      <c r="A966" t="s">
        <v>1130</v>
      </c>
      <c r="B966" s="6">
        <v>46079.789583333331</v>
      </c>
      <c r="C966" s="2">
        <v>46084.111744224538</v>
      </c>
      <c r="D966" t="s">
        <v>23</v>
      </c>
      <c r="E966" t="s">
        <v>33</v>
      </c>
      <c r="F966" t="s">
        <v>51</v>
      </c>
      <c r="G966" t="s">
        <v>26</v>
      </c>
      <c r="H966" t="s">
        <v>42</v>
      </c>
      <c r="I966" t="s">
        <v>28</v>
      </c>
      <c r="J966" t="s">
        <v>76</v>
      </c>
      <c r="K966" t="s">
        <v>93</v>
      </c>
      <c r="L966" s="3">
        <v>179</v>
      </c>
      <c r="M966" s="3">
        <v>3</v>
      </c>
      <c r="N966">
        <v>0</v>
      </c>
      <c r="O966">
        <v>10</v>
      </c>
      <c r="P966" t="s">
        <v>63</v>
      </c>
    </row>
    <row r="967" spans="1:16">
      <c r="A967" t="s">
        <v>1131</v>
      </c>
      <c r="B967" s="6">
        <v>46210.214583333334</v>
      </c>
      <c r="C967" s="2">
        <v>46210.637632893522</v>
      </c>
      <c r="D967" t="s">
        <v>23</v>
      </c>
      <c r="E967" t="s">
        <v>40</v>
      </c>
      <c r="F967" t="s">
        <v>51</v>
      </c>
      <c r="G967" t="s">
        <v>34</v>
      </c>
      <c r="H967" t="s">
        <v>35</v>
      </c>
      <c r="I967" t="s">
        <v>43</v>
      </c>
      <c r="J967" t="s">
        <v>37</v>
      </c>
      <c r="K967" t="s">
        <v>68</v>
      </c>
      <c r="L967" s="3">
        <v>126</v>
      </c>
      <c r="M967" s="3">
        <v>3</v>
      </c>
      <c r="N967">
        <v>0</v>
      </c>
      <c r="O967">
        <v>8</v>
      </c>
      <c r="P967" t="s">
        <v>63</v>
      </c>
    </row>
    <row r="968" spans="1:16">
      <c r="A968" t="s">
        <v>1132</v>
      </c>
      <c r="B968" s="6">
        <v>46213.787499999999</v>
      </c>
      <c r="C968" s="2">
        <v>46214.57171300926</v>
      </c>
      <c r="D968" t="s">
        <v>23</v>
      </c>
      <c r="E968" t="s">
        <v>50</v>
      </c>
      <c r="F968" t="s">
        <v>51</v>
      </c>
      <c r="G968" t="s">
        <v>66</v>
      </c>
      <c r="H968" t="s">
        <v>42</v>
      </c>
      <c r="I968" t="s">
        <v>43</v>
      </c>
      <c r="J968" t="s">
        <v>37</v>
      </c>
      <c r="K968" t="s">
        <v>85</v>
      </c>
      <c r="L968" s="3">
        <v>58</v>
      </c>
      <c r="M968" s="3">
        <v>3</v>
      </c>
      <c r="N968">
        <v>3</v>
      </c>
      <c r="O968">
        <v>14</v>
      </c>
      <c r="P968" t="s">
        <v>31</v>
      </c>
    </row>
    <row r="969" spans="1:16">
      <c r="A969" t="s">
        <v>1133</v>
      </c>
      <c r="B969" s="6">
        <v>46222.152083333334</v>
      </c>
      <c r="C969" s="2">
        <v>46222.922857557867</v>
      </c>
      <c r="D969" t="s">
        <v>23</v>
      </c>
      <c r="E969" t="s">
        <v>50</v>
      </c>
      <c r="F969" t="s">
        <v>25</v>
      </c>
      <c r="G969" t="s">
        <v>26</v>
      </c>
      <c r="H969" t="s">
        <v>42</v>
      </c>
      <c r="I969" t="s">
        <v>28</v>
      </c>
      <c r="J969" t="s">
        <v>67</v>
      </c>
      <c r="K969" t="s">
        <v>68</v>
      </c>
      <c r="L969" s="3">
        <v>65</v>
      </c>
      <c r="M969" s="3">
        <v>4</v>
      </c>
      <c r="N969">
        <v>0</v>
      </c>
      <c r="O969">
        <v>5</v>
      </c>
      <c r="P969" t="s">
        <v>31</v>
      </c>
    </row>
    <row r="970" spans="1:16">
      <c r="A970" t="s">
        <v>1134</v>
      </c>
      <c r="B970" s="6">
        <v>46200.18472222222</v>
      </c>
      <c r="C970" s="2">
        <v>46201.572077314813</v>
      </c>
      <c r="D970" t="s">
        <v>23</v>
      </c>
      <c r="E970" t="s">
        <v>50</v>
      </c>
      <c r="F970" t="s">
        <v>41</v>
      </c>
      <c r="G970" t="s">
        <v>26</v>
      </c>
      <c r="H970" t="s">
        <v>27</v>
      </c>
      <c r="I970" t="s">
        <v>28</v>
      </c>
      <c r="J970" t="s">
        <v>58</v>
      </c>
      <c r="K970" t="s">
        <v>62</v>
      </c>
      <c r="L970" s="3">
        <v>461</v>
      </c>
      <c r="M970" s="3">
        <v>3</v>
      </c>
      <c r="N970">
        <v>0</v>
      </c>
      <c r="O970">
        <v>2</v>
      </c>
      <c r="P970" t="s">
        <v>31</v>
      </c>
    </row>
    <row r="971" spans="1:16">
      <c r="A971" t="s">
        <v>1135</v>
      </c>
      <c r="B971" s="6" t="s">
        <v>1136</v>
      </c>
      <c r="C971" s="2">
        <v>46155.660097719905</v>
      </c>
      <c r="D971" t="s">
        <v>23</v>
      </c>
      <c r="E971" t="s">
        <v>33</v>
      </c>
      <c r="F971" t="s">
        <v>41</v>
      </c>
      <c r="G971" t="s">
        <v>26</v>
      </c>
      <c r="H971" t="s">
        <v>35</v>
      </c>
      <c r="I971" t="s">
        <v>28</v>
      </c>
      <c r="J971" t="s">
        <v>37</v>
      </c>
      <c r="K971" t="s">
        <v>62</v>
      </c>
      <c r="L971" s="3">
        <v>231</v>
      </c>
      <c r="M971" s="3">
        <v>3</v>
      </c>
      <c r="N971">
        <v>1</v>
      </c>
      <c r="O971">
        <v>7</v>
      </c>
      <c r="P971" t="s">
        <v>31</v>
      </c>
    </row>
    <row r="972" spans="1:16">
      <c r="A972" t="s">
        <v>1137</v>
      </c>
      <c r="B972" s="6">
        <v>46154.613888888889</v>
      </c>
      <c r="C972" s="2">
        <v>46155.307709351851</v>
      </c>
      <c r="D972" t="s">
        <v>23</v>
      </c>
      <c r="E972" t="s">
        <v>50</v>
      </c>
      <c r="F972" t="s">
        <v>51</v>
      </c>
      <c r="G972" t="s">
        <v>26</v>
      </c>
      <c r="H972" t="s">
        <v>35</v>
      </c>
      <c r="I972" t="s">
        <v>48</v>
      </c>
      <c r="J972" t="s">
        <v>37</v>
      </c>
      <c r="K972" t="s">
        <v>85</v>
      </c>
      <c r="L972" s="3">
        <v>67</v>
      </c>
      <c r="M972" s="3">
        <v>4</v>
      </c>
      <c r="N972">
        <v>0</v>
      </c>
      <c r="O972">
        <v>7</v>
      </c>
      <c r="P972" t="s">
        <v>31</v>
      </c>
    </row>
    <row r="973" spans="1:16">
      <c r="A973" t="s">
        <v>1138</v>
      </c>
      <c r="B973" s="6" t="s">
        <v>1139</v>
      </c>
      <c r="C973" s="2">
        <v>46225.104289467592</v>
      </c>
      <c r="D973" t="s">
        <v>23</v>
      </c>
      <c r="E973" t="s">
        <v>40</v>
      </c>
      <c r="F973" t="s">
        <v>125</v>
      </c>
      <c r="G973" t="s">
        <v>54</v>
      </c>
      <c r="H973" t="s">
        <v>42</v>
      </c>
      <c r="I973" t="s">
        <v>28</v>
      </c>
      <c r="J973" t="s">
        <v>58</v>
      </c>
      <c r="K973" t="s">
        <v>85</v>
      </c>
      <c r="L973" s="3">
        <v>69</v>
      </c>
      <c r="M973" s="3">
        <v>4</v>
      </c>
      <c r="N973">
        <v>0</v>
      </c>
      <c r="O973">
        <v>2</v>
      </c>
      <c r="P973" t="s">
        <v>31</v>
      </c>
    </row>
    <row r="974" spans="1:16">
      <c r="A974" t="s">
        <v>1140</v>
      </c>
      <c r="B974" s="6">
        <v>46082.786111111112</v>
      </c>
      <c r="C974" s="2">
        <v>46084.636070659719</v>
      </c>
      <c r="D974" t="s">
        <v>23</v>
      </c>
      <c r="E974" t="s">
        <v>33</v>
      </c>
      <c r="F974" t="s">
        <v>51</v>
      </c>
      <c r="G974" t="s">
        <v>34</v>
      </c>
      <c r="H974" t="s">
        <v>27</v>
      </c>
      <c r="I974" t="s">
        <v>36</v>
      </c>
      <c r="J974" t="s">
        <v>76</v>
      </c>
      <c r="K974" t="s">
        <v>101</v>
      </c>
      <c r="L974" s="3">
        <v>89</v>
      </c>
      <c r="M974" s="3">
        <v>4</v>
      </c>
      <c r="N974">
        <v>0</v>
      </c>
      <c r="O974">
        <v>4</v>
      </c>
      <c r="P974" t="s">
        <v>31</v>
      </c>
    </row>
    <row r="975" spans="1:16">
      <c r="A975" t="s">
        <v>1141</v>
      </c>
      <c r="B975" s="6">
        <v>46125.352777777778</v>
      </c>
      <c r="C975" s="2">
        <v>46126.470189953703</v>
      </c>
      <c r="D975" t="s">
        <v>23</v>
      </c>
      <c r="E975" t="s">
        <v>50</v>
      </c>
      <c r="F975" t="s">
        <v>65</v>
      </c>
      <c r="G975" t="s">
        <v>75</v>
      </c>
      <c r="H975" t="s">
        <v>35</v>
      </c>
      <c r="I975" t="s">
        <v>43</v>
      </c>
      <c r="J975" t="s">
        <v>76</v>
      </c>
      <c r="K975" t="s">
        <v>68</v>
      </c>
      <c r="L975" s="3">
        <v>89</v>
      </c>
      <c r="M975" s="3">
        <v>4</v>
      </c>
      <c r="N975">
        <v>0</v>
      </c>
      <c r="O975">
        <v>3</v>
      </c>
      <c r="P975" t="s">
        <v>31</v>
      </c>
    </row>
    <row r="976" spans="1:16">
      <c r="A976" t="s">
        <v>1142</v>
      </c>
      <c r="B976" s="6">
        <v>46214.967361111114</v>
      </c>
      <c r="C976" s="2">
        <v>46215.943060810183</v>
      </c>
      <c r="D976" t="s">
        <v>23</v>
      </c>
      <c r="E976" t="s">
        <v>50</v>
      </c>
      <c r="F976" t="s">
        <v>65</v>
      </c>
      <c r="G976" t="s">
        <v>26</v>
      </c>
      <c r="H976" t="s">
        <v>35</v>
      </c>
      <c r="I976" t="s">
        <v>28</v>
      </c>
      <c r="J976" t="s">
        <v>67</v>
      </c>
      <c r="K976" t="s">
        <v>62</v>
      </c>
      <c r="L976" s="3">
        <v>89</v>
      </c>
      <c r="M976" s="3">
        <v>4</v>
      </c>
      <c r="N976">
        <v>0</v>
      </c>
      <c r="O976">
        <v>7</v>
      </c>
      <c r="P976" t="s">
        <v>31</v>
      </c>
    </row>
    <row r="977" spans="1:16">
      <c r="A977" t="s">
        <v>1143</v>
      </c>
      <c r="B977" s="6">
        <v>46046.04791666667</v>
      </c>
      <c r="C977" s="2">
        <v>46047.03393730324</v>
      </c>
      <c r="D977" t="s">
        <v>23</v>
      </c>
      <c r="E977" t="s">
        <v>50</v>
      </c>
      <c r="F977" t="s">
        <v>41</v>
      </c>
      <c r="G977" t="s">
        <v>54</v>
      </c>
      <c r="H977" t="s">
        <v>42</v>
      </c>
      <c r="I977" t="s">
        <v>48</v>
      </c>
      <c r="J977" t="s">
        <v>163</v>
      </c>
      <c r="K977" t="s">
        <v>30</v>
      </c>
      <c r="L977" s="3">
        <v>73</v>
      </c>
      <c r="M977" s="3">
        <v>4</v>
      </c>
      <c r="N977">
        <v>0</v>
      </c>
      <c r="O977">
        <v>2</v>
      </c>
      <c r="P977" t="s">
        <v>31</v>
      </c>
    </row>
    <row r="978" spans="1:16">
      <c r="A978" t="s">
        <v>1144</v>
      </c>
      <c r="B978" s="6">
        <v>46035.636111111111</v>
      </c>
      <c r="C978" s="2">
        <v>46036.304935972221</v>
      </c>
      <c r="D978" t="s">
        <v>23</v>
      </c>
      <c r="E978" t="s">
        <v>40</v>
      </c>
      <c r="F978" t="s">
        <v>65</v>
      </c>
      <c r="G978" t="s">
        <v>66</v>
      </c>
      <c r="H978" t="s">
        <v>35</v>
      </c>
      <c r="I978" t="s">
        <v>36</v>
      </c>
      <c r="J978" t="s">
        <v>37</v>
      </c>
      <c r="K978" t="s">
        <v>85</v>
      </c>
      <c r="L978" s="3">
        <v>78</v>
      </c>
      <c r="M978" s="3">
        <v>4</v>
      </c>
      <c r="N978">
        <v>0</v>
      </c>
      <c r="O978">
        <v>8</v>
      </c>
      <c r="P978" t="s">
        <v>63</v>
      </c>
    </row>
    <row r="979" spans="1:16">
      <c r="A979" t="s">
        <v>1145</v>
      </c>
      <c r="B979" s="6">
        <v>46041.054166666669</v>
      </c>
      <c r="C979" s="2">
        <v>46042.965725509261</v>
      </c>
      <c r="D979" t="s">
        <v>23</v>
      </c>
      <c r="E979" t="s">
        <v>33</v>
      </c>
      <c r="F979" t="s">
        <v>25</v>
      </c>
      <c r="G979" t="s">
        <v>26</v>
      </c>
      <c r="H979" t="s">
        <v>42</v>
      </c>
      <c r="I979" t="s">
        <v>28</v>
      </c>
      <c r="J979" t="s">
        <v>58</v>
      </c>
      <c r="K979" t="s">
        <v>55</v>
      </c>
      <c r="L979" s="3">
        <v>224</v>
      </c>
      <c r="M979" s="3">
        <v>3</v>
      </c>
      <c r="N979">
        <v>0</v>
      </c>
      <c r="O979">
        <v>3</v>
      </c>
      <c r="P979" t="s">
        <v>31</v>
      </c>
    </row>
    <row r="980" spans="1:16">
      <c r="A980" t="s">
        <v>1146</v>
      </c>
      <c r="B980" s="6">
        <v>46155.777083333334</v>
      </c>
      <c r="C980" s="2">
        <v>46156.067854062501</v>
      </c>
      <c r="D980" t="s">
        <v>23</v>
      </c>
      <c r="E980" t="s">
        <v>40</v>
      </c>
      <c r="F980" t="s">
        <v>25</v>
      </c>
      <c r="G980" t="s">
        <v>34</v>
      </c>
      <c r="H980" t="s">
        <v>27</v>
      </c>
      <c r="I980" t="s">
        <v>48</v>
      </c>
      <c r="J980" t="s">
        <v>52</v>
      </c>
      <c r="K980" t="s">
        <v>30</v>
      </c>
      <c r="L980" s="3">
        <v>49</v>
      </c>
      <c r="M980" s="3">
        <v>4</v>
      </c>
      <c r="N980">
        <v>0</v>
      </c>
      <c r="O980">
        <v>7</v>
      </c>
      <c r="P980" t="s">
        <v>31</v>
      </c>
    </row>
    <row r="981" spans="1:16">
      <c r="A981" t="s">
        <v>1147</v>
      </c>
      <c r="B981" s="6">
        <v>46090.430555555555</v>
      </c>
      <c r="C981" s="2">
        <v>46094.033304456018</v>
      </c>
      <c r="D981" t="s">
        <v>23</v>
      </c>
      <c r="E981" t="s">
        <v>33</v>
      </c>
      <c r="F981" t="s">
        <v>41</v>
      </c>
      <c r="G981" t="s">
        <v>54</v>
      </c>
      <c r="H981" t="s">
        <v>27</v>
      </c>
      <c r="I981" t="s">
        <v>43</v>
      </c>
      <c r="J981" t="s">
        <v>67</v>
      </c>
      <c r="K981" t="s">
        <v>44</v>
      </c>
      <c r="L981" s="3">
        <v>61</v>
      </c>
      <c r="M981" s="3">
        <v>4</v>
      </c>
      <c r="N981">
        <v>0</v>
      </c>
      <c r="O981">
        <v>4</v>
      </c>
      <c r="P981" t="s">
        <v>31</v>
      </c>
    </row>
    <row r="982" spans="1:16">
      <c r="A982" t="s">
        <v>1148</v>
      </c>
      <c r="B982" s="6">
        <v>46248.605555555558</v>
      </c>
      <c r="C982" s="2">
        <v>46249.345380486113</v>
      </c>
      <c r="D982" t="s">
        <v>23</v>
      </c>
      <c r="E982" t="s">
        <v>50</v>
      </c>
      <c r="F982" t="s">
        <v>25</v>
      </c>
      <c r="G982" t="s">
        <v>66</v>
      </c>
      <c r="H982" t="s">
        <v>35</v>
      </c>
      <c r="I982" t="s">
        <v>36</v>
      </c>
      <c r="J982" t="s">
        <v>29</v>
      </c>
      <c r="K982" t="s">
        <v>30</v>
      </c>
      <c r="L982" s="3">
        <v>238</v>
      </c>
      <c r="M982" s="3">
        <v>3</v>
      </c>
      <c r="N982">
        <v>1</v>
      </c>
      <c r="O982">
        <v>8</v>
      </c>
      <c r="P982" t="s">
        <v>31</v>
      </c>
    </row>
    <row r="983" spans="1:16">
      <c r="A983" t="s">
        <v>1149</v>
      </c>
      <c r="B983" s="6">
        <v>46097.206944444442</v>
      </c>
      <c r="C983" s="2">
        <v>46097.530367858795</v>
      </c>
      <c r="D983" t="s">
        <v>23</v>
      </c>
      <c r="E983" t="s">
        <v>50</v>
      </c>
      <c r="F983" t="s">
        <v>65</v>
      </c>
      <c r="G983" t="s">
        <v>26</v>
      </c>
      <c r="H983" t="s">
        <v>35</v>
      </c>
      <c r="I983" t="s">
        <v>36</v>
      </c>
      <c r="J983" t="s">
        <v>29</v>
      </c>
      <c r="K983" t="s">
        <v>30</v>
      </c>
      <c r="L983" s="3">
        <v>78</v>
      </c>
      <c r="M983" s="3">
        <v>4</v>
      </c>
      <c r="N983">
        <v>0</v>
      </c>
      <c r="O983">
        <v>4</v>
      </c>
      <c r="P983" t="s">
        <v>31</v>
      </c>
    </row>
    <row r="984" spans="1:16">
      <c r="A984" t="s">
        <v>1150</v>
      </c>
      <c r="B984" s="6">
        <v>46130.205555555556</v>
      </c>
      <c r="C984" s="2">
        <v>46131.766195648146</v>
      </c>
      <c r="D984" t="s">
        <v>23</v>
      </c>
      <c r="E984" t="s">
        <v>50</v>
      </c>
      <c r="F984" t="s">
        <v>51</v>
      </c>
      <c r="G984" t="s">
        <v>54</v>
      </c>
      <c r="H984" t="s">
        <v>35</v>
      </c>
      <c r="I984" t="s">
        <v>43</v>
      </c>
      <c r="J984" t="s">
        <v>37</v>
      </c>
      <c r="K984" t="s">
        <v>101</v>
      </c>
      <c r="L984" s="3">
        <v>52</v>
      </c>
      <c r="M984" s="3">
        <v>4</v>
      </c>
      <c r="N984">
        <v>0</v>
      </c>
      <c r="O984">
        <v>5</v>
      </c>
      <c r="P984" t="s">
        <v>31</v>
      </c>
    </row>
    <row r="985" spans="1:16">
      <c r="A985" t="s">
        <v>1151</v>
      </c>
      <c r="B985" s="6">
        <v>46029.009722222225</v>
      </c>
      <c r="C985" s="2">
        <v>46030.19378040509</v>
      </c>
      <c r="D985" t="s">
        <v>23</v>
      </c>
      <c r="E985" t="s">
        <v>50</v>
      </c>
      <c r="F985" t="s">
        <v>125</v>
      </c>
      <c r="G985" t="s">
        <v>54</v>
      </c>
      <c r="H985" t="s">
        <v>42</v>
      </c>
      <c r="I985" t="s">
        <v>48</v>
      </c>
      <c r="J985" t="s">
        <v>37</v>
      </c>
      <c r="K985" t="s">
        <v>44</v>
      </c>
      <c r="L985" s="3">
        <v>53</v>
      </c>
      <c r="M985" s="3">
        <v>4</v>
      </c>
      <c r="N985">
        <v>0</v>
      </c>
      <c r="O985">
        <v>3</v>
      </c>
      <c r="P985" t="s">
        <v>31</v>
      </c>
    </row>
    <row r="986" spans="1:16">
      <c r="A986" t="s">
        <v>1152</v>
      </c>
      <c r="B986" s="6">
        <v>46263.194444444445</v>
      </c>
      <c r="C986" s="2">
        <v>46263.680378611112</v>
      </c>
      <c r="D986" t="s">
        <v>23</v>
      </c>
      <c r="E986" t="s">
        <v>50</v>
      </c>
      <c r="F986" t="s">
        <v>41</v>
      </c>
      <c r="G986" t="s">
        <v>54</v>
      </c>
      <c r="H986" t="s">
        <v>42</v>
      </c>
      <c r="I986" t="s">
        <v>36</v>
      </c>
      <c r="J986" t="s">
        <v>37</v>
      </c>
      <c r="K986" t="s">
        <v>44</v>
      </c>
      <c r="L986" s="3">
        <v>198</v>
      </c>
      <c r="M986" s="3">
        <v>4</v>
      </c>
      <c r="N986">
        <v>0</v>
      </c>
      <c r="O986">
        <v>4</v>
      </c>
      <c r="P986" t="s">
        <v>31</v>
      </c>
    </row>
    <row r="987" spans="1:16">
      <c r="A987" t="s">
        <v>1153</v>
      </c>
      <c r="B987" s="6">
        <v>46174.789583333331</v>
      </c>
      <c r="C987" s="2">
        <v>46174.943818449072</v>
      </c>
      <c r="D987" t="s">
        <v>23</v>
      </c>
      <c r="E987" t="s">
        <v>50</v>
      </c>
      <c r="F987" t="s">
        <v>25</v>
      </c>
      <c r="G987" t="s">
        <v>34</v>
      </c>
      <c r="H987" t="s">
        <v>35</v>
      </c>
      <c r="I987" t="s">
        <v>28</v>
      </c>
      <c r="J987" t="s">
        <v>29</v>
      </c>
      <c r="K987" t="s">
        <v>71</v>
      </c>
      <c r="L987" s="3">
        <v>235</v>
      </c>
      <c r="M987" s="3">
        <v>4</v>
      </c>
      <c r="N987">
        <v>0</v>
      </c>
      <c r="O987">
        <v>5</v>
      </c>
      <c r="P987" t="s">
        <v>31</v>
      </c>
    </row>
    <row r="988" spans="1:16">
      <c r="A988" t="s">
        <v>1154</v>
      </c>
      <c r="B988" s="6">
        <v>46173.463194444441</v>
      </c>
      <c r="C988" s="2">
        <v>46177.353540277778</v>
      </c>
      <c r="D988" t="s">
        <v>23</v>
      </c>
      <c r="E988" t="s">
        <v>33</v>
      </c>
      <c r="F988" t="s">
        <v>25</v>
      </c>
      <c r="G988" t="s">
        <v>75</v>
      </c>
      <c r="H988" t="s">
        <v>35</v>
      </c>
      <c r="I988" t="s">
        <v>48</v>
      </c>
      <c r="J988" t="s">
        <v>76</v>
      </c>
      <c r="K988" t="s">
        <v>44</v>
      </c>
      <c r="L988" s="3">
        <v>223</v>
      </c>
      <c r="M988" s="3">
        <v>3</v>
      </c>
      <c r="N988">
        <v>0</v>
      </c>
      <c r="O988">
        <v>7</v>
      </c>
      <c r="P988" t="s">
        <v>31</v>
      </c>
    </row>
    <row r="989" spans="1:16">
      <c r="A989" t="s">
        <v>1155</v>
      </c>
      <c r="B989" s="6">
        <v>46126.302777777775</v>
      </c>
      <c r="C989" s="2">
        <v>46127.423534363428</v>
      </c>
      <c r="D989" t="s">
        <v>23</v>
      </c>
      <c r="E989" t="s">
        <v>50</v>
      </c>
      <c r="F989" t="s">
        <v>65</v>
      </c>
      <c r="G989" t="s">
        <v>75</v>
      </c>
      <c r="H989" t="s">
        <v>35</v>
      </c>
      <c r="I989" t="s">
        <v>48</v>
      </c>
      <c r="J989" t="s">
        <v>76</v>
      </c>
      <c r="K989" t="s">
        <v>93</v>
      </c>
      <c r="L989" s="3">
        <v>79</v>
      </c>
      <c r="M989" s="3">
        <v>4</v>
      </c>
      <c r="N989">
        <v>0</v>
      </c>
      <c r="O989">
        <v>2</v>
      </c>
      <c r="P989" t="s">
        <v>31</v>
      </c>
    </row>
    <row r="990" spans="1:16">
      <c r="A990" t="s">
        <v>1156</v>
      </c>
      <c r="B990" s="6">
        <v>46185.609027777777</v>
      </c>
      <c r="C990" s="2">
        <v>46186.795889432869</v>
      </c>
      <c r="D990" t="s">
        <v>23</v>
      </c>
      <c r="E990" t="s">
        <v>50</v>
      </c>
      <c r="F990" t="s">
        <v>51</v>
      </c>
      <c r="G990" t="s">
        <v>66</v>
      </c>
      <c r="H990" t="s">
        <v>35</v>
      </c>
      <c r="I990" t="s">
        <v>48</v>
      </c>
      <c r="J990" t="s">
        <v>37</v>
      </c>
      <c r="K990" t="s">
        <v>62</v>
      </c>
      <c r="L990" s="3">
        <v>153</v>
      </c>
      <c r="M990" s="3">
        <v>4</v>
      </c>
      <c r="N990">
        <v>0</v>
      </c>
      <c r="O990">
        <v>3</v>
      </c>
      <c r="P990" t="s">
        <v>31</v>
      </c>
    </row>
    <row r="991" spans="1:16">
      <c r="A991" t="s">
        <v>1157</v>
      </c>
      <c r="B991" s="6">
        <v>46073.695138888892</v>
      </c>
      <c r="C991" s="2">
        <v>46076.786988321757</v>
      </c>
      <c r="D991" t="s">
        <v>23</v>
      </c>
      <c r="E991" t="s">
        <v>33</v>
      </c>
      <c r="F991" t="s">
        <v>51</v>
      </c>
      <c r="G991" t="s">
        <v>66</v>
      </c>
      <c r="H991" t="s">
        <v>35</v>
      </c>
      <c r="I991" t="s">
        <v>48</v>
      </c>
      <c r="J991" t="s">
        <v>76</v>
      </c>
      <c r="K991" t="s">
        <v>71</v>
      </c>
      <c r="L991" s="3">
        <v>243</v>
      </c>
      <c r="M991" s="3">
        <v>2</v>
      </c>
      <c r="N991">
        <v>1</v>
      </c>
      <c r="O991">
        <v>8</v>
      </c>
      <c r="P991" t="s">
        <v>31</v>
      </c>
    </row>
    <row r="992" spans="1:16">
      <c r="A992" t="s">
        <v>1158</v>
      </c>
      <c r="B992" s="6">
        <v>46027.563194444447</v>
      </c>
      <c r="C992" s="2">
        <v>46028.473852662035</v>
      </c>
      <c r="D992" t="s">
        <v>23</v>
      </c>
      <c r="E992" t="s">
        <v>50</v>
      </c>
      <c r="F992" t="s">
        <v>25</v>
      </c>
      <c r="G992" t="s">
        <v>26</v>
      </c>
      <c r="H992" t="s">
        <v>35</v>
      </c>
      <c r="I992" t="s">
        <v>48</v>
      </c>
      <c r="J992" t="s">
        <v>58</v>
      </c>
      <c r="K992" t="s">
        <v>71</v>
      </c>
      <c r="L992" s="3">
        <v>167</v>
      </c>
      <c r="M992" s="3">
        <v>4</v>
      </c>
      <c r="N992">
        <v>0</v>
      </c>
      <c r="O992">
        <v>2</v>
      </c>
      <c r="P992" t="s">
        <v>31</v>
      </c>
    </row>
    <row r="993" spans="1:16">
      <c r="A993" t="s">
        <v>1159</v>
      </c>
      <c r="B993" s="6">
        <v>46198.172222222223</v>
      </c>
      <c r="C993" s="2">
        <v>46198.547636736112</v>
      </c>
      <c r="D993" t="s">
        <v>23</v>
      </c>
      <c r="E993" t="s">
        <v>24</v>
      </c>
      <c r="F993" t="s">
        <v>25</v>
      </c>
      <c r="G993" t="s">
        <v>54</v>
      </c>
      <c r="H993" t="s">
        <v>35</v>
      </c>
      <c r="I993" t="s">
        <v>43</v>
      </c>
      <c r="J993" t="s">
        <v>76</v>
      </c>
      <c r="K993" t="s">
        <v>101</v>
      </c>
      <c r="L993" s="3">
        <v>6</v>
      </c>
      <c r="M993" s="3">
        <v>5</v>
      </c>
      <c r="N993">
        <v>0</v>
      </c>
      <c r="O993">
        <v>5</v>
      </c>
      <c r="P993" t="s">
        <v>31</v>
      </c>
    </row>
    <row r="994" spans="1:16">
      <c r="A994" t="s">
        <v>1160</v>
      </c>
      <c r="B994" s="6">
        <v>46055.304166666669</v>
      </c>
      <c r="C994" s="2">
        <v>46055.77028571759</v>
      </c>
      <c r="D994" t="s">
        <v>23</v>
      </c>
      <c r="E994" t="s">
        <v>40</v>
      </c>
      <c r="F994" t="s">
        <v>51</v>
      </c>
      <c r="G994" t="s">
        <v>54</v>
      </c>
      <c r="H994" t="s">
        <v>35</v>
      </c>
      <c r="I994" t="s">
        <v>36</v>
      </c>
      <c r="J994" t="s">
        <v>58</v>
      </c>
      <c r="K994" t="s">
        <v>93</v>
      </c>
      <c r="L994" s="3">
        <v>13</v>
      </c>
      <c r="M994" s="3">
        <v>5</v>
      </c>
      <c r="N994">
        <v>0</v>
      </c>
      <c r="O994">
        <v>10</v>
      </c>
      <c r="P994" t="s">
        <v>63</v>
      </c>
    </row>
    <row r="995" spans="1:16">
      <c r="A995" t="s">
        <v>1161</v>
      </c>
      <c r="B995" s="6">
        <v>46118.831944444442</v>
      </c>
      <c r="C995" s="2">
        <v>46119.33934150463</v>
      </c>
      <c r="D995" t="s">
        <v>23</v>
      </c>
      <c r="E995" t="s">
        <v>50</v>
      </c>
      <c r="F995" t="s">
        <v>51</v>
      </c>
      <c r="G995" t="s">
        <v>26</v>
      </c>
      <c r="H995" t="s">
        <v>35</v>
      </c>
      <c r="I995" t="s">
        <v>36</v>
      </c>
      <c r="J995" t="s">
        <v>52</v>
      </c>
      <c r="K995" t="s">
        <v>44</v>
      </c>
      <c r="L995" s="3">
        <v>68</v>
      </c>
      <c r="M995" s="3">
        <v>4</v>
      </c>
      <c r="N995">
        <v>0</v>
      </c>
      <c r="O995">
        <v>3</v>
      </c>
      <c r="P995" t="s">
        <v>31</v>
      </c>
    </row>
    <row r="996" spans="1:16">
      <c r="A996" t="s">
        <v>1162</v>
      </c>
      <c r="B996" s="6">
        <v>46071.536805555559</v>
      </c>
      <c r="C996" s="2">
        <v>46071.782299652776</v>
      </c>
      <c r="D996" t="s">
        <v>23</v>
      </c>
      <c r="E996" t="s">
        <v>595</v>
      </c>
      <c r="F996" t="s">
        <v>51</v>
      </c>
      <c r="G996" t="s">
        <v>34</v>
      </c>
      <c r="H996" t="s">
        <v>35</v>
      </c>
      <c r="I996" t="s">
        <v>48</v>
      </c>
      <c r="J996" t="s">
        <v>163</v>
      </c>
      <c r="K996" t="s">
        <v>44</v>
      </c>
      <c r="L996" s="3">
        <v>312</v>
      </c>
      <c r="M996" s="3">
        <v>4</v>
      </c>
      <c r="N996">
        <v>0</v>
      </c>
      <c r="O996">
        <v>2</v>
      </c>
      <c r="P996" t="s">
        <v>31</v>
      </c>
    </row>
    <row r="997" spans="1:16">
      <c r="A997" t="s">
        <v>1163</v>
      </c>
      <c r="B997" s="6">
        <v>46055.713888888888</v>
      </c>
      <c r="C997" s="2">
        <v>46056.010339143519</v>
      </c>
      <c r="D997" t="s">
        <v>23</v>
      </c>
      <c r="E997" t="s">
        <v>40</v>
      </c>
      <c r="F997" t="s">
        <v>25</v>
      </c>
      <c r="G997" t="s">
        <v>34</v>
      </c>
      <c r="H997" t="s">
        <v>42</v>
      </c>
      <c r="I997" t="s">
        <v>36</v>
      </c>
      <c r="J997" t="s">
        <v>37</v>
      </c>
      <c r="K997" t="s">
        <v>93</v>
      </c>
      <c r="L997" s="3">
        <v>35</v>
      </c>
      <c r="M997" s="3">
        <v>4</v>
      </c>
      <c r="N997">
        <v>0</v>
      </c>
      <c r="O997">
        <v>6</v>
      </c>
      <c r="P997" t="s">
        <v>31</v>
      </c>
    </row>
    <row r="998" spans="1:16">
      <c r="A998" t="s">
        <v>1164</v>
      </c>
      <c r="B998" s="6">
        <v>46150.699305555558</v>
      </c>
      <c r="C998" s="2">
        <v>46151.70275113426</v>
      </c>
      <c r="D998" t="s">
        <v>23</v>
      </c>
      <c r="E998" t="s">
        <v>40</v>
      </c>
      <c r="F998" t="s">
        <v>65</v>
      </c>
      <c r="G998" t="s">
        <v>54</v>
      </c>
      <c r="H998" t="s">
        <v>35</v>
      </c>
      <c r="I998" t="s">
        <v>48</v>
      </c>
      <c r="J998" t="s">
        <v>67</v>
      </c>
      <c r="K998" t="s">
        <v>62</v>
      </c>
      <c r="L998" s="3">
        <v>27</v>
      </c>
      <c r="M998" s="3">
        <v>5</v>
      </c>
      <c r="N998">
        <v>0</v>
      </c>
      <c r="O998">
        <v>3</v>
      </c>
      <c r="P998" t="s">
        <v>31</v>
      </c>
    </row>
    <row r="999" spans="1:16">
      <c r="A999" t="s">
        <v>1165</v>
      </c>
      <c r="B999" s="6">
        <v>46078.779166666667</v>
      </c>
      <c r="C999" s="2">
        <v>46079.580891296297</v>
      </c>
      <c r="D999" t="s">
        <v>23</v>
      </c>
      <c r="E999" t="s">
        <v>50</v>
      </c>
      <c r="F999" t="s">
        <v>41</v>
      </c>
      <c r="G999" t="s">
        <v>54</v>
      </c>
      <c r="H999" t="s">
        <v>42</v>
      </c>
      <c r="I999" t="s">
        <v>48</v>
      </c>
      <c r="J999" t="s">
        <v>52</v>
      </c>
      <c r="K999" t="s">
        <v>38</v>
      </c>
      <c r="L999" s="3">
        <v>71</v>
      </c>
      <c r="M999" s="3">
        <v>4</v>
      </c>
      <c r="N999">
        <v>0</v>
      </c>
      <c r="O999">
        <v>5</v>
      </c>
      <c r="P999" t="s">
        <v>31</v>
      </c>
    </row>
    <row r="1000" spans="1:16">
      <c r="A1000" t="s">
        <v>1166</v>
      </c>
      <c r="B1000" s="6">
        <v>46243.648611111108</v>
      </c>
      <c r="C1000" s="2">
        <v>46244.747470856484</v>
      </c>
      <c r="D1000" t="s">
        <v>23</v>
      </c>
      <c r="E1000" t="s">
        <v>50</v>
      </c>
      <c r="F1000" t="s">
        <v>25</v>
      </c>
      <c r="G1000" t="s">
        <v>26</v>
      </c>
      <c r="H1000" t="s">
        <v>35</v>
      </c>
      <c r="I1000" t="s">
        <v>36</v>
      </c>
      <c r="J1000" t="s">
        <v>58</v>
      </c>
      <c r="K1000" t="s">
        <v>55</v>
      </c>
      <c r="L1000" s="3" t="s">
        <v>1167</v>
      </c>
      <c r="M1000" s="3">
        <v>4</v>
      </c>
      <c r="N1000">
        <v>0</v>
      </c>
      <c r="O1000">
        <v>3</v>
      </c>
      <c r="P1000" t="s">
        <v>31</v>
      </c>
    </row>
    <row r="1001" spans="1:16">
      <c r="A1001" t="s">
        <v>1168</v>
      </c>
      <c r="B1001" s="6">
        <v>46141.772222222222</v>
      </c>
      <c r="C1001" s="2">
        <v>46144.694196689816</v>
      </c>
      <c r="D1001" t="s">
        <v>23</v>
      </c>
      <c r="E1001" t="s">
        <v>33</v>
      </c>
      <c r="F1001" t="s">
        <v>41</v>
      </c>
      <c r="G1001" t="s">
        <v>26</v>
      </c>
      <c r="H1001" t="s">
        <v>35</v>
      </c>
      <c r="I1001" t="s">
        <v>36</v>
      </c>
      <c r="J1001" t="s">
        <v>76</v>
      </c>
      <c r="K1001" t="s">
        <v>38</v>
      </c>
      <c r="L1001" s="3">
        <v>380</v>
      </c>
      <c r="M1001" s="3">
        <v>2</v>
      </c>
      <c r="N1001">
        <v>1</v>
      </c>
      <c r="O1001">
        <v>13</v>
      </c>
      <c r="P1001" t="s">
        <v>63</v>
      </c>
    </row>
    <row r="1002" spans="1:16">
      <c r="A1002" t="s">
        <v>1169</v>
      </c>
      <c r="B1002" s="6">
        <v>46118.246527777781</v>
      </c>
      <c r="C1002" s="2">
        <v>46118.542276504631</v>
      </c>
      <c r="D1002" t="s">
        <v>23</v>
      </c>
      <c r="E1002" t="s">
        <v>40</v>
      </c>
      <c r="F1002" t="s">
        <v>51</v>
      </c>
      <c r="G1002" t="s">
        <v>66</v>
      </c>
      <c r="H1002" t="s">
        <v>42</v>
      </c>
      <c r="I1002" t="s">
        <v>36</v>
      </c>
      <c r="J1002" t="s">
        <v>52</v>
      </c>
      <c r="K1002" t="s">
        <v>30</v>
      </c>
      <c r="L1002" s="3">
        <v>58</v>
      </c>
      <c r="M1002" s="3">
        <v>4</v>
      </c>
      <c r="N1002">
        <v>0</v>
      </c>
      <c r="O1002">
        <v>3</v>
      </c>
      <c r="P1002" t="s">
        <v>31</v>
      </c>
    </row>
    <row r="1003" spans="1:16">
      <c r="A1003" t="s">
        <v>1170</v>
      </c>
      <c r="B1003" s="6">
        <v>46204.756249999999</v>
      </c>
      <c r="C1003" s="2">
        <v>46205.055596446757</v>
      </c>
      <c r="D1003" t="s">
        <v>23</v>
      </c>
      <c r="E1003" t="s">
        <v>50</v>
      </c>
      <c r="F1003" t="s">
        <v>41</v>
      </c>
      <c r="G1003" t="s">
        <v>66</v>
      </c>
      <c r="H1003" t="s">
        <v>27</v>
      </c>
      <c r="I1003" t="s">
        <v>48</v>
      </c>
      <c r="J1003" t="s">
        <v>52</v>
      </c>
      <c r="K1003" t="s">
        <v>68</v>
      </c>
      <c r="L1003" s="3">
        <v>78</v>
      </c>
      <c r="M1003" s="3">
        <v>4</v>
      </c>
      <c r="N1003">
        <v>0</v>
      </c>
      <c r="O1003">
        <v>6</v>
      </c>
      <c r="P1003" t="s">
        <v>31</v>
      </c>
    </row>
    <row r="1004" spans="1:16">
      <c r="A1004" t="s">
        <v>1171</v>
      </c>
      <c r="B1004" s="6">
        <v>46045.137499999997</v>
      </c>
      <c r="C1004" s="2">
        <v>46046.915452800924</v>
      </c>
      <c r="D1004" t="s">
        <v>23</v>
      </c>
      <c r="E1004" t="s">
        <v>50</v>
      </c>
      <c r="F1004" t="s">
        <v>41</v>
      </c>
      <c r="G1004" t="s">
        <v>26</v>
      </c>
      <c r="H1004" t="s">
        <v>42</v>
      </c>
      <c r="I1004" t="s">
        <v>43</v>
      </c>
      <c r="J1004" t="s">
        <v>37</v>
      </c>
      <c r="K1004" t="s">
        <v>44</v>
      </c>
      <c r="L1004" s="3">
        <v>245</v>
      </c>
      <c r="M1004" s="3">
        <v>3</v>
      </c>
      <c r="N1004">
        <v>0</v>
      </c>
      <c r="O1004">
        <v>5</v>
      </c>
      <c r="P1004" t="s">
        <v>31</v>
      </c>
    </row>
    <row r="1005" spans="1:16">
      <c r="A1005" t="s">
        <v>1172</v>
      </c>
      <c r="B1005" s="6">
        <v>46247.058333333334</v>
      </c>
      <c r="C1005" s="2">
        <v>46249.928564247683</v>
      </c>
      <c r="D1005" t="s">
        <v>23</v>
      </c>
      <c r="E1005" t="s">
        <v>50</v>
      </c>
      <c r="F1005" t="s">
        <v>25</v>
      </c>
      <c r="G1005" t="s">
        <v>26</v>
      </c>
      <c r="H1005" t="s">
        <v>42</v>
      </c>
      <c r="I1005" t="s">
        <v>48</v>
      </c>
      <c r="J1005" t="s">
        <v>37</v>
      </c>
      <c r="K1005" t="s">
        <v>30</v>
      </c>
      <c r="L1005" s="3">
        <v>79</v>
      </c>
      <c r="M1005" s="3">
        <v>4</v>
      </c>
      <c r="N1005">
        <v>0</v>
      </c>
      <c r="O1005">
        <v>5</v>
      </c>
      <c r="P1005" t="s">
        <v>31</v>
      </c>
    </row>
    <row r="1006" spans="1:16">
      <c r="A1006" t="s">
        <v>1173</v>
      </c>
      <c r="B1006" s="6">
        <v>46097.572222222225</v>
      </c>
      <c r="C1006" s="2" t="s">
        <v>1174</v>
      </c>
      <c r="D1006" t="s">
        <v>23</v>
      </c>
      <c r="E1006" t="s">
        <v>40</v>
      </c>
      <c r="F1006" t="s">
        <v>51</v>
      </c>
      <c r="G1006" t="s">
        <v>259</v>
      </c>
      <c r="H1006" t="s">
        <v>35</v>
      </c>
      <c r="I1006" t="s">
        <v>43</v>
      </c>
      <c r="J1006" t="s">
        <v>37</v>
      </c>
      <c r="K1006" t="s">
        <v>44</v>
      </c>
      <c r="L1006" s="3">
        <v>42</v>
      </c>
      <c r="M1006" s="3">
        <v>4</v>
      </c>
      <c r="N1006">
        <v>0</v>
      </c>
      <c r="O1006">
        <v>5</v>
      </c>
      <c r="P1006" t="s">
        <v>31</v>
      </c>
    </row>
    <row r="1007" spans="1:16">
      <c r="A1007" t="s">
        <v>1175</v>
      </c>
      <c r="B1007" s="6">
        <v>46077.186111111114</v>
      </c>
      <c r="C1007" s="2">
        <v>46078.208711678242</v>
      </c>
      <c r="D1007" t="s">
        <v>23</v>
      </c>
      <c r="E1007" t="s">
        <v>50</v>
      </c>
      <c r="F1007" t="s">
        <v>25</v>
      </c>
      <c r="G1007" t="s">
        <v>75</v>
      </c>
      <c r="H1007" t="s">
        <v>27</v>
      </c>
      <c r="I1007" t="s">
        <v>28</v>
      </c>
      <c r="J1007" t="s">
        <v>29</v>
      </c>
      <c r="K1007" t="s">
        <v>101</v>
      </c>
      <c r="L1007" s="3">
        <v>219</v>
      </c>
      <c r="M1007" s="3">
        <v>3</v>
      </c>
      <c r="N1007">
        <v>0</v>
      </c>
      <c r="O1007">
        <v>5</v>
      </c>
      <c r="P1007" t="s">
        <v>31</v>
      </c>
    </row>
    <row r="1008" spans="1:16">
      <c r="A1008" t="s">
        <v>1176</v>
      </c>
      <c r="B1008" s="6">
        <v>46031.488888888889</v>
      </c>
      <c r="C1008" s="2">
        <v>46032.294539467592</v>
      </c>
      <c r="D1008" t="s">
        <v>23</v>
      </c>
      <c r="E1008" t="s">
        <v>50</v>
      </c>
      <c r="F1008" t="s">
        <v>41</v>
      </c>
      <c r="G1008" t="s">
        <v>34</v>
      </c>
      <c r="H1008" t="s">
        <v>42</v>
      </c>
      <c r="I1008" t="s">
        <v>28</v>
      </c>
      <c r="J1008" t="s">
        <v>76</v>
      </c>
      <c r="K1008" t="s">
        <v>71</v>
      </c>
      <c r="L1008" s="3">
        <v>58</v>
      </c>
      <c r="M1008" s="3">
        <v>4</v>
      </c>
      <c r="N1008">
        <v>0</v>
      </c>
      <c r="O1008">
        <v>3</v>
      </c>
      <c r="P1008" t="s">
        <v>31</v>
      </c>
    </row>
    <row r="1009" spans="1:16">
      <c r="A1009" t="s">
        <v>1177</v>
      </c>
      <c r="B1009" s="6">
        <v>46203.490972222222</v>
      </c>
      <c r="C1009" s="2"/>
      <c r="D1009" t="s">
        <v>57</v>
      </c>
      <c r="E1009" t="s">
        <v>40</v>
      </c>
      <c r="F1009" t="s">
        <v>25</v>
      </c>
      <c r="G1009" t="s">
        <v>75</v>
      </c>
      <c r="H1009" t="s">
        <v>42</v>
      </c>
      <c r="I1009" t="s">
        <v>28</v>
      </c>
      <c r="J1009" t="s">
        <v>52</v>
      </c>
      <c r="K1009" t="s">
        <v>93</v>
      </c>
      <c r="L1009" s="3">
        <v>20</v>
      </c>
      <c r="M1009" s="3"/>
      <c r="N1009">
        <v>0</v>
      </c>
      <c r="O1009">
        <v>4</v>
      </c>
      <c r="P1009" t="s">
        <v>31</v>
      </c>
    </row>
    <row r="1010" spans="1:16">
      <c r="A1010" t="s">
        <v>1178</v>
      </c>
      <c r="B1010" s="6">
        <v>46255.324999999997</v>
      </c>
      <c r="C1010" s="2">
        <v>46257.573020983793</v>
      </c>
      <c r="D1010" t="s">
        <v>23</v>
      </c>
      <c r="E1010" t="s">
        <v>33</v>
      </c>
      <c r="F1010" t="s">
        <v>51</v>
      </c>
      <c r="G1010" t="s">
        <v>54</v>
      </c>
      <c r="H1010" t="s">
        <v>27</v>
      </c>
      <c r="I1010" t="s">
        <v>43</v>
      </c>
      <c r="J1010" t="s">
        <v>37</v>
      </c>
      <c r="K1010" t="s">
        <v>85</v>
      </c>
      <c r="L1010" s="3">
        <v>282</v>
      </c>
      <c r="M1010" s="3">
        <v>3</v>
      </c>
      <c r="N1010">
        <v>0</v>
      </c>
      <c r="O1010">
        <v>7</v>
      </c>
      <c r="P1010" t="s">
        <v>31</v>
      </c>
    </row>
    <row r="1011" spans="1:16">
      <c r="A1011" t="s">
        <v>1179</v>
      </c>
      <c r="B1011" s="6">
        <v>46148.356249999997</v>
      </c>
      <c r="C1011" s="2"/>
      <c r="D1011" t="s">
        <v>74</v>
      </c>
      <c r="E1011" t="s">
        <v>50</v>
      </c>
      <c r="F1011" t="s">
        <v>25</v>
      </c>
      <c r="G1011" t="s">
        <v>66</v>
      </c>
      <c r="H1011" t="s">
        <v>35</v>
      </c>
      <c r="I1011" t="s">
        <v>36</v>
      </c>
      <c r="J1011" t="s">
        <v>67</v>
      </c>
      <c r="K1011" t="s">
        <v>101</v>
      </c>
      <c r="L1011" s="3">
        <v>334</v>
      </c>
      <c r="M1011" s="3"/>
      <c r="N1011">
        <v>0</v>
      </c>
      <c r="O1011">
        <v>2</v>
      </c>
      <c r="P1011" t="s">
        <v>31</v>
      </c>
    </row>
    <row r="1012" spans="1:16">
      <c r="A1012" t="s">
        <v>1180</v>
      </c>
      <c r="B1012" s="6">
        <v>46242.752083333333</v>
      </c>
      <c r="C1012" s="2">
        <v>46243.558259780089</v>
      </c>
      <c r="D1012" t="s">
        <v>23</v>
      </c>
      <c r="E1012" t="s">
        <v>50</v>
      </c>
      <c r="F1012" t="s">
        <v>41</v>
      </c>
      <c r="G1012" t="s">
        <v>26</v>
      </c>
      <c r="H1012" t="s">
        <v>35</v>
      </c>
      <c r="I1012" t="s">
        <v>36</v>
      </c>
      <c r="J1012" t="s">
        <v>52</v>
      </c>
      <c r="K1012" t="s">
        <v>30</v>
      </c>
      <c r="L1012" s="3">
        <v>48</v>
      </c>
      <c r="M1012" s="3">
        <v>5</v>
      </c>
      <c r="N1012">
        <v>0</v>
      </c>
      <c r="O1012">
        <v>5</v>
      </c>
      <c r="P1012" t="s">
        <v>31</v>
      </c>
    </row>
    <row r="1013" spans="1:16">
      <c r="A1013" t="s">
        <v>1181</v>
      </c>
      <c r="B1013" s="6">
        <v>46054.474305555559</v>
      </c>
      <c r="C1013" s="2">
        <v>46056.372923206021</v>
      </c>
      <c r="D1013" t="s">
        <v>23</v>
      </c>
      <c r="E1013" t="s">
        <v>112</v>
      </c>
      <c r="F1013" t="s">
        <v>65</v>
      </c>
      <c r="G1013" t="s">
        <v>66</v>
      </c>
      <c r="H1013" t="s">
        <v>35</v>
      </c>
      <c r="I1013" t="s">
        <v>36</v>
      </c>
      <c r="J1013" t="s">
        <v>29</v>
      </c>
      <c r="K1013" t="s">
        <v>68</v>
      </c>
      <c r="L1013" s="3">
        <v>176</v>
      </c>
      <c r="M1013" s="3">
        <v>3</v>
      </c>
      <c r="N1013">
        <v>0</v>
      </c>
      <c r="O1013">
        <v>9</v>
      </c>
      <c r="P1013" t="s">
        <v>63</v>
      </c>
    </row>
    <row r="1014" spans="1:16">
      <c r="A1014" t="s">
        <v>1182</v>
      </c>
      <c r="B1014" s="6">
        <v>46040.369444444441</v>
      </c>
      <c r="C1014" s="2">
        <v>46040.686461874997</v>
      </c>
      <c r="D1014" t="s">
        <v>23</v>
      </c>
      <c r="E1014" t="s">
        <v>40</v>
      </c>
      <c r="F1014" t="s">
        <v>25</v>
      </c>
      <c r="G1014" t="s">
        <v>26</v>
      </c>
      <c r="H1014" t="s">
        <v>42</v>
      </c>
      <c r="I1014" t="s">
        <v>43</v>
      </c>
      <c r="J1014" t="s">
        <v>37</v>
      </c>
      <c r="K1014" t="s">
        <v>30</v>
      </c>
      <c r="L1014" s="3">
        <v>23</v>
      </c>
      <c r="M1014" s="3">
        <v>4</v>
      </c>
      <c r="N1014">
        <v>1</v>
      </c>
      <c r="O1014">
        <v>4</v>
      </c>
      <c r="P1014" t="s">
        <v>31</v>
      </c>
    </row>
    <row r="1015" spans="1:16">
      <c r="A1015" t="s">
        <v>1183</v>
      </c>
      <c r="B1015" s="6">
        <v>46141.186111111114</v>
      </c>
      <c r="C1015" s="2">
        <v>46142.360538622685</v>
      </c>
      <c r="D1015" t="s">
        <v>23</v>
      </c>
      <c r="E1015" t="s">
        <v>50</v>
      </c>
      <c r="F1015" t="s">
        <v>51</v>
      </c>
      <c r="G1015" t="s">
        <v>26</v>
      </c>
      <c r="H1015" t="s">
        <v>42</v>
      </c>
      <c r="I1015" t="s">
        <v>48</v>
      </c>
      <c r="J1015" t="s">
        <v>76</v>
      </c>
      <c r="K1015" t="s">
        <v>93</v>
      </c>
      <c r="L1015" s="3">
        <v>62</v>
      </c>
      <c r="M1015" s="3">
        <v>4</v>
      </c>
      <c r="N1015">
        <v>0</v>
      </c>
      <c r="O1015">
        <v>5</v>
      </c>
      <c r="P1015" t="s">
        <v>31</v>
      </c>
    </row>
    <row r="1016" spans="1:16">
      <c r="A1016" t="s">
        <v>1184</v>
      </c>
      <c r="B1016" s="6">
        <v>46234.18472222222</v>
      </c>
      <c r="C1016" s="2">
        <v>46234.73206638889</v>
      </c>
      <c r="D1016" t="s">
        <v>23</v>
      </c>
      <c r="E1016" t="s">
        <v>40</v>
      </c>
      <c r="F1016" t="s">
        <v>51</v>
      </c>
      <c r="G1016" t="s">
        <v>75</v>
      </c>
      <c r="H1016" t="s">
        <v>35</v>
      </c>
      <c r="I1016" t="s">
        <v>48</v>
      </c>
      <c r="J1016" t="s">
        <v>76</v>
      </c>
      <c r="K1016" t="s">
        <v>101</v>
      </c>
      <c r="L1016" s="3">
        <v>36</v>
      </c>
      <c r="M1016" s="3">
        <v>4</v>
      </c>
      <c r="N1016">
        <v>0</v>
      </c>
      <c r="O1016">
        <v>5</v>
      </c>
      <c r="P1016" t="s">
        <v>31</v>
      </c>
    </row>
    <row r="1017" spans="1:16">
      <c r="A1017" t="s">
        <v>1185</v>
      </c>
      <c r="B1017" s="6">
        <v>46154.765277777777</v>
      </c>
      <c r="C1017" s="2">
        <v>46155.528217627318</v>
      </c>
      <c r="D1017" t="s">
        <v>23</v>
      </c>
      <c r="E1017" t="s">
        <v>40</v>
      </c>
      <c r="F1017" t="s">
        <v>51</v>
      </c>
      <c r="G1017" t="s">
        <v>26</v>
      </c>
      <c r="H1017" t="s">
        <v>35</v>
      </c>
      <c r="I1017" t="s">
        <v>48</v>
      </c>
      <c r="J1017" t="s">
        <v>37</v>
      </c>
      <c r="K1017" t="s">
        <v>55</v>
      </c>
      <c r="L1017" s="3">
        <v>48</v>
      </c>
      <c r="M1017" s="3">
        <v>4</v>
      </c>
      <c r="N1017">
        <v>0</v>
      </c>
      <c r="O1017">
        <v>5</v>
      </c>
      <c r="P1017" t="s">
        <v>31</v>
      </c>
    </row>
    <row r="1018" spans="1:16">
      <c r="A1018" t="s">
        <v>1186</v>
      </c>
      <c r="B1018" s="6">
        <v>46042.189583333333</v>
      </c>
      <c r="C1018" s="2">
        <v>46042.474884050927</v>
      </c>
      <c r="D1018" t="s">
        <v>23</v>
      </c>
      <c r="E1018" t="s">
        <v>276</v>
      </c>
      <c r="F1018" t="s">
        <v>51</v>
      </c>
      <c r="G1018" t="s">
        <v>66</v>
      </c>
      <c r="H1018" t="s">
        <v>35</v>
      </c>
      <c r="I1018" t="s">
        <v>36</v>
      </c>
      <c r="J1018" t="s">
        <v>76</v>
      </c>
      <c r="K1018" t="s">
        <v>55</v>
      </c>
      <c r="L1018" s="3">
        <v>26</v>
      </c>
      <c r="M1018" s="3">
        <v>5</v>
      </c>
      <c r="N1018">
        <v>0</v>
      </c>
      <c r="O1018">
        <v>3</v>
      </c>
      <c r="P1018" t="s">
        <v>31</v>
      </c>
    </row>
    <row r="1019" spans="1:16">
      <c r="A1019" t="s">
        <v>1187</v>
      </c>
      <c r="B1019" s="6">
        <v>46174.620138888888</v>
      </c>
      <c r="C1019" s="2">
        <v>46175.445040266204</v>
      </c>
      <c r="D1019" t="s">
        <v>23</v>
      </c>
      <c r="E1019" t="s">
        <v>33</v>
      </c>
      <c r="F1019" t="s">
        <v>65</v>
      </c>
      <c r="G1019" t="s">
        <v>26</v>
      </c>
      <c r="H1019" t="s">
        <v>35</v>
      </c>
      <c r="I1019" t="s">
        <v>36</v>
      </c>
      <c r="J1019" t="s">
        <v>29</v>
      </c>
      <c r="K1019" t="s">
        <v>62</v>
      </c>
      <c r="L1019" s="3">
        <v>213</v>
      </c>
      <c r="M1019" s="3">
        <v>4</v>
      </c>
      <c r="N1019">
        <v>0</v>
      </c>
      <c r="O1019">
        <v>7</v>
      </c>
      <c r="P1019" t="s">
        <v>31</v>
      </c>
    </row>
    <row r="1020" spans="1:16">
      <c r="A1020" t="s">
        <v>1188</v>
      </c>
      <c r="B1020" s="6">
        <v>46047.306944444441</v>
      </c>
      <c r="C1020" s="2">
        <v>46047.605204236112</v>
      </c>
      <c r="D1020" t="s">
        <v>23</v>
      </c>
      <c r="E1020" t="s">
        <v>50</v>
      </c>
      <c r="F1020" t="s">
        <v>25</v>
      </c>
      <c r="G1020" t="s">
        <v>34</v>
      </c>
      <c r="H1020" t="s">
        <v>35</v>
      </c>
      <c r="I1020" t="s">
        <v>36</v>
      </c>
      <c r="J1020" t="s">
        <v>52</v>
      </c>
      <c r="K1020" t="s">
        <v>30</v>
      </c>
      <c r="L1020" s="3">
        <v>96</v>
      </c>
      <c r="M1020" s="3">
        <v>5</v>
      </c>
      <c r="N1020">
        <v>0</v>
      </c>
      <c r="O1020">
        <v>5</v>
      </c>
      <c r="P1020" t="s">
        <v>31</v>
      </c>
    </row>
    <row r="1021" spans="1:16">
      <c r="A1021" t="s">
        <v>1189</v>
      </c>
      <c r="B1021" s="6">
        <v>46122.486111111109</v>
      </c>
      <c r="C1021" s="2">
        <v>46122.630906990744</v>
      </c>
      <c r="D1021" t="s">
        <v>23</v>
      </c>
      <c r="E1021" t="s">
        <v>40</v>
      </c>
      <c r="F1021" t="s">
        <v>25</v>
      </c>
      <c r="G1021" t="s">
        <v>66</v>
      </c>
      <c r="H1021" t="s">
        <v>42</v>
      </c>
      <c r="I1021" t="s">
        <v>43</v>
      </c>
      <c r="J1021" t="s">
        <v>29</v>
      </c>
      <c r="K1021" t="s">
        <v>71</v>
      </c>
      <c r="L1021" s="3">
        <v>25</v>
      </c>
      <c r="M1021" s="3">
        <v>4</v>
      </c>
      <c r="N1021">
        <v>0</v>
      </c>
      <c r="O1021">
        <v>5</v>
      </c>
      <c r="P1021" t="s">
        <v>31</v>
      </c>
    </row>
    <row r="1022" spans="1:16">
      <c r="A1022" t="s">
        <v>1190</v>
      </c>
      <c r="B1022" s="6">
        <v>46175.718055555553</v>
      </c>
      <c r="C1022" s="2">
        <v>46175.909800289352</v>
      </c>
      <c r="D1022" t="s">
        <v>23</v>
      </c>
      <c r="F1022" t="s">
        <v>332</v>
      </c>
      <c r="G1022" t="s">
        <v>66</v>
      </c>
      <c r="H1022" t="s">
        <v>35</v>
      </c>
      <c r="I1022" t="s">
        <v>36</v>
      </c>
      <c r="J1022" t="s">
        <v>29</v>
      </c>
      <c r="K1022" t="s">
        <v>55</v>
      </c>
      <c r="L1022" s="3">
        <v>81</v>
      </c>
      <c r="M1022" s="3">
        <v>4</v>
      </c>
      <c r="N1022">
        <v>1</v>
      </c>
      <c r="O1022">
        <v>7</v>
      </c>
      <c r="P1022" t="s">
        <v>31</v>
      </c>
    </row>
    <row r="1023" spans="1:16">
      <c r="A1023" t="s">
        <v>1191</v>
      </c>
      <c r="B1023" s="6">
        <v>46128.306250000001</v>
      </c>
      <c r="C1023" s="2">
        <v>46128.830738402779</v>
      </c>
      <c r="D1023" t="s">
        <v>23</v>
      </c>
      <c r="E1023" t="s">
        <v>50</v>
      </c>
      <c r="F1023" t="s">
        <v>51</v>
      </c>
      <c r="G1023" t="s">
        <v>26</v>
      </c>
      <c r="H1023" t="s">
        <v>42</v>
      </c>
      <c r="I1023" t="s">
        <v>28</v>
      </c>
      <c r="J1023" t="s">
        <v>52</v>
      </c>
      <c r="K1023" t="s">
        <v>85</v>
      </c>
      <c r="L1023" s="3">
        <v>193</v>
      </c>
      <c r="M1023" s="3">
        <v>4</v>
      </c>
      <c r="N1023">
        <v>0</v>
      </c>
      <c r="O1023">
        <v>7</v>
      </c>
      <c r="P1023" t="s">
        <v>31</v>
      </c>
    </row>
    <row r="1024" spans="1:16">
      <c r="A1024" t="s">
        <v>1192</v>
      </c>
      <c r="B1024" s="6">
        <v>46172.855555555558</v>
      </c>
      <c r="C1024" s="2">
        <v>46173.417614733793</v>
      </c>
      <c r="D1024" t="s">
        <v>23</v>
      </c>
      <c r="E1024" t="s">
        <v>276</v>
      </c>
      <c r="F1024" t="s">
        <v>51</v>
      </c>
      <c r="G1024" t="s">
        <v>66</v>
      </c>
      <c r="H1024" t="s">
        <v>42</v>
      </c>
      <c r="I1024" t="s">
        <v>48</v>
      </c>
      <c r="J1024" t="s">
        <v>58</v>
      </c>
      <c r="K1024" t="s">
        <v>62</v>
      </c>
      <c r="L1024" s="3">
        <v>23</v>
      </c>
      <c r="M1024" s="3">
        <v>5</v>
      </c>
      <c r="N1024">
        <v>0</v>
      </c>
      <c r="O1024">
        <v>7</v>
      </c>
      <c r="P1024" t="s">
        <v>31</v>
      </c>
    </row>
    <row r="1025" spans="1:16">
      <c r="A1025" t="s">
        <v>334</v>
      </c>
      <c r="B1025" s="6">
        <v>46181.883333333331</v>
      </c>
      <c r="C1025" s="2">
        <v>46185.862995393516</v>
      </c>
      <c r="D1025" t="s">
        <v>23</v>
      </c>
      <c r="E1025" t="s">
        <v>33</v>
      </c>
      <c r="F1025" t="s">
        <v>51</v>
      </c>
      <c r="G1025" t="s">
        <v>26</v>
      </c>
      <c r="H1025" t="s">
        <v>35</v>
      </c>
      <c r="I1025" t="s">
        <v>48</v>
      </c>
      <c r="J1025" t="s">
        <v>76</v>
      </c>
      <c r="K1025" t="s">
        <v>44</v>
      </c>
      <c r="L1025" s="3">
        <v>516</v>
      </c>
      <c r="M1025" s="3">
        <v>3</v>
      </c>
      <c r="N1025">
        <v>0</v>
      </c>
      <c r="O1025">
        <v>2</v>
      </c>
      <c r="P1025" t="s">
        <v>31</v>
      </c>
    </row>
    <row r="1026" spans="1:16">
      <c r="A1026" t="s">
        <v>1193</v>
      </c>
      <c r="B1026" s="6">
        <v>46168.167361111111</v>
      </c>
      <c r="C1026" s="2">
        <v>46169.158822500001</v>
      </c>
      <c r="D1026" t="s">
        <v>23</v>
      </c>
      <c r="E1026" t="s">
        <v>50</v>
      </c>
      <c r="F1026" t="s">
        <v>51</v>
      </c>
      <c r="G1026" t="s">
        <v>54</v>
      </c>
      <c r="H1026" t="s">
        <v>42</v>
      </c>
      <c r="I1026" t="s">
        <v>28</v>
      </c>
      <c r="J1026" t="s">
        <v>37</v>
      </c>
      <c r="K1026" t="s">
        <v>68</v>
      </c>
      <c r="L1026" s="3">
        <v>85</v>
      </c>
      <c r="M1026" s="3">
        <v>4</v>
      </c>
      <c r="N1026">
        <v>0</v>
      </c>
      <c r="O1026">
        <v>6</v>
      </c>
      <c r="P1026" t="s">
        <v>31</v>
      </c>
    </row>
    <row r="1027" spans="1:16">
      <c r="A1027" t="s">
        <v>1194</v>
      </c>
      <c r="B1027" s="6">
        <v>46221.663194444445</v>
      </c>
      <c r="C1027" s="2">
        <v>46222.68731090278</v>
      </c>
      <c r="D1027" t="s">
        <v>23</v>
      </c>
      <c r="E1027" t="s">
        <v>33</v>
      </c>
      <c r="F1027" t="s">
        <v>25</v>
      </c>
      <c r="G1027" t="s">
        <v>54</v>
      </c>
      <c r="H1027" t="s">
        <v>42</v>
      </c>
      <c r="I1027" t="s">
        <v>48</v>
      </c>
      <c r="J1027" t="s">
        <v>58</v>
      </c>
      <c r="K1027" t="s">
        <v>71</v>
      </c>
      <c r="L1027" s="3">
        <v>229</v>
      </c>
      <c r="M1027" s="3">
        <v>4</v>
      </c>
      <c r="N1027">
        <v>0</v>
      </c>
      <c r="O1027">
        <v>2</v>
      </c>
      <c r="P1027" t="s">
        <v>31</v>
      </c>
    </row>
    <row r="1028" spans="1:16">
      <c r="A1028" t="s">
        <v>1195</v>
      </c>
      <c r="B1028" s="6">
        <v>46252.518055555556</v>
      </c>
      <c r="C1028" s="2">
        <v>46253.131966076391</v>
      </c>
      <c r="D1028" t="s">
        <v>23</v>
      </c>
      <c r="E1028" t="s">
        <v>50</v>
      </c>
      <c r="F1028" t="s">
        <v>51</v>
      </c>
      <c r="G1028" t="s">
        <v>34</v>
      </c>
      <c r="H1028" t="s">
        <v>35</v>
      </c>
      <c r="I1028" t="s">
        <v>43</v>
      </c>
      <c r="J1028" t="s">
        <v>29</v>
      </c>
      <c r="K1028" t="s">
        <v>101</v>
      </c>
      <c r="L1028" s="3">
        <v>293</v>
      </c>
      <c r="M1028" s="3">
        <v>3</v>
      </c>
      <c r="N1028">
        <v>0</v>
      </c>
      <c r="O1028">
        <v>7</v>
      </c>
      <c r="P1028" t="s">
        <v>63</v>
      </c>
    </row>
    <row r="1029" spans="1:16">
      <c r="A1029" t="s">
        <v>1196</v>
      </c>
      <c r="B1029" s="6">
        <v>46172.163888888892</v>
      </c>
      <c r="C1029" s="2">
        <v>46173.701070972224</v>
      </c>
      <c r="D1029" t="s">
        <v>23</v>
      </c>
      <c r="E1029" t="s">
        <v>33</v>
      </c>
      <c r="F1029" t="s">
        <v>51</v>
      </c>
      <c r="G1029" t="s">
        <v>26</v>
      </c>
      <c r="H1029" t="s">
        <v>42</v>
      </c>
      <c r="I1029" t="s">
        <v>43</v>
      </c>
      <c r="J1029" t="s">
        <v>67</v>
      </c>
      <c r="K1029" t="s">
        <v>30</v>
      </c>
      <c r="L1029" s="3">
        <v>512</v>
      </c>
      <c r="M1029" s="3">
        <v>3</v>
      </c>
      <c r="N1029">
        <v>0</v>
      </c>
      <c r="O1029">
        <v>7</v>
      </c>
      <c r="P1029" t="s">
        <v>31</v>
      </c>
    </row>
    <row r="1030" spans="1:16">
      <c r="A1030" t="s">
        <v>1197</v>
      </c>
      <c r="B1030" s="6">
        <v>46202.688888888886</v>
      </c>
      <c r="C1030" s="2">
        <v>46203.990554027776</v>
      </c>
      <c r="D1030" t="s">
        <v>23</v>
      </c>
      <c r="E1030" t="s">
        <v>33</v>
      </c>
      <c r="F1030" t="s">
        <v>51</v>
      </c>
      <c r="G1030" t="s">
        <v>54</v>
      </c>
      <c r="H1030" t="s">
        <v>42</v>
      </c>
      <c r="I1030" t="s">
        <v>36</v>
      </c>
      <c r="J1030" t="s">
        <v>52</v>
      </c>
      <c r="K1030" t="s">
        <v>62</v>
      </c>
      <c r="L1030" s="3">
        <v>260</v>
      </c>
      <c r="M1030" s="3">
        <v>3</v>
      </c>
      <c r="N1030">
        <v>0</v>
      </c>
      <c r="O1030">
        <v>7</v>
      </c>
      <c r="P1030" t="s">
        <v>63</v>
      </c>
    </row>
    <row r="1031" spans="1:16">
      <c r="A1031" t="s">
        <v>1198</v>
      </c>
      <c r="B1031" s="6">
        <v>46089.063888888886</v>
      </c>
      <c r="C1031" s="2">
        <v>46089.255031539353</v>
      </c>
      <c r="D1031" t="s">
        <v>23</v>
      </c>
      <c r="E1031" t="s">
        <v>50</v>
      </c>
      <c r="F1031" t="s">
        <v>51</v>
      </c>
      <c r="G1031" t="s">
        <v>54</v>
      </c>
      <c r="H1031" t="s">
        <v>42</v>
      </c>
      <c r="I1031" t="s">
        <v>43</v>
      </c>
      <c r="J1031" t="s">
        <v>29</v>
      </c>
      <c r="K1031" t="s">
        <v>85</v>
      </c>
      <c r="L1031" s="3">
        <v>45</v>
      </c>
      <c r="M1031" s="3">
        <v>4</v>
      </c>
      <c r="N1031">
        <v>0</v>
      </c>
      <c r="O1031">
        <v>3</v>
      </c>
      <c r="P1031" t="s">
        <v>31</v>
      </c>
    </row>
    <row r="1032" spans="1:16">
      <c r="A1032" t="s">
        <v>1199</v>
      </c>
      <c r="B1032" s="6">
        <v>46063.947916666664</v>
      </c>
      <c r="C1032" s="2">
        <v>46067.275671226853</v>
      </c>
      <c r="D1032" t="s">
        <v>23</v>
      </c>
      <c r="E1032" t="s">
        <v>33</v>
      </c>
      <c r="F1032" t="s">
        <v>51</v>
      </c>
      <c r="G1032" t="s">
        <v>75</v>
      </c>
      <c r="H1032" t="s">
        <v>35</v>
      </c>
      <c r="I1032" t="s">
        <v>36</v>
      </c>
      <c r="J1032" t="s">
        <v>76</v>
      </c>
      <c r="K1032" t="s">
        <v>93</v>
      </c>
      <c r="L1032" s="3">
        <v>156</v>
      </c>
      <c r="M1032" s="3">
        <v>3</v>
      </c>
      <c r="N1032">
        <v>0</v>
      </c>
      <c r="O1032">
        <v>10</v>
      </c>
      <c r="P1032" t="s">
        <v>63</v>
      </c>
    </row>
    <row r="1033" spans="1:16">
      <c r="A1033" t="s">
        <v>1200</v>
      </c>
      <c r="B1033" s="6">
        <v>46058.206944444442</v>
      </c>
      <c r="C1033" s="2">
        <v>46059.724215300928</v>
      </c>
      <c r="D1033" t="s">
        <v>23</v>
      </c>
      <c r="E1033" t="s">
        <v>50</v>
      </c>
      <c r="F1033" t="s">
        <v>25</v>
      </c>
      <c r="G1033" t="s">
        <v>26</v>
      </c>
      <c r="H1033" t="s">
        <v>27</v>
      </c>
      <c r="I1033" t="s">
        <v>28</v>
      </c>
      <c r="J1033" t="s">
        <v>76</v>
      </c>
      <c r="K1033" t="s">
        <v>62</v>
      </c>
      <c r="L1033" s="3">
        <v>129</v>
      </c>
      <c r="M1033" s="3">
        <v>4</v>
      </c>
      <c r="N1033">
        <v>0</v>
      </c>
      <c r="O1033">
        <v>3</v>
      </c>
      <c r="P1033" t="s">
        <v>31</v>
      </c>
    </row>
    <row r="1034" spans="1:16">
      <c r="A1034" t="s">
        <v>1201</v>
      </c>
      <c r="B1034" s="6">
        <v>46054.643750000003</v>
      </c>
      <c r="C1034" s="2">
        <v>46055.789928229169</v>
      </c>
      <c r="D1034" t="s">
        <v>23</v>
      </c>
      <c r="E1034" t="s">
        <v>50</v>
      </c>
      <c r="F1034" t="s">
        <v>51</v>
      </c>
      <c r="G1034" t="s">
        <v>34</v>
      </c>
      <c r="H1034" t="s">
        <v>42</v>
      </c>
      <c r="I1034" t="s">
        <v>43</v>
      </c>
      <c r="J1034" t="s">
        <v>52</v>
      </c>
      <c r="K1034" t="s">
        <v>68</v>
      </c>
      <c r="L1034" s="3">
        <v>115</v>
      </c>
      <c r="M1034" s="3">
        <v>4</v>
      </c>
      <c r="N1034">
        <v>0</v>
      </c>
      <c r="O1034">
        <v>4</v>
      </c>
      <c r="P1034" t="s">
        <v>31</v>
      </c>
    </row>
    <row r="1035" spans="1:16">
      <c r="A1035" t="s">
        <v>1202</v>
      </c>
      <c r="B1035" s="6">
        <v>46211.62777777778</v>
      </c>
      <c r="C1035" s="2">
        <v>46214.715264999999</v>
      </c>
      <c r="D1035" t="s">
        <v>23</v>
      </c>
      <c r="E1035" t="s">
        <v>50</v>
      </c>
      <c r="F1035" t="s">
        <v>51</v>
      </c>
      <c r="G1035" t="s">
        <v>26</v>
      </c>
      <c r="H1035" t="s">
        <v>27</v>
      </c>
      <c r="I1035" t="s">
        <v>36</v>
      </c>
      <c r="J1035" t="s">
        <v>67</v>
      </c>
      <c r="K1035" t="s">
        <v>93</v>
      </c>
      <c r="L1035" s="3">
        <v>196</v>
      </c>
      <c r="M1035" s="3">
        <v>2</v>
      </c>
      <c r="N1035">
        <v>3</v>
      </c>
      <c r="O1035">
        <v>13</v>
      </c>
      <c r="P1035" t="s">
        <v>31</v>
      </c>
    </row>
    <row r="1036" spans="1:16">
      <c r="A1036" t="s">
        <v>1043</v>
      </c>
      <c r="B1036" s="6">
        <v>46136.636111111111</v>
      </c>
      <c r="C1036" s="2">
        <v>46136.700606284721</v>
      </c>
      <c r="D1036" t="s">
        <v>23</v>
      </c>
      <c r="E1036" t="s">
        <v>24</v>
      </c>
      <c r="F1036" t="s">
        <v>51</v>
      </c>
      <c r="G1036" t="s">
        <v>26</v>
      </c>
      <c r="H1036" t="s">
        <v>35</v>
      </c>
      <c r="I1036" t="s">
        <v>36</v>
      </c>
      <c r="J1036" t="s">
        <v>52</v>
      </c>
      <c r="K1036" t="s">
        <v>101</v>
      </c>
      <c r="L1036" s="3">
        <v>24</v>
      </c>
      <c r="M1036" s="3">
        <v>4</v>
      </c>
      <c r="N1036">
        <v>0</v>
      </c>
      <c r="O1036">
        <v>2</v>
      </c>
      <c r="P1036" t="s">
        <v>31</v>
      </c>
    </row>
    <row r="1037" spans="1:16">
      <c r="A1037" t="s">
        <v>1203</v>
      </c>
      <c r="B1037" s="6">
        <v>46251.324999999997</v>
      </c>
      <c r="C1037" s="2">
        <v>46252.396622708337</v>
      </c>
      <c r="D1037" t="s">
        <v>23</v>
      </c>
      <c r="E1037" t="s">
        <v>50</v>
      </c>
      <c r="F1037" t="s">
        <v>51</v>
      </c>
      <c r="G1037" t="s">
        <v>26</v>
      </c>
      <c r="H1037" t="s">
        <v>35</v>
      </c>
      <c r="I1037" t="s">
        <v>28</v>
      </c>
      <c r="J1037" t="s">
        <v>37</v>
      </c>
      <c r="K1037" t="s">
        <v>44</v>
      </c>
      <c r="L1037" s="3">
        <v>43</v>
      </c>
      <c r="M1037" s="3">
        <v>5</v>
      </c>
      <c r="N1037">
        <v>0</v>
      </c>
      <c r="O1037">
        <v>2</v>
      </c>
      <c r="P1037" t="s">
        <v>31</v>
      </c>
    </row>
    <row r="1038" spans="1:16">
      <c r="A1038" t="s">
        <v>1204</v>
      </c>
      <c r="B1038" s="6">
        <v>46084.729166666664</v>
      </c>
      <c r="C1038" s="2">
        <v>46087.410665057869</v>
      </c>
      <c r="D1038" t="s">
        <v>23</v>
      </c>
      <c r="E1038" t="s">
        <v>50</v>
      </c>
      <c r="F1038" t="s">
        <v>25</v>
      </c>
      <c r="G1038" t="s">
        <v>26</v>
      </c>
      <c r="H1038" t="s">
        <v>27</v>
      </c>
      <c r="I1038" t="s">
        <v>36</v>
      </c>
      <c r="J1038" t="s">
        <v>76</v>
      </c>
      <c r="K1038" t="s">
        <v>71</v>
      </c>
      <c r="L1038" s="3">
        <v>91</v>
      </c>
      <c r="M1038" s="3">
        <v>4</v>
      </c>
      <c r="N1038">
        <v>0</v>
      </c>
      <c r="O1038">
        <v>7</v>
      </c>
      <c r="P1038" t="s">
        <v>31</v>
      </c>
    </row>
    <row r="1039" spans="1:16">
      <c r="A1039" t="s">
        <v>1205</v>
      </c>
      <c r="B1039" s="6">
        <v>46231.130555555559</v>
      </c>
      <c r="C1039" s="2">
        <v>46232.003392222221</v>
      </c>
      <c r="D1039" t="s">
        <v>23</v>
      </c>
      <c r="E1039" t="s">
        <v>50</v>
      </c>
      <c r="F1039" t="s">
        <v>41</v>
      </c>
      <c r="G1039" t="s">
        <v>26</v>
      </c>
      <c r="H1039" t="s">
        <v>27</v>
      </c>
      <c r="I1039" t="s">
        <v>43</v>
      </c>
      <c r="J1039" t="s">
        <v>52</v>
      </c>
      <c r="K1039" t="s">
        <v>68</v>
      </c>
      <c r="L1039" s="3">
        <v>225</v>
      </c>
      <c r="M1039" s="3">
        <v>4</v>
      </c>
      <c r="N1039">
        <v>0</v>
      </c>
      <c r="O1039">
        <v>5</v>
      </c>
      <c r="P1039" t="s">
        <v>31</v>
      </c>
    </row>
    <row r="1040" spans="1:16">
      <c r="A1040" t="s">
        <v>1206</v>
      </c>
      <c r="B1040" s="6">
        <v>46242.834722222222</v>
      </c>
      <c r="C1040" s="2">
        <v>46244.777638078704</v>
      </c>
      <c r="D1040" t="s">
        <v>23</v>
      </c>
      <c r="E1040" t="s">
        <v>33</v>
      </c>
      <c r="F1040" t="s">
        <v>51</v>
      </c>
      <c r="G1040" t="s">
        <v>75</v>
      </c>
      <c r="H1040" t="s">
        <v>35</v>
      </c>
      <c r="I1040" t="s">
        <v>43</v>
      </c>
      <c r="J1040" t="s">
        <v>76</v>
      </c>
      <c r="K1040" t="s">
        <v>62</v>
      </c>
      <c r="L1040" s="3">
        <v>126</v>
      </c>
      <c r="M1040" s="3">
        <v>3</v>
      </c>
      <c r="N1040">
        <v>0</v>
      </c>
      <c r="O1040">
        <v>12</v>
      </c>
      <c r="P1040" t="s">
        <v>63</v>
      </c>
    </row>
    <row r="1041" spans="1:16">
      <c r="A1041" t="s">
        <v>1207</v>
      </c>
      <c r="B1041" s="6">
        <v>46228.109027777777</v>
      </c>
      <c r="C1041" s="2">
        <v>46228.911722118057</v>
      </c>
      <c r="D1041" t="s">
        <v>23</v>
      </c>
      <c r="E1041" t="s">
        <v>33</v>
      </c>
      <c r="F1041" t="s">
        <v>51</v>
      </c>
      <c r="G1041" t="s">
        <v>66</v>
      </c>
      <c r="H1041" t="s">
        <v>42</v>
      </c>
      <c r="I1041" t="s">
        <v>36</v>
      </c>
      <c r="J1041" t="s">
        <v>29</v>
      </c>
      <c r="K1041" t="s">
        <v>85</v>
      </c>
      <c r="L1041" s="3">
        <v>397</v>
      </c>
      <c r="M1041" s="3">
        <v>4</v>
      </c>
      <c r="N1041">
        <v>0</v>
      </c>
      <c r="O1041">
        <v>2</v>
      </c>
      <c r="P1041" t="s">
        <v>31</v>
      </c>
    </row>
    <row r="1042" spans="1:16">
      <c r="A1042" t="s">
        <v>1208</v>
      </c>
      <c r="B1042" s="6">
        <v>46062.76458333333</v>
      </c>
      <c r="C1042" s="2">
        <v>46063.295665266203</v>
      </c>
      <c r="D1042" t="s">
        <v>23</v>
      </c>
      <c r="E1042" t="s">
        <v>50</v>
      </c>
      <c r="F1042" t="s">
        <v>25</v>
      </c>
      <c r="G1042" t="s">
        <v>26</v>
      </c>
      <c r="H1042" t="s">
        <v>35</v>
      </c>
      <c r="I1042" t="s">
        <v>36</v>
      </c>
      <c r="J1042" t="s">
        <v>29</v>
      </c>
      <c r="K1042" t="s">
        <v>62</v>
      </c>
      <c r="L1042" s="3">
        <v>120</v>
      </c>
      <c r="M1042" s="3">
        <v>4</v>
      </c>
      <c r="N1042">
        <v>1</v>
      </c>
      <c r="O1042">
        <v>8</v>
      </c>
      <c r="P1042" t="s">
        <v>31</v>
      </c>
    </row>
    <row r="1043" spans="1:16">
      <c r="A1043" t="s">
        <v>1209</v>
      </c>
      <c r="B1043" s="6">
        <v>46145.044444444444</v>
      </c>
      <c r="C1043" s="2">
        <v>46148.733442372686</v>
      </c>
      <c r="D1043" t="s">
        <v>23</v>
      </c>
      <c r="E1043" t="s">
        <v>33</v>
      </c>
      <c r="F1043" t="s">
        <v>51</v>
      </c>
      <c r="G1043" t="s">
        <v>54</v>
      </c>
      <c r="H1043" t="s">
        <v>35</v>
      </c>
      <c r="I1043" t="s">
        <v>43</v>
      </c>
      <c r="J1043" t="s">
        <v>58</v>
      </c>
      <c r="K1043" t="s">
        <v>93</v>
      </c>
      <c r="L1043" s="3">
        <v>277</v>
      </c>
      <c r="M1043" s="3">
        <v>2</v>
      </c>
      <c r="N1043">
        <v>2</v>
      </c>
      <c r="O1043">
        <v>13</v>
      </c>
      <c r="P1043" t="s">
        <v>31</v>
      </c>
    </row>
    <row r="1044" spans="1:16">
      <c r="A1044" t="s">
        <v>1210</v>
      </c>
      <c r="B1044" s="6">
        <v>46177.824999999997</v>
      </c>
      <c r="C1044" s="2">
        <v>46178.446921655093</v>
      </c>
      <c r="D1044" t="s">
        <v>23</v>
      </c>
      <c r="E1044" t="s">
        <v>33</v>
      </c>
      <c r="F1044" t="s">
        <v>51</v>
      </c>
      <c r="G1044" t="s">
        <v>26</v>
      </c>
      <c r="H1044" t="s">
        <v>35</v>
      </c>
      <c r="I1044" t="s">
        <v>28</v>
      </c>
      <c r="J1044" t="s">
        <v>37</v>
      </c>
      <c r="K1044" t="s">
        <v>71</v>
      </c>
      <c r="L1044" s="3">
        <v>210</v>
      </c>
      <c r="M1044" s="3">
        <v>4</v>
      </c>
      <c r="N1044">
        <v>0</v>
      </c>
      <c r="O1044">
        <v>3</v>
      </c>
      <c r="P1044" t="s">
        <v>31</v>
      </c>
    </row>
    <row r="1045" spans="1:16">
      <c r="A1045" t="s">
        <v>1211</v>
      </c>
      <c r="B1045" s="6">
        <v>46097.675694444442</v>
      </c>
      <c r="C1045" s="2">
        <v>46098.310298055556</v>
      </c>
      <c r="D1045" t="s">
        <v>23</v>
      </c>
      <c r="E1045" t="s">
        <v>50</v>
      </c>
      <c r="F1045" t="s">
        <v>41</v>
      </c>
      <c r="G1045" t="s">
        <v>54</v>
      </c>
      <c r="H1045" t="s">
        <v>27</v>
      </c>
      <c r="I1045" t="s">
        <v>28</v>
      </c>
      <c r="J1045" t="s">
        <v>29</v>
      </c>
      <c r="K1045" t="s">
        <v>55</v>
      </c>
      <c r="L1045" s="3">
        <v>49</v>
      </c>
      <c r="M1045" s="3">
        <v>5</v>
      </c>
      <c r="N1045">
        <v>0</v>
      </c>
      <c r="O1045">
        <v>4</v>
      </c>
      <c r="P1045" t="s">
        <v>31</v>
      </c>
    </row>
    <row r="1046" spans="1:16">
      <c r="A1046" t="s">
        <v>1212</v>
      </c>
      <c r="B1046" s="6">
        <v>46177.147916666669</v>
      </c>
      <c r="C1046" s="2">
        <v>46177.658015775465</v>
      </c>
      <c r="D1046" t="s">
        <v>23</v>
      </c>
      <c r="E1046" t="s">
        <v>33</v>
      </c>
      <c r="F1046" t="s">
        <v>51</v>
      </c>
      <c r="G1046" t="s">
        <v>26</v>
      </c>
      <c r="H1046" t="s">
        <v>35</v>
      </c>
      <c r="I1046" t="s">
        <v>43</v>
      </c>
      <c r="J1046" t="s">
        <v>67</v>
      </c>
      <c r="K1046" t="s">
        <v>68</v>
      </c>
      <c r="L1046" s="3">
        <v>218</v>
      </c>
      <c r="M1046" s="3">
        <v>4</v>
      </c>
      <c r="N1046">
        <v>0</v>
      </c>
      <c r="O1046">
        <v>2</v>
      </c>
      <c r="P1046" t="s">
        <v>31</v>
      </c>
    </row>
    <row r="1047" spans="1:16">
      <c r="A1047" t="s">
        <v>1213</v>
      </c>
      <c r="B1047" s="6">
        <v>46214.261805555558</v>
      </c>
      <c r="C1047" s="2">
        <v>46215.523961087965</v>
      </c>
      <c r="D1047" t="s">
        <v>23</v>
      </c>
      <c r="E1047" t="s">
        <v>33</v>
      </c>
      <c r="F1047" t="s">
        <v>25</v>
      </c>
      <c r="G1047" t="s">
        <v>34</v>
      </c>
      <c r="H1047" t="s">
        <v>42</v>
      </c>
      <c r="I1047" t="s">
        <v>28</v>
      </c>
      <c r="J1047" t="s">
        <v>52</v>
      </c>
      <c r="K1047" t="s">
        <v>101</v>
      </c>
      <c r="L1047" s="3">
        <v>91</v>
      </c>
      <c r="M1047" s="3">
        <v>4</v>
      </c>
      <c r="N1047">
        <v>0</v>
      </c>
      <c r="O1047">
        <v>6</v>
      </c>
      <c r="P1047" t="s">
        <v>31</v>
      </c>
    </row>
    <row r="1048" spans="1:16">
      <c r="A1048" t="s">
        <v>1214</v>
      </c>
      <c r="B1048" s="6">
        <v>46123.828472222223</v>
      </c>
      <c r="C1048" s="2">
        <v>46124.513048611108</v>
      </c>
      <c r="D1048" t="s">
        <v>23</v>
      </c>
      <c r="E1048" t="s">
        <v>276</v>
      </c>
      <c r="F1048" t="s">
        <v>41</v>
      </c>
      <c r="G1048" t="s">
        <v>26</v>
      </c>
      <c r="H1048" t="s">
        <v>42</v>
      </c>
      <c r="I1048" t="s">
        <v>48</v>
      </c>
      <c r="J1048" t="s">
        <v>58</v>
      </c>
      <c r="K1048" t="s">
        <v>85</v>
      </c>
      <c r="L1048" s="3">
        <v>11</v>
      </c>
      <c r="M1048" s="3">
        <v>4</v>
      </c>
      <c r="N1048">
        <v>1</v>
      </c>
      <c r="O1048">
        <v>8</v>
      </c>
      <c r="P1048" t="s">
        <v>31</v>
      </c>
    </row>
    <row r="1049" spans="1:16">
      <c r="A1049" t="s">
        <v>1215</v>
      </c>
      <c r="B1049" s="6">
        <v>46225.079861111109</v>
      </c>
      <c r="C1049" s="2">
        <v>46225.415076840276</v>
      </c>
      <c r="D1049" t="s">
        <v>23</v>
      </c>
      <c r="E1049" t="s">
        <v>40</v>
      </c>
      <c r="F1049" t="s">
        <v>25</v>
      </c>
      <c r="G1049" t="s">
        <v>34</v>
      </c>
      <c r="H1049" t="s">
        <v>35</v>
      </c>
      <c r="I1049" t="s">
        <v>43</v>
      </c>
      <c r="J1049" t="s">
        <v>52</v>
      </c>
      <c r="K1049" t="s">
        <v>44</v>
      </c>
      <c r="L1049" s="3">
        <v>24</v>
      </c>
      <c r="M1049" s="3">
        <v>4</v>
      </c>
      <c r="N1049">
        <v>0</v>
      </c>
      <c r="O1049">
        <v>4</v>
      </c>
      <c r="P1049" t="s">
        <v>31</v>
      </c>
    </row>
    <row r="1050" spans="1:16">
      <c r="A1050" t="s">
        <v>1216</v>
      </c>
      <c r="B1050" s="6">
        <v>46054.838194444441</v>
      </c>
      <c r="C1050" s="2">
        <v>46057.194073391205</v>
      </c>
      <c r="D1050" t="s">
        <v>23</v>
      </c>
      <c r="E1050" t="s">
        <v>33</v>
      </c>
      <c r="F1050" t="s">
        <v>51</v>
      </c>
      <c r="G1050" t="s">
        <v>75</v>
      </c>
      <c r="H1050" t="s">
        <v>42</v>
      </c>
      <c r="I1050" t="s">
        <v>48</v>
      </c>
      <c r="J1050" t="s">
        <v>58</v>
      </c>
      <c r="K1050" t="s">
        <v>93</v>
      </c>
      <c r="L1050" s="3">
        <v>181</v>
      </c>
      <c r="M1050" s="3">
        <v>2</v>
      </c>
      <c r="N1050">
        <v>3</v>
      </c>
      <c r="O1050">
        <v>21</v>
      </c>
      <c r="P1050" t="s">
        <v>31</v>
      </c>
    </row>
    <row r="1051" spans="1:16">
      <c r="A1051" t="s">
        <v>1217</v>
      </c>
      <c r="B1051" s="6">
        <v>46224.612500000003</v>
      </c>
      <c r="C1051" s="2">
        <v>46227.29902215278</v>
      </c>
      <c r="D1051" t="s">
        <v>23</v>
      </c>
      <c r="E1051" t="s">
        <v>33</v>
      </c>
      <c r="F1051" t="s">
        <v>41</v>
      </c>
      <c r="G1051" t="s">
        <v>75</v>
      </c>
      <c r="H1051" t="s">
        <v>35</v>
      </c>
      <c r="I1051" t="s">
        <v>28</v>
      </c>
      <c r="J1051" t="s">
        <v>58</v>
      </c>
      <c r="K1051" t="s">
        <v>62</v>
      </c>
      <c r="L1051" s="3">
        <v>381</v>
      </c>
      <c r="M1051" s="3"/>
      <c r="N1051">
        <v>0</v>
      </c>
      <c r="O1051">
        <v>2</v>
      </c>
      <c r="P1051" t="s">
        <v>31</v>
      </c>
    </row>
    <row r="1052" spans="1:16">
      <c r="A1052" t="s">
        <v>1218</v>
      </c>
      <c r="B1052" s="6">
        <v>46093.513888888891</v>
      </c>
      <c r="C1052" s="2">
        <v>46093.789549664354</v>
      </c>
      <c r="D1052" t="s">
        <v>23</v>
      </c>
      <c r="E1052" t="s">
        <v>50</v>
      </c>
      <c r="F1052" t="s">
        <v>41</v>
      </c>
      <c r="G1052" t="s">
        <v>54</v>
      </c>
      <c r="H1052" t="s">
        <v>27</v>
      </c>
      <c r="I1052" t="s">
        <v>36</v>
      </c>
      <c r="J1052" t="s">
        <v>52</v>
      </c>
      <c r="K1052" t="s">
        <v>55</v>
      </c>
      <c r="L1052" s="3">
        <v>114</v>
      </c>
      <c r="M1052" s="3">
        <v>4</v>
      </c>
      <c r="N1052">
        <v>0</v>
      </c>
      <c r="O1052">
        <v>4</v>
      </c>
      <c r="P1052" t="s">
        <v>31</v>
      </c>
    </row>
    <row r="1053" spans="1:16">
      <c r="A1053" t="s">
        <v>1219</v>
      </c>
      <c r="B1053" s="6">
        <v>46131.533333333333</v>
      </c>
      <c r="C1053" s="2" t="s">
        <v>1220</v>
      </c>
      <c r="D1053" t="s">
        <v>23</v>
      </c>
      <c r="E1053" t="s">
        <v>33</v>
      </c>
      <c r="F1053" t="s">
        <v>51</v>
      </c>
      <c r="G1053" t="s">
        <v>26</v>
      </c>
      <c r="H1053" t="s">
        <v>35</v>
      </c>
      <c r="I1053" t="s">
        <v>48</v>
      </c>
      <c r="J1053" t="s">
        <v>37</v>
      </c>
      <c r="K1053" t="s">
        <v>55</v>
      </c>
      <c r="L1053" s="3">
        <v>250</v>
      </c>
      <c r="M1053" s="3">
        <v>3</v>
      </c>
      <c r="N1053">
        <v>0</v>
      </c>
      <c r="O1053">
        <v>6</v>
      </c>
      <c r="P1053" t="s">
        <v>31</v>
      </c>
    </row>
    <row r="1054" spans="1:16">
      <c r="A1054" t="s">
        <v>1221</v>
      </c>
      <c r="B1054" s="6">
        <v>46253.664583333331</v>
      </c>
      <c r="C1054" s="2">
        <v>46257.479117824078</v>
      </c>
      <c r="D1054" t="s">
        <v>23</v>
      </c>
      <c r="E1054" t="s">
        <v>50</v>
      </c>
      <c r="F1054" t="s">
        <v>51</v>
      </c>
      <c r="G1054" t="s">
        <v>54</v>
      </c>
      <c r="H1054" t="s">
        <v>27</v>
      </c>
      <c r="I1054" t="s">
        <v>43</v>
      </c>
      <c r="J1054" t="s">
        <v>58</v>
      </c>
      <c r="K1054" t="s">
        <v>30</v>
      </c>
      <c r="L1054" s="3">
        <v>179</v>
      </c>
      <c r="M1054" s="3">
        <v>3</v>
      </c>
      <c r="N1054">
        <v>0</v>
      </c>
      <c r="O1054">
        <v>5</v>
      </c>
      <c r="P1054" t="s">
        <v>31</v>
      </c>
    </row>
    <row r="1055" spans="1:16">
      <c r="A1055" t="s">
        <v>1222</v>
      </c>
      <c r="B1055" s="6">
        <v>46161.059027777781</v>
      </c>
      <c r="C1055" s="2">
        <v>46162.00513853009</v>
      </c>
      <c r="D1055" t="s">
        <v>23</v>
      </c>
      <c r="E1055" t="s">
        <v>50</v>
      </c>
      <c r="F1055" t="s">
        <v>51</v>
      </c>
      <c r="G1055" t="s">
        <v>26</v>
      </c>
      <c r="H1055" t="s">
        <v>27</v>
      </c>
      <c r="I1055" t="s">
        <v>36</v>
      </c>
      <c r="J1055" t="s">
        <v>58</v>
      </c>
      <c r="K1055" t="s">
        <v>93</v>
      </c>
      <c r="L1055" s="3">
        <v>78</v>
      </c>
      <c r="M1055" s="3">
        <v>4</v>
      </c>
      <c r="N1055">
        <v>0</v>
      </c>
      <c r="O1055">
        <v>7</v>
      </c>
      <c r="P1055" t="s">
        <v>31</v>
      </c>
    </row>
    <row r="1056" spans="1:16">
      <c r="A1056" t="s">
        <v>1223</v>
      </c>
      <c r="B1056" s="6">
        <v>46029.894444444442</v>
      </c>
      <c r="C1056" s="2">
        <v>46030.225657071758</v>
      </c>
      <c r="D1056" t="s">
        <v>23</v>
      </c>
      <c r="F1056" t="s">
        <v>51</v>
      </c>
      <c r="G1056" t="s">
        <v>34</v>
      </c>
      <c r="H1056" t="s">
        <v>35</v>
      </c>
      <c r="I1056" t="s">
        <v>48</v>
      </c>
      <c r="J1056" t="s">
        <v>29</v>
      </c>
      <c r="K1056" t="s">
        <v>85</v>
      </c>
      <c r="L1056" s="3">
        <v>147</v>
      </c>
      <c r="M1056" s="3">
        <v>4</v>
      </c>
      <c r="N1056">
        <v>0</v>
      </c>
      <c r="O1056">
        <v>4</v>
      </c>
      <c r="P1056" t="s">
        <v>31</v>
      </c>
    </row>
    <row r="1057" spans="1:16">
      <c r="A1057" t="s">
        <v>1224</v>
      </c>
      <c r="B1057" s="6">
        <v>46118.026388888888</v>
      </c>
      <c r="C1057" s="2">
        <v>46120.06953630787</v>
      </c>
      <c r="D1057" t="s">
        <v>23</v>
      </c>
      <c r="E1057" t="s">
        <v>50</v>
      </c>
      <c r="F1057" t="s">
        <v>25</v>
      </c>
      <c r="G1057" t="s">
        <v>26</v>
      </c>
      <c r="H1057" t="s">
        <v>27</v>
      </c>
      <c r="I1057" t="s">
        <v>43</v>
      </c>
      <c r="J1057" t="s">
        <v>67</v>
      </c>
      <c r="K1057" t="s">
        <v>71</v>
      </c>
      <c r="L1057" s="3">
        <v>112</v>
      </c>
      <c r="M1057" s="3">
        <v>3</v>
      </c>
      <c r="N1057">
        <v>0</v>
      </c>
      <c r="O1057">
        <v>6</v>
      </c>
      <c r="P1057" t="s">
        <v>31</v>
      </c>
    </row>
    <row r="1058" spans="1:16">
      <c r="A1058" t="s">
        <v>1225</v>
      </c>
      <c r="B1058" s="6">
        <v>46052.615972222222</v>
      </c>
      <c r="C1058" s="2">
        <v>46053.303029953706</v>
      </c>
      <c r="D1058" t="s">
        <v>23</v>
      </c>
      <c r="E1058" t="s">
        <v>40</v>
      </c>
      <c r="F1058" t="s">
        <v>65</v>
      </c>
      <c r="G1058" t="s">
        <v>66</v>
      </c>
      <c r="H1058" t="s">
        <v>42</v>
      </c>
      <c r="I1058" t="s">
        <v>43</v>
      </c>
      <c r="J1058" t="s">
        <v>76</v>
      </c>
      <c r="K1058" t="s">
        <v>71</v>
      </c>
      <c r="L1058" s="3">
        <v>117</v>
      </c>
      <c r="M1058" s="3">
        <v>4</v>
      </c>
      <c r="N1058">
        <v>0</v>
      </c>
      <c r="O1058">
        <v>2</v>
      </c>
      <c r="P1058" t="s">
        <v>31</v>
      </c>
    </row>
    <row r="1059" spans="1:16">
      <c r="A1059" t="s">
        <v>1226</v>
      </c>
      <c r="B1059" s="6">
        <v>46258.068749999999</v>
      </c>
      <c r="C1059" s="2">
        <v>46258.405644479164</v>
      </c>
      <c r="D1059" t="s">
        <v>23</v>
      </c>
      <c r="E1059" t="s">
        <v>50</v>
      </c>
      <c r="F1059" t="s">
        <v>51</v>
      </c>
      <c r="G1059" t="s">
        <v>54</v>
      </c>
      <c r="H1059" t="s">
        <v>35</v>
      </c>
      <c r="I1059" t="s">
        <v>36</v>
      </c>
      <c r="J1059" t="s">
        <v>29</v>
      </c>
      <c r="K1059" t="s">
        <v>71</v>
      </c>
      <c r="L1059" s="3">
        <v>81</v>
      </c>
      <c r="M1059" s="3">
        <v>4</v>
      </c>
      <c r="N1059">
        <v>0</v>
      </c>
      <c r="O1059">
        <v>6</v>
      </c>
      <c r="P1059" t="s">
        <v>31</v>
      </c>
    </row>
    <row r="1060" spans="1:16">
      <c r="A1060" t="s">
        <v>1227</v>
      </c>
      <c r="B1060" s="6">
        <v>46080.020833333336</v>
      </c>
      <c r="C1060" s="2">
        <v>46084.033291145832</v>
      </c>
      <c r="D1060" t="s">
        <v>23</v>
      </c>
      <c r="E1060" t="s">
        <v>33</v>
      </c>
      <c r="F1060" t="s">
        <v>41</v>
      </c>
      <c r="G1060" t="s">
        <v>34</v>
      </c>
      <c r="H1060" t="s">
        <v>42</v>
      </c>
      <c r="I1060" t="s">
        <v>36</v>
      </c>
      <c r="J1060" t="s">
        <v>37</v>
      </c>
      <c r="K1060" t="s">
        <v>38</v>
      </c>
      <c r="L1060" s="3">
        <v>180</v>
      </c>
      <c r="M1060" s="3">
        <v>3</v>
      </c>
      <c r="N1060">
        <v>0</v>
      </c>
      <c r="O1060">
        <v>10</v>
      </c>
      <c r="P1060" t="s">
        <v>63</v>
      </c>
    </row>
    <row r="1061" spans="1:16">
      <c r="A1061" t="s">
        <v>1228</v>
      </c>
      <c r="B1061" s="6">
        <v>46094.646527777775</v>
      </c>
      <c r="C1061" s="2">
        <v>46095.999055706015</v>
      </c>
      <c r="D1061" t="s">
        <v>23</v>
      </c>
      <c r="E1061" t="s">
        <v>33</v>
      </c>
      <c r="F1061" t="s">
        <v>65</v>
      </c>
      <c r="G1061" t="s">
        <v>66</v>
      </c>
      <c r="H1061" t="s">
        <v>27</v>
      </c>
      <c r="I1061" t="s">
        <v>28</v>
      </c>
      <c r="J1061" t="s">
        <v>37</v>
      </c>
      <c r="K1061" t="s">
        <v>55</v>
      </c>
      <c r="L1061" s="3">
        <v>122</v>
      </c>
      <c r="M1061" s="3">
        <v>3</v>
      </c>
      <c r="N1061">
        <v>1</v>
      </c>
      <c r="O1061">
        <v>10</v>
      </c>
      <c r="P1061" t="s">
        <v>31</v>
      </c>
    </row>
    <row r="1062" spans="1:16">
      <c r="A1062" t="s">
        <v>1229</v>
      </c>
      <c r="B1062" s="6">
        <v>46076.335416666669</v>
      </c>
      <c r="C1062" s="2">
        <v>46077.633925902781</v>
      </c>
      <c r="D1062" t="s">
        <v>23</v>
      </c>
      <c r="E1062" t="s">
        <v>50</v>
      </c>
      <c r="F1062" t="s">
        <v>25</v>
      </c>
      <c r="G1062" t="s">
        <v>34</v>
      </c>
      <c r="H1062" t="s">
        <v>35</v>
      </c>
      <c r="I1062" t="s">
        <v>43</v>
      </c>
      <c r="J1062" t="s">
        <v>37</v>
      </c>
      <c r="K1062" t="s">
        <v>55</v>
      </c>
      <c r="L1062" s="3">
        <v>112</v>
      </c>
      <c r="M1062" s="3">
        <v>4</v>
      </c>
      <c r="N1062">
        <v>0</v>
      </c>
      <c r="O1062">
        <v>7</v>
      </c>
      <c r="P1062" t="s">
        <v>31</v>
      </c>
    </row>
    <row r="1063" spans="1:16">
      <c r="A1063" t="s">
        <v>1230</v>
      </c>
      <c r="B1063" s="6">
        <v>46194.621527777781</v>
      </c>
      <c r="C1063" s="2">
        <v>46195.43455258102</v>
      </c>
      <c r="D1063" t="s">
        <v>23</v>
      </c>
      <c r="E1063" t="s">
        <v>33</v>
      </c>
      <c r="F1063" t="s">
        <v>51</v>
      </c>
      <c r="G1063" t="s">
        <v>26</v>
      </c>
      <c r="H1063" t="s">
        <v>27</v>
      </c>
      <c r="I1063" t="s">
        <v>48</v>
      </c>
      <c r="J1063" t="s">
        <v>52</v>
      </c>
      <c r="K1063" t="s">
        <v>44</v>
      </c>
      <c r="L1063" s="3">
        <v>547</v>
      </c>
      <c r="M1063" s="3">
        <v>3</v>
      </c>
      <c r="N1063">
        <v>0</v>
      </c>
      <c r="O1063">
        <v>4</v>
      </c>
      <c r="P1063" t="s">
        <v>31</v>
      </c>
    </row>
    <row r="1064" spans="1:16">
      <c r="A1064" t="s">
        <v>1231</v>
      </c>
      <c r="B1064" s="6">
        <v>46206.456944444442</v>
      </c>
      <c r="C1064" s="2">
        <v>46207.536038194441</v>
      </c>
      <c r="D1064" t="s">
        <v>23</v>
      </c>
      <c r="E1064" t="s">
        <v>50</v>
      </c>
      <c r="F1064" t="s">
        <v>51</v>
      </c>
      <c r="G1064" t="s">
        <v>26</v>
      </c>
      <c r="H1064" t="s">
        <v>35</v>
      </c>
      <c r="I1064" t="s">
        <v>43</v>
      </c>
      <c r="J1064" t="s">
        <v>76</v>
      </c>
      <c r="K1064" t="s">
        <v>93</v>
      </c>
      <c r="L1064" s="3">
        <v>92</v>
      </c>
      <c r="M1064" s="3">
        <v>4</v>
      </c>
      <c r="N1064">
        <v>0</v>
      </c>
      <c r="O1064">
        <v>4</v>
      </c>
      <c r="P1064" t="s">
        <v>31</v>
      </c>
    </row>
    <row r="1065" spans="1:16">
      <c r="A1065" t="s">
        <v>1232</v>
      </c>
      <c r="B1065" s="6">
        <v>46215.504166666666</v>
      </c>
      <c r="C1065" s="2">
        <v>46216.200902569442</v>
      </c>
      <c r="D1065" t="s">
        <v>23</v>
      </c>
      <c r="E1065" t="s">
        <v>40</v>
      </c>
      <c r="F1065" t="s">
        <v>51</v>
      </c>
      <c r="G1065" t="s">
        <v>75</v>
      </c>
      <c r="H1065" t="s">
        <v>35</v>
      </c>
      <c r="I1065" t="s">
        <v>43</v>
      </c>
      <c r="J1065" t="s">
        <v>52</v>
      </c>
      <c r="K1065" t="s">
        <v>44</v>
      </c>
      <c r="L1065" s="3">
        <v>75</v>
      </c>
      <c r="M1065" s="3">
        <v>4</v>
      </c>
      <c r="N1065">
        <v>2</v>
      </c>
      <c r="O1065">
        <v>6</v>
      </c>
      <c r="P1065" t="s">
        <v>31</v>
      </c>
    </row>
    <row r="1066" spans="1:16">
      <c r="A1066" t="s">
        <v>1233</v>
      </c>
      <c r="B1066" s="6">
        <v>46070.710416666669</v>
      </c>
      <c r="C1066" s="2">
        <v>46072.763995844907</v>
      </c>
      <c r="D1066" t="s">
        <v>23</v>
      </c>
      <c r="E1066" t="s">
        <v>33</v>
      </c>
      <c r="F1066" t="s">
        <v>65</v>
      </c>
      <c r="G1066" t="s">
        <v>66</v>
      </c>
      <c r="H1066" t="s">
        <v>35</v>
      </c>
      <c r="I1066" t="s">
        <v>28</v>
      </c>
      <c r="J1066" t="s">
        <v>37</v>
      </c>
      <c r="K1066" t="s">
        <v>68</v>
      </c>
      <c r="L1066" s="3">
        <v>168</v>
      </c>
      <c r="M1066" s="3">
        <v>3</v>
      </c>
      <c r="N1066">
        <v>1</v>
      </c>
      <c r="O1066">
        <v>11</v>
      </c>
      <c r="P1066" t="s">
        <v>31</v>
      </c>
    </row>
    <row r="1067" spans="1:16">
      <c r="A1067" t="s">
        <v>1234</v>
      </c>
      <c r="B1067" s="6">
        <v>46104.929861111108</v>
      </c>
      <c r="C1067" s="2">
        <v>46106.062096377318</v>
      </c>
      <c r="D1067" t="s">
        <v>23</v>
      </c>
      <c r="E1067" t="s">
        <v>50</v>
      </c>
      <c r="F1067" t="s">
        <v>25</v>
      </c>
      <c r="G1067" t="s">
        <v>66</v>
      </c>
      <c r="H1067" t="s">
        <v>35</v>
      </c>
      <c r="I1067" t="s">
        <v>43</v>
      </c>
      <c r="J1067" t="s">
        <v>37</v>
      </c>
      <c r="K1067" t="s">
        <v>93</v>
      </c>
      <c r="L1067" s="3">
        <v>126</v>
      </c>
      <c r="M1067" s="3">
        <v>4</v>
      </c>
      <c r="N1067">
        <v>0</v>
      </c>
      <c r="O1067">
        <v>5</v>
      </c>
      <c r="P1067" t="s">
        <v>31</v>
      </c>
    </row>
    <row r="1068" spans="1:16">
      <c r="A1068" t="s">
        <v>1235</v>
      </c>
      <c r="B1068" s="6">
        <v>46155.331250000003</v>
      </c>
      <c r="C1068" s="2">
        <v>46156.63740472222</v>
      </c>
      <c r="D1068" t="s">
        <v>23</v>
      </c>
      <c r="E1068" t="s">
        <v>50</v>
      </c>
      <c r="F1068" t="s">
        <v>25</v>
      </c>
      <c r="G1068" t="s">
        <v>75</v>
      </c>
      <c r="H1068" t="s">
        <v>42</v>
      </c>
      <c r="I1068" t="s">
        <v>48</v>
      </c>
      <c r="J1068" t="s">
        <v>58</v>
      </c>
      <c r="K1068" t="s">
        <v>101</v>
      </c>
      <c r="L1068" s="3">
        <v>172</v>
      </c>
      <c r="M1068" s="3">
        <v>3</v>
      </c>
      <c r="N1068">
        <v>0</v>
      </c>
      <c r="O1068">
        <v>3</v>
      </c>
      <c r="P1068" t="s">
        <v>31</v>
      </c>
    </row>
    <row r="1069" spans="1:16">
      <c r="A1069" t="s">
        <v>1236</v>
      </c>
      <c r="B1069" s="6">
        <v>46098.258333333331</v>
      </c>
      <c r="C1069" s="2">
        <v>46100.437747037038</v>
      </c>
      <c r="D1069" t="s">
        <v>23</v>
      </c>
      <c r="E1069" t="s">
        <v>33</v>
      </c>
      <c r="F1069" t="s">
        <v>25</v>
      </c>
      <c r="G1069" t="s">
        <v>75</v>
      </c>
      <c r="H1069" t="s">
        <v>35</v>
      </c>
      <c r="I1069" t="s">
        <v>48</v>
      </c>
      <c r="J1069" t="s">
        <v>37</v>
      </c>
      <c r="K1069" t="s">
        <v>44</v>
      </c>
      <c r="L1069" s="3">
        <v>231</v>
      </c>
      <c r="M1069" s="3">
        <v>3</v>
      </c>
      <c r="N1069">
        <v>1</v>
      </c>
      <c r="O1069">
        <v>11</v>
      </c>
      <c r="P1069" t="s">
        <v>31</v>
      </c>
    </row>
    <row r="1070" spans="1:16">
      <c r="A1070" t="s">
        <v>1237</v>
      </c>
      <c r="B1070" s="6">
        <v>46092.397916666669</v>
      </c>
      <c r="C1070" s="2">
        <v>46093.433408344907</v>
      </c>
      <c r="D1070" t="s">
        <v>23</v>
      </c>
      <c r="E1070" t="s">
        <v>33</v>
      </c>
      <c r="F1070" t="s">
        <v>51</v>
      </c>
      <c r="G1070" t="s">
        <v>66</v>
      </c>
      <c r="H1070" t="s">
        <v>42</v>
      </c>
      <c r="I1070" t="s">
        <v>43</v>
      </c>
      <c r="J1070" t="s">
        <v>29</v>
      </c>
      <c r="K1070" t="s">
        <v>30</v>
      </c>
      <c r="L1070" s="3">
        <v>249</v>
      </c>
      <c r="M1070" s="3">
        <v>3</v>
      </c>
      <c r="N1070">
        <v>0</v>
      </c>
      <c r="O1070">
        <v>2</v>
      </c>
      <c r="P1070" t="s">
        <v>31</v>
      </c>
    </row>
    <row r="1071" spans="1:16">
      <c r="A1071" t="s">
        <v>1238</v>
      </c>
      <c r="B1071" s="6">
        <v>46112.352777777778</v>
      </c>
      <c r="C1071" s="2">
        <v>46115.315952511577</v>
      </c>
      <c r="D1071" t="s">
        <v>23</v>
      </c>
      <c r="E1071" t="s">
        <v>50</v>
      </c>
      <c r="F1071" t="s">
        <v>51</v>
      </c>
      <c r="G1071" t="s">
        <v>54</v>
      </c>
      <c r="H1071" t="s">
        <v>42</v>
      </c>
      <c r="I1071" t="s">
        <v>48</v>
      </c>
      <c r="J1071" t="s">
        <v>58</v>
      </c>
      <c r="K1071" t="s">
        <v>62</v>
      </c>
      <c r="L1071" s="3">
        <v>135</v>
      </c>
      <c r="M1071" s="3">
        <v>3</v>
      </c>
      <c r="N1071">
        <v>0</v>
      </c>
      <c r="O1071">
        <v>3</v>
      </c>
      <c r="P1071" t="s">
        <v>31</v>
      </c>
    </row>
    <row r="1072" spans="1:16">
      <c r="A1072" t="s">
        <v>1239</v>
      </c>
      <c r="B1072" s="6">
        <v>46060.993055555555</v>
      </c>
      <c r="C1072" s="2">
        <v>46061.863415173611</v>
      </c>
      <c r="D1072" t="s">
        <v>23</v>
      </c>
      <c r="E1072" t="s">
        <v>50</v>
      </c>
      <c r="F1072" t="s">
        <v>51</v>
      </c>
      <c r="G1072" t="s">
        <v>26</v>
      </c>
      <c r="H1072" t="s">
        <v>42</v>
      </c>
      <c r="I1072" t="s">
        <v>43</v>
      </c>
      <c r="J1072" t="s">
        <v>29</v>
      </c>
      <c r="K1072" t="s">
        <v>44</v>
      </c>
      <c r="L1072" s="3">
        <v>156</v>
      </c>
      <c r="M1072" s="3">
        <v>4</v>
      </c>
      <c r="N1072">
        <v>0</v>
      </c>
      <c r="O1072">
        <v>2</v>
      </c>
      <c r="P1072" t="s">
        <v>31</v>
      </c>
    </row>
    <row r="1073" spans="1:16">
      <c r="A1073" t="s">
        <v>1240</v>
      </c>
      <c r="B1073" s="6">
        <v>46259.29791666667</v>
      </c>
      <c r="C1073" s="2">
        <v>46262.933281967591</v>
      </c>
      <c r="D1073" t="s">
        <v>23</v>
      </c>
      <c r="E1073" t="s">
        <v>33</v>
      </c>
      <c r="F1073" t="s">
        <v>25</v>
      </c>
      <c r="G1073" t="s">
        <v>26</v>
      </c>
      <c r="H1073" t="s">
        <v>42</v>
      </c>
      <c r="I1073" t="s">
        <v>48</v>
      </c>
      <c r="J1073" t="s">
        <v>37</v>
      </c>
      <c r="K1073" t="s">
        <v>85</v>
      </c>
      <c r="L1073" s="3">
        <v>260</v>
      </c>
      <c r="M1073" s="3">
        <v>3</v>
      </c>
      <c r="N1073">
        <v>0</v>
      </c>
      <c r="O1073">
        <v>4</v>
      </c>
      <c r="P1073" t="s">
        <v>31</v>
      </c>
    </row>
    <row r="1074" spans="1:16">
      <c r="A1074" t="s">
        <v>1241</v>
      </c>
      <c r="B1074" s="6">
        <v>46205.115277777775</v>
      </c>
      <c r="C1074" s="2">
        <v>46206.956946307873</v>
      </c>
      <c r="D1074" t="s">
        <v>23</v>
      </c>
      <c r="E1074" t="s">
        <v>33</v>
      </c>
      <c r="F1074" t="s">
        <v>51</v>
      </c>
      <c r="G1074" t="s">
        <v>54</v>
      </c>
      <c r="H1074" t="s">
        <v>42</v>
      </c>
      <c r="I1074" t="s">
        <v>36</v>
      </c>
      <c r="J1074" t="s">
        <v>76</v>
      </c>
      <c r="K1074" t="s">
        <v>38</v>
      </c>
      <c r="L1074" s="3">
        <v>210</v>
      </c>
      <c r="M1074" s="3">
        <v>4</v>
      </c>
      <c r="N1074">
        <v>0</v>
      </c>
      <c r="O1074">
        <v>2</v>
      </c>
      <c r="P1074" t="s">
        <v>31</v>
      </c>
    </row>
    <row r="1075" spans="1:16">
      <c r="A1075" t="s">
        <v>1242</v>
      </c>
      <c r="B1075" s="6">
        <v>46078.447222222225</v>
      </c>
      <c r="C1075" s="2">
        <v>46078.836902361109</v>
      </c>
      <c r="D1075" t="s">
        <v>23</v>
      </c>
      <c r="F1075" t="s">
        <v>25</v>
      </c>
      <c r="G1075" t="s">
        <v>66</v>
      </c>
      <c r="H1075" t="s">
        <v>27</v>
      </c>
      <c r="I1075" t="s">
        <v>48</v>
      </c>
      <c r="J1075" t="s">
        <v>37</v>
      </c>
      <c r="K1075" t="s">
        <v>101</v>
      </c>
      <c r="L1075" s="3">
        <v>38</v>
      </c>
      <c r="M1075" s="3">
        <v>4</v>
      </c>
      <c r="N1075">
        <v>0</v>
      </c>
      <c r="O1075">
        <v>7</v>
      </c>
      <c r="P1075" t="s">
        <v>31</v>
      </c>
    </row>
    <row r="1076" spans="1:16">
      <c r="A1076" t="s">
        <v>1243</v>
      </c>
      <c r="B1076" s="6">
        <v>46144.757638888892</v>
      </c>
      <c r="C1076" s="2">
        <v>46145.503901782409</v>
      </c>
      <c r="D1076" t="s">
        <v>23</v>
      </c>
      <c r="E1076" t="s">
        <v>40</v>
      </c>
      <c r="F1076" t="s">
        <v>51</v>
      </c>
      <c r="G1076" t="s">
        <v>26</v>
      </c>
      <c r="H1076" t="s">
        <v>35</v>
      </c>
      <c r="I1076" t="s">
        <v>48</v>
      </c>
      <c r="J1076" t="s">
        <v>67</v>
      </c>
      <c r="K1076" t="s">
        <v>55</v>
      </c>
      <c r="L1076" s="3">
        <v>38</v>
      </c>
      <c r="M1076" s="3">
        <v>3</v>
      </c>
      <c r="N1076">
        <v>2</v>
      </c>
      <c r="O1076">
        <v>13</v>
      </c>
      <c r="P1076" t="s">
        <v>31</v>
      </c>
    </row>
    <row r="1077" spans="1:16">
      <c r="A1077" t="s">
        <v>1244</v>
      </c>
      <c r="B1077" s="6">
        <v>46230.915972222225</v>
      </c>
      <c r="C1077" s="2">
        <v>46233.245709768518</v>
      </c>
      <c r="D1077" t="s">
        <v>23</v>
      </c>
      <c r="E1077" t="s">
        <v>33</v>
      </c>
      <c r="F1077" t="s">
        <v>25</v>
      </c>
      <c r="G1077" t="s">
        <v>34</v>
      </c>
      <c r="H1077" t="s">
        <v>42</v>
      </c>
      <c r="I1077" t="s">
        <v>28</v>
      </c>
      <c r="J1077" t="s">
        <v>37</v>
      </c>
      <c r="K1077" t="s">
        <v>55</v>
      </c>
      <c r="L1077" s="3">
        <v>234</v>
      </c>
      <c r="M1077" s="3">
        <v>3</v>
      </c>
      <c r="N1077">
        <v>1</v>
      </c>
      <c r="O1077">
        <v>5</v>
      </c>
      <c r="P1077" t="s">
        <v>31</v>
      </c>
    </row>
    <row r="1078" spans="1:16">
      <c r="A1078" t="s">
        <v>1245</v>
      </c>
      <c r="B1078" s="6">
        <v>46044.838888888888</v>
      </c>
      <c r="C1078" s="2">
        <v>46044.895136030093</v>
      </c>
      <c r="D1078" t="s">
        <v>23</v>
      </c>
      <c r="E1078" t="s">
        <v>24</v>
      </c>
      <c r="F1078" t="s">
        <v>51</v>
      </c>
      <c r="G1078" t="s">
        <v>26</v>
      </c>
      <c r="H1078" t="s">
        <v>35</v>
      </c>
      <c r="I1078" t="s">
        <v>36</v>
      </c>
      <c r="J1078" t="s">
        <v>52</v>
      </c>
      <c r="K1078" t="s">
        <v>55</v>
      </c>
      <c r="L1078" s="3">
        <v>11</v>
      </c>
      <c r="M1078" s="3">
        <v>4</v>
      </c>
      <c r="N1078">
        <v>0</v>
      </c>
      <c r="O1078">
        <v>7</v>
      </c>
      <c r="P1078" t="s">
        <v>31</v>
      </c>
    </row>
    <row r="1079" spans="1:16">
      <c r="A1079" t="s">
        <v>1246</v>
      </c>
      <c r="B1079" s="6">
        <v>46218.677777777775</v>
      </c>
      <c r="C1079" s="2">
        <v>46221.074703078702</v>
      </c>
      <c r="D1079" t="s">
        <v>23</v>
      </c>
      <c r="E1079" t="s">
        <v>80</v>
      </c>
      <c r="F1079" t="s">
        <v>41</v>
      </c>
      <c r="G1079" t="s">
        <v>54</v>
      </c>
      <c r="H1079" t="s">
        <v>42</v>
      </c>
      <c r="I1079" t="s">
        <v>48</v>
      </c>
      <c r="J1079" t="s">
        <v>76</v>
      </c>
      <c r="K1079" t="s">
        <v>101</v>
      </c>
      <c r="L1079" s="3">
        <v>132</v>
      </c>
      <c r="M1079" s="3">
        <v>3</v>
      </c>
      <c r="N1079">
        <v>0</v>
      </c>
      <c r="O1079">
        <v>5</v>
      </c>
      <c r="P1079" t="s">
        <v>63</v>
      </c>
    </row>
    <row r="1080" spans="1:16">
      <c r="A1080" t="s">
        <v>1247</v>
      </c>
      <c r="B1080" s="6">
        <v>46155.5</v>
      </c>
      <c r="C1080" s="2">
        <v>46156.605483553241</v>
      </c>
      <c r="D1080" t="s">
        <v>23</v>
      </c>
      <c r="E1080" t="s">
        <v>33</v>
      </c>
      <c r="F1080" t="s">
        <v>25</v>
      </c>
      <c r="G1080" t="s">
        <v>66</v>
      </c>
      <c r="H1080" t="s">
        <v>42</v>
      </c>
      <c r="I1080" t="s">
        <v>36</v>
      </c>
      <c r="J1080" t="s">
        <v>67</v>
      </c>
      <c r="K1080" t="s">
        <v>85</v>
      </c>
      <c r="L1080" s="3">
        <v>247</v>
      </c>
      <c r="M1080" s="3">
        <v>4</v>
      </c>
      <c r="N1080">
        <v>0</v>
      </c>
      <c r="O1080">
        <v>7</v>
      </c>
      <c r="P1080" t="s">
        <v>31</v>
      </c>
    </row>
    <row r="1081" spans="1:16">
      <c r="A1081" t="s">
        <v>1248</v>
      </c>
      <c r="B1081" s="6">
        <v>46118.259027777778</v>
      </c>
      <c r="C1081" s="2">
        <v>46118.744626423613</v>
      </c>
      <c r="D1081" t="s">
        <v>23</v>
      </c>
      <c r="E1081" t="s">
        <v>50</v>
      </c>
      <c r="F1081" t="s">
        <v>51</v>
      </c>
      <c r="G1081" t="s">
        <v>26</v>
      </c>
      <c r="H1081" t="s">
        <v>42</v>
      </c>
      <c r="I1081" t="s">
        <v>43</v>
      </c>
      <c r="J1081" t="s">
        <v>163</v>
      </c>
      <c r="K1081" t="s">
        <v>85</v>
      </c>
      <c r="L1081" s="3">
        <v>172</v>
      </c>
      <c r="M1081" s="3">
        <v>3</v>
      </c>
      <c r="N1081">
        <v>3</v>
      </c>
      <c r="O1081">
        <v>17</v>
      </c>
      <c r="P1081" t="s">
        <v>31</v>
      </c>
    </row>
    <row r="1082" spans="1:16">
      <c r="A1082" t="s">
        <v>1249</v>
      </c>
      <c r="B1082" s="6">
        <v>46102.152777777781</v>
      </c>
      <c r="C1082" s="2">
        <v>46102.990242546293</v>
      </c>
      <c r="D1082" t="s">
        <v>23</v>
      </c>
      <c r="E1082" t="s">
        <v>33</v>
      </c>
      <c r="F1082" t="s">
        <v>51</v>
      </c>
      <c r="G1082" t="s">
        <v>26</v>
      </c>
      <c r="H1082" t="s">
        <v>27</v>
      </c>
      <c r="I1082" t="s">
        <v>48</v>
      </c>
      <c r="J1082" t="s">
        <v>29</v>
      </c>
      <c r="K1082" t="s">
        <v>30</v>
      </c>
      <c r="L1082" s="3">
        <v>112</v>
      </c>
      <c r="M1082" s="3">
        <v>4</v>
      </c>
      <c r="N1082">
        <v>0</v>
      </c>
      <c r="O1082">
        <v>7</v>
      </c>
      <c r="P1082" t="s">
        <v>31</v>
      </c>
    </row>
    <row r="1083" spans="1:16">
      <c r="A1083" t="s">
        <v>1250</v>
      </c>
      <c r="B1083" s="6">
        <v>46219.175694444442</v>
      </c>
      <c r="C1083" s="2">
        <v>46219.341656076387</v>
      </c>
      <c r="D1083" t="s">
        <v>23</v>
      </c>
      <c r="E1083" t="s">
        <v>24</v>
      </c>
      <c r="F1083" t="s">
        <v>25</v>
      </c>
      <c r="G1083" t="s">
        <v>26</v>
      </c>
      <c r="H1083" t="s">
        <v>35</v>
      </c>
      <c r="I1083" t="s">
        <v>28</v>
      </c>
      <c r="J1083" t="s">
        <v>29</v>
      </c>
      <c r="K1083" t="s">
        <v>55</v>
      </c>
      <c r="L1083" s="3">
        <v>18</v>
      </c>
      <c r="M1083" s="3">
        <v>4</v>
      </c>
      <c r="N1083">
        <v>0</v>
      </c>
      <c r="O1083">
        <v>4</v>
      </c>
      <c r="P1083" t="s">
        <v>31</v>
      </c>
    </row>
    <row r="1084" spans="1:16">
      <c r="A1084" t="s">
        <v>1251</v>
      </c>
      <c r="B1084" s="6">
        <v>46238.257638888892</v>
      </c>
      <c r="C1084" s="2">
        <v>46244.462691458335</v>
      </c>
      <c r="D1084" t="s">
        <v>23</v>
      </c>
      <c r="E1084" t="s">
        <v>112</v>
      </c>
      <c r="F1084" t="s">
        <v>51</v>
      </c>
      <c r="G1084" t="s">
        <v>75</v>
      </c>
      <c r="H1084" t="s">
        <v>27</v>
      </c>
      <c r="I1084" t="s">
        <v>28</v>
      </c>
      <c r="J1084" t="s">
        <v>52</v>
      </c>
      <c r="K1084" t="s">
        <v>101</v>
      </c>
      <c r="L1084" s="3">
        <v>213</v>
      </c>
      <c r="M1084" s="3">
        <v>3</v>
      </c>
      <c r="N1084">
        <v>1</v>
      </c>
      <c r="O1084">
        <v>13</v>
      </c>
      <c r="P1084" t="s">
        <v>63</v>
      </c>
    </row>
    <row r="1085" spans="1:16">
      <c r="A1085" t="s">
        <v>1252</v>
      </c>
      <c r="B1085" s="6">
        <v>46226.365277777775</v>
      </c>
      <c r="C1085" s="2">
        <v>46226.599919918983</v>
      </c>
      <c r="D1085" t="s">
        <v>23</v>
      </c>
      <c r="E1085" t="s">
        <v>40</v>
      </c>
      <c r="F1085" t="s">
        <v>25</v>
      </c>
      <c r="G1085" t="s">
        <v>54</v>
      </c>
      <c r="H1085" t="s">
        <v>42</v>
      </c>
      <c r="I1085" t="s">
        <v>28</v>
      </c>
      <c r="J1085" t="s">
        <v>29</v>
      </c>
      <c r="K1085" t="s">
        <v>38</v>
      </c>
      <c r="L1085" s="3">
        <v>27</v>
      </c>
      <c r="M1085" s="3">
        <v>4</v>
      </c>
      <c r="N1085">
        <v>1</v>
      </c>
      <c r="O1085">
        <v>10</v>
      </c>
      <c r="P1085" t="s">
        <v>31</v>
      </c>
    </row>
    <row r="1086" spans="1:16">
      <c r="A1086" t="s">
        <v>1253</v>
      </c>
      <c r="B1086" s="6">
        <v>46234.952777777777</v>
      </c>
      <c r="C1086" s="2">
        <v>46237.848796550927</v>
      </c>
      <c r="D1086" t="s">
        <v>23</v>
      </c>
      <c r="E1086" t="s">
        <v>50</v>
      </c>
      <c r="F1086" t="s">
        <v>25</v>
      </c>
      <c r="G1086" t="s">
        <v>26</v>
      </c>
      <c r="H1086" t="s">
        <v>35</v>
      </c>
      <c r="I1086" t="s">
        <v>43</v>
      </c>
      <c r="J1086" t="s">
        <v>37</v>
      </c>
      <c r="K1086" t="s">
        <v>38</v>
      </c>
      <c r="L1086" s="3">
        <v>115</v>
      </c>
      <c r="M1086" s="3">
        <v>3</v>
      </c>
      <c r="N1086">
        <v>0</v>
      </c>
      <c r="O1086">
        <v>6</v>
      </c>
      <c r="P1086" t="s">
        <v>31</v>
      </c>
    </row>
    <row r="1087" spans="1:16">
      <c r="A1087" t="s">
        <v>1254</v>
      </c>
      <c r="B1087" s="6">
        <v>46192.943055555559</v>
      </c>
      <c r="C1087" s="2">
        <v>46193.188805335645</v>
      </c>
      <c r="D1087" t="s">
        <v>23</v>
      </c>
      <c r="E1087" t="s">
        <v>24</v>
      </c>
      <c r="F1087" t="s">
        <v>25</v>
      </c>
      <c r="G1087" t="s">
        <v>54</v>
      </c>
      <c r="H1087" t="s">
        <v>27</v>
      </c>
      <c r="I1087" t="s">
        <v>28</v>
      </c>
      <c r="J1087" t="s">
        <v>37</v>
      </c>
      <c r="K1087" t="s">
        <v>30</v>
      </c>
      <c r="L1087" s="3">
        <v>31</v>
      </c>
      <c r="M1087" s="3">
        <v>4</v>
      </c>
      <c r="N1087">
        <v>1</v>
      </c>
      <c r="O1087">
        <v>5</v>
      </c>
      <c r="P1087" t="s">
        <v>31</v>
      </c>
    </row>
    <row r="1088" spans="1:16">
      <c r="A1088" t="s">
        <v>1255</v>
      </c>
      <c r="B1088" s="6">
        <v>46040.663888888892</v>
      </c>
      <c r="C1088" s="2">
        <v>46045.442690000003</v>
      </c>
      <c r="D1088" t="s">
        <v>23</v>
      </c>
      <c r="E1088" t="s">
        <v>50</v>
      </c>
      <c r="F1088" t="s">
        <v>51</v>
      </c>
      <c r="G1088" t="s">
        <v>66</v>
      </c>
      <c r="H1088" t="s">
        <v>42</v>
      </c>
      <c r="I1088" t="s">
        <v>36</v>
      </c>
      <c r="J1088" t="s">
        <v>58</v>
      </c>
      <c r="K1088" t="s">
        <v>30</v>
      </c>
      <c r="L1088" s="3">
        <v>234</v>
      </c>
      <c r="M1088" s="3">
        <v>3</v>
      </c>
      <c r="N1088">
        <v>0</v>
      </c>
      <c r="O1088">
        <v>3</v>
      </c>
      <c r="P1088" t="s">
        <v>31</v>
      </c>
    </row>
    <row r="1089" spans="1:16">
      <c r="A1089" t="s">
        <v>1256</v>
      </c>
      <c r="B1089" s="6">
        <v>46213.143750000003</v>
      </c>
      <c r="C1089" s="2">
        <v>46213.251244398147</v>
      </c>
      <c r="D1089" t="s">
        <v>23</v>
      </c>
      <c r="E1089" t="s">
        <v>24</v>
      </c>
      <c r="F1089" t="s">
        <v>65</v>
      </c>
      <c r="G1089" t="s">
        <v>26</v>
      </c>
      <c r="H1089" t="s">
        <v>35</v>
      </c>
      <c r="I1089" t="s">
        <v>28</v>
      </c>
      <c r="J1089" t="s">
        <v>52</v>
      </c>
      <c r="K1089" t="s">
        <v>93</v>
      </c>
      <c r="L1089" s="3">
        <v>16</v>
      </c>
      <c r="M1089" s="3">
        <v>4</v>
      </c>
      <c r="N1089">
        <v>0</v>
      </c>
      <c r="O1089">
        <v>3</v>
      </c>
      <c r="P1089" t="s">
        <v>31</v>
      </c>
    </row>
    <row r="1090" spans="1:16">
      <c r="A1090" t="s">
        <v>1257</v>
      </c>
      <c r="B1090" s="6">
        <v>46226.060416666667</v>
      </c>
      <c r="C1090" s="2">
        <v>46226.571393541664</v>
      </c>
      <c r="D1090" t="s">
        <v>23</v>
      </c>
      <c r="E1090" t="s">
        <v>24</v>
      </c>
      <c r="F1090" t="s">
        <v>51</v>
      </c>
      <c r="G1090" t="s">
        <v>54</v>
      </c>
      <c r="H1090" t="s">
        <v>42</v>
      </c>
      <c r="I1090" t="s">
        <v>36</v>
      </c>
      <c r="J1090" t="s">
        <v>76</v>
      </c>
      <c r="K1090" t="s">
        <v>71</v>
      </c>
      <c r="L1090" s="3">
        <v>12</v>
      </c>
      <c r="M1090" s="3">
        <v>4</v>
      </c>
      <c r="N1090">
        <v>1</v>
      </c>
      <c r="O1090">
        <v>5</v>
      </c>
      <c r="P1090" t="s">
        <v>31</v>
      </c>
    </row>
    <row r="1091" spans="1:16">
      <c r="A1091" t="s">
        <v>1258</v>
      </c>
      <c r="B1091" s="6">
        <v>46193.388194444444</v>
      </c>
      <c r="C1091" s="2">
        <v>46194.412525162035</v>
      </c>
      <c r="D1091" t="s">
        <v>23</v>
      </c>
      <c r="E1091" t="s">
        <v>50</v>
      </c>
      <c r="F1091" t="s">
        <v>51</v>
      </c>
      <c r="G1091" t="s">
        <v>34</v>
      </c>
      <c r="H1091" t="s">
        <v>42</v>
      </c>
      <c r="I1091" t="s">
        <v>36</v>
      </c>
      <c r="J1091" t="s">
        <v>29</v>
      </c>
      <c r="K1091" t="s">
        <v>30</v>
      </c>
      <c r="L1091" s="3">
        <v>119</v>
      </c>
      <c r="M1091" s="3">
        <v>4</v>
      </c>
      <c r="N1091">
        <v>0</v>
      </c>
      <c r="O1091">
        <v>3</v>
      </c>
      <c r="P1091" t="s">
        <v>31</v>
      </c>
    </row>
    <row r="1092" spans="1:16">
      <c r="A1092" t="s">
        <v>1259</v>
      </c>
      <c r="B1092" s="6">
        <v>46159.267361111109</v>
      </c>
      <c r="C1092" s="2">
        <v>46159.770241180559</v>
      </c>
      <c r="D1092" t="s">
        <v>23</v>
      </c>
      <c r="E1092" t="s">
        <v>40</v>
      </c>
      <c r="F1092" t="s">
        <v>25</v>
      </c>
      <c r="G1092" t="s">
        <v>26</v>
      </c>
      <c r="H1092" t="s">
        <v>42</v>
      </c>
      <c r="I1092" t="s">
        <v>28</v>
      </c>
      <c r="J1092" t="s">
        <v>52</v>
      </c>
      <c r="K1092" t="s">
        <v>93</v>
      </c>
      <c r="L1092" s="3">
        <v>49</v>
      </c>
      <c r="M1092" s="3">
        <v>4</v>
      </c>
      <c r="N1092">
        <v>0</v>
      </c>
      <c r="O1092">
        <v>4</v>
      </c>
      <c r="P1092" t="s">
        <v>31</v>
      </c>
    </row>
    <row r="1093" spans="1:16">
      <c r="A1093" t="s">
        <v>1260</v>
      </c>
      <c r="B1093" s="6">
        <v>46161.957638888889</v>
      </c>
      <c r="C1093" s="2">
        <v>46162.378123113427</v>
      </c>
      <c r="D1093" t="s">
        <v>23</v>
      </c>
      <c r="E1093" t="s">
        <v>40</v>
      </c>
      <c r="F1093" t="s">
        <v>41</v>
      </c>
      <c r="G1093" t="s">
        <v>34</v>
      </c>
      <c r="H1093" t="s">
        <v>27</v>
      </c>
      <c r="I1093" t="s">
        <v>48</v>
      </c>
      <c r="J1093" t="s">
        <v>76</v>
      </c>
      <c r="K1093" t="s">
        <v>62</v>
      </c>
      <c r="L1093" s="3">
        <v>23</v>
      </c>
      <c r="M1093" s="3">
        <v>4</v>
      </c>
      <c r="N1093">
        <v>0</v>
      </c>
      <c r="O1093">
        <v>5</v>
      </c>
      <c r="P1093" t="s">
        <v>31</v>
      </c>
    </row>
    <row r="1094" spans="1:16">
      <c r="A1094" t="s">
        <v>1261</v>
      </c>
      <c r="B1094" s="6">
        <v>46162.263888888891</v>
      </c>
      <c r="C1094" s="2">
        <v>46164.273112083334</v>
      </c>
      <c r="D1094" t="s">
        <v>23</v>
      </c>
      <c r="E1094" t="s">
        <v>33</v>
      </c>
      <c r="F1094" t="s">
        <v>51</v>
      </c>
      <c r="G1094" t="s">
        <v>26</v>
      </c>
      <c r="H1094" t="s">
        <v>35</v>
      </c>
      <c r="I1094" t="s">
        <v>28</v>
      </c>
      <c r="J1094" t="s">
        <v>76</v>
      </c>
      <c r="K1094" t="s">
        <v>55</v>
      </c>
      <c r="L1094" s="3">
        <v>324</v>
      </c>
      <c r="M1094" s="3">
        <v>3</v>
      </c>
      <c r="N1094">
        <v>0</v>
      </c>
      <c r="O1094">
        <v>4</v>
      </c>
      <c r="P1094" t="s">
        <v>31</v>
      </c>
    </row>
    <row r="1095" spans="1:16">
      <c r="A1095" t="s">
        <v>1262</v>
      </c>
      <c r="B1095" s="6">
        <v>46080.285416666666</v>
      </c>
      <c r="C1095" s="2">
        <v>46083.235595219907</v>
      </c>
      <c r="D1095" t="s">
        <v>23</v>
      </c>
      <c r="E1095" t="s">
        <v>50</v>
      </c>
      <c r="F1095" t="s">
        <v>51</v>
      </c>
      <c r="G1095" t="s">
        <v>26</v>
      </c>
      <c r="H1095" t="s">
        <v>35</v>
      </c>
      <c r="I1095" t="s">
        <v>43</v>
      </c>
      <c r="J1095" t="s">
        <v>58</v>
      </c>
      <c r="K1095" t="s">
        <v>30</v>
      </c>
      <c r="L1095" s="3">
        <v>112</v>
      </c>
      <c r="M1095" s="3">
        <v>3</v>
      </c>
      <c r="N1095">
        <v>0</v>
      </c>
      <c r="O1095">
        <v>12</v>
      </c>
      <c r="P1095" t="s">
        <v>63</v>
      </c>
    </row>
    <row r="1096" spans="1:16">
      <c r="A1096" t="s">
        <v>1263</v>
      </c>
      <c r="B1096" s="6">
        <v>46157.830555555556</v>
      </c>
      <c r="C1096" s="2">
        <v>46160.670402384261</v>
      </c>
      <c r="D1096" t="s">
        <v>23</v>
      </c>
      <c r="E1096" t="s">
        <v>33</v>
      </c>
      <c r="F1096" t="s">
        <v>51</v>
      </c>
      <c r="G1096" t="s">
        <v>26</v>
      </c>
      <c r="H1096" t="s">
        <v>35</v>
      </c>
      <c r="I1096" t="s">
        <v>28</v>
      </c>
      <c r="J1096" t="s">
        <v>37</v>
      </c>
      <c r="K1096" t="s">
        <v>30</v>
      </c>
      <c r="L1096" s="3">
        <v>66</v>
      </c>
      <c r="M1096" s="3">
        <v>4</v>
      </c>
      <c r="N1096">
        <v>0</v>
      </c>
      <c r="O1096">
        <v>5</v>
      </c>
      <c r="P1096" t="s">
        <v>31</v>
      </c>
    </row>
    <row r="1097" spans="1:16">
      <c r="A1097" t="s">
        <v>1264</v>
      </c>
      <c r="B1097" s="6">
        <v>46075.939583333333</v>
      </c>
      <c r="C1097" s="2">
        <v>46076.522700416666</v>
      </c>
      <c r="D1097" t="s">
        <v>23</v>
      </c>
      <c r="E1097" t="s">
        <v>40</v>
      </c>
      <c r="F1097" t="s">
        <v>51</v>
      </c>
      <c r="G1097" t="s">
        <v>26</v>
      </c>
      <c r="H1097" t="s">
        <v>35</v>
      </c>
      <c r="I1097" t="s">
        <v>48</v>
      </c>
      <c r="J1097" t="s">
        <v>67</v>
      </c>
      <c r="K1097" t="s">
        <v>93</v>
      </c>
      <c r="L1097" s="3">
        <v>47</v>
      </c>
      <c r="M1097" s="3">
        <v>4</v>
      </c>
      <c r="N1097">
        <v>0</v>
      </c>
      <c r="O1097">
        <v>5</v>
      </c>
      <c r="P1097" t="s">
        <v>31</v>
      </c>
    </row>
    <row r="1098" spans="1:16">
      <c r="A1098" t="s">
        <v>1265</v>
      </c>
      <c r="B1098" s="6">
        <v>46126.172222222223</v>
      </c>
      <c r="C1098" s="2">
        <v>46127.135267592595</v>
      </c>
      <c r="D1098" t="s">
        <v>23</v>
      </c>
      <c r="E1098" t="s">
        <v>40</v>
      </c>
      <c r="F1098" t="s">
        <v>65</v>
      </c>
      <c r="G1098" t="s">
        <v>26</v>
      </c>
      <c r="H1098" t="s">
        <v>35</v>
      </c>
      <c r="I1098" t="s">
        <v>48</v>
      </c>
      <c r="J1098" t="s">
        <v>37</v>
      </c>
      <c r="K1098" t="s">
        <v>55</v>
      </c>
      <c r="L1098" s="3">
        <v>24</v>
      </c>
      <c r="M1098" s="3">
        <v>4</v>
      </c>
      <c r="N1098">
        <v>0</v>
      </c>
      <c r="O1098">
        <v>9</v>
      </c>
      <c r="P1098" t="s">
        <v>63</v>
      </c>
    </row>
    <row r="1099" spans="1:16">
      <c r="A1099" t="s">
        <v>1266</v>
      </c>
      <c r="B1099" s="6">
        <v>46122.415972222225</v>
      </c>
      <c r="C1099" s="2">
        <v>46123.876629351849</v>
      </c>
      <c r="D1099" t="s">
        <v>23</v>
      </c>
      <c r="E1099" t="s">
        <v>80</v>
      </c>
      <c r="F1099" t="s">
        <v>51</v>
      </c>
      <c r="G1099" t="s">
        <v>26</v>
      </c>
      <c r="H1099" t="s">
        <v>42</v>
      </c>
      <c r="I1099" t="s">
        <v>43</v>
      </c>
      <c r="J1099" t="s">
        <v>58</v>
      </c>
      <c r="K1099" t="s">
        <v>68</v>
      </c>
      <c r="L1099" s="3">
        <v>181</v>
      </c>
      <c r="M1099" s="3">
        <v>3</v>
      </c>
      <c r="N1099">
        <v>0</v>
      </c>
      <c r="O1099">
        <v>5</v>
      </c>
      <c r="P1099" t="s">
        <v>31</v>
      </c>
    </row>
    <row r="1100" spans="1:16">
      <c r="A1100" t="s">
        <v>1267</v>
      </c>
      <c r="B1100" s="6">
        <v>46128.921527777777</v>
      </c>
      <c r="C1100" s="2">
        <v>46130.26177798611</v>
      </c>
      <c r="D1100" t="s">
        <v>23</v>
      </c>
      <c r="E1100" t="s">
        <v>50</v>
      </c>
      <c r="F1100" t="s">
        <v>51</v>
      </c>
      <c r="G1100" t="s">
        <v>75</v>
      </c>
      <c r="H1100" t="s">
        <v>27</v>
      </c>
      <c r="I1100" t="s">
        <v>28</v>
      </c>
      <c r="J1100" t="s">
        <v>58</v>
      </c>
      <c r="K1100" t="s">
        <v>30</v>
      </c>
      <c r="L1100" s="3">
        <v>118</v>
      </c>
      <c r="M1100" s="3">
        <v>4</v>
      </c>
      <c r="N1100">
        <v>0</v>
      </c>
      <c r="O1100">
        <v>5</v>
      </c>
      <c r="P1100" t="s">
        <v>31</v>
      </c>
    </row>
    <row r="1101" spans="1:16">
      <c r="A1101" t="s">
        <v>1268</v>
      </c>
      <c r="B1101" s="6">
        <v>46033.425694444442</v>
      </c>
      <c r="C1101" s="2">
        <v>46034.260812442131</v>
      </c>
      <c r="D1101" t="s">
        <v>23</v>
      </c>
      <c r="E1101" t="s">
        <v>50</v>
      </c>
      <c r="F1101" t="s">
        <v>51</v>
      </c>
      <c r="G1101" t="s">
        <v>26</v>
      </c>
      <c r="H1101" t="s">
        <v>35</v>
      </c>
      <c r="I1101" t="s">
        <v>43</v>
      </c>
      <c r="J1101" t="s">
        <v>67</v>
      </c>
      <c r="K1101" t="s">
        <v>55</v>
      </c>
      <c r="L1101" s="3">
        <v>144</v>
      </c>
      <c r="M1101" s="3">
        <v>4</v>
      </c>
      <c r="N1101">
        <v>0</v>
      </c>
      <c r="O1101">
        <v>7</v>
      </c>
      <c r="P1101" t="s">
        <v>31</v>
      </c>
    </row>
    <row r="1102" spans="1:16">
      <c r="A1102" t="s">
        <v>1269</v>
      </c>
      <c r="B1102" s="6">
        <v>46203.397222222222</v>
      </c>
      <c r="C1102" s="2">
        <v>46204.925363553244</v>
      </c>
      <c r="D1102" t="s">
        <v>23</v>
      </c>
      <c r="E1102" t="s">
        <v>50</v>
      </c>
      <c r="F1102" t="s">
        <v>51</v>
      </c>
      <c r="G1102" t="s">
        <v>26</v>
      </c>
      <c r="H1102" t="s">
        <v>35</v>
      </c>
      <c r="I1102" t="s">
        <v>43</v>
      </c>
      <c r="J1102" t="s">
        <v>37</v>
      </c>
      <c r="K1102" t="s">
        <v>62</v>
      </c>
      <c r="L1102" s="3">
        <v>169</v>
      </c>
      <c r="M1102" s="3">
        <v>4</v>
      </c>
      <c r="N1102">
        <v>0</v>
      </c>
      <c r="O1102">
        <v>7</v>
      </c>
      <c r="P1102" t="s">
        <v>31</v>
      </c>
    </row>
    <row r="1103" spans="1:16">
      <c r="A1103" t="s">
        <v>1270</v>
      </c>
      <c r="B1103" s="6">
        <v>46161.39166666667</v>
      </c>
      <c r="C1103" s="2">
        <v>46162.053642997686</v>
      </c>
      <c r="D1103" t="s">
        <v>23</v>
      </c>
      <c r="E1103" t="s">
        <v>50</v>
      </c>
      <c r="F1103" t="s">
        <v>51</v>
      </c>
      <c r="G1103" t="s">
        <v>26</v>
      </c>
      <c r="H1103" t="s">
        <v>35</v>
      </c>
      <c r="I1103" t="s">
        <v>48</v>
      </c>
      <c r="J1103" t="s">
        <v>52</v>
      </c>
      <c r="K1103" t="s">
        <v>71</v>
      </c>
      <c r="L1103" s="3">
        <v>113</v>
      </c>
      <c r="M1103" s="3">
        <v>4</v>
      </c>
      <c r="N1103">
        <v>0</v>
      </c>
      <c r="O1103">
        <v>2</v>
      </c>
      <c r="P1103" t="s">
        <v>31</v>
      </c>
    </row>
    <row r="1104" spans="1:16">
      <c r="A1104" t="s">
        <v>1271</v>
      </c>
      <c r="B1104" s="6">
        <v>46025.521527777775</v>
      </c>
      <c r="C1104" s="2">
        <v>46027.355640439811</v>
      </c>
      <c r="D1104" t="s">
        <v>23</v>
      </c>
      <c r="E1104" t="s">
        <v>33</v>
      </c>
      <c r="F1104" t="s">
        <v>65</v>
      </c>
      <c r="G1104" t="s">
        <v>54</v>
      </c>
      <c r="H1104" t="s">
        <v>42</v>
      </c>
      <c r="I1104" t="s">
        <v>48</v>
      </c>
      <c r="J1104" t="s">
        <v>251</v>
      </c>
      <c r="K1104" t="s">
        <v>101</v>
      </c>
      <c r="L1104" s="3">
        <v>130</v>
      </c>
      <c r="M1104" s="3">
        <v>3</v>
      </c>
      <c r="N1104">
        <v>1</v>
      </c>
      <c r="O1104">
        <v>9</v>
      </c>
      <c r="P1104" t="s">
        <v>31</v>
      </c>
    </row>
    <row r="1105" spans="1:16">
      <c r="A1105" t="s">
        <v>1272</v>
      </c>
      <c r="B1105" s="6">
        <v>46060.14166666667</v>
      </c>
      <c r="C1105" s="2">
        <v>46060.673409606483</v>
      </c>
      <c r="D1105" t="s">
        <v>23</v>
      </c>
      <c r="E1105" t="s">
        <v>40</v>
      </c>
      <c r="F1105" t="s">
        <v>25</v>
      </c>
      <c r="G1105" t="s">
        <v>54</v>
      </c>
      <c r="H1105" t="s">
        <v>42</v>
      </c>
      <c r="I1105" t="s">
        <v>43</v>
      </c>
      <c r="J1105" t="s">
        <v>76</v>
      </c>
      <c r="K1105" t="s">
        <v>55</v>
      </c>
      <c r="L1105" s="3">
        <v>14</v>
      </c>
      <c r="M1105" s="3">
        <v>4</v>
      </c>
      <c r="N1105">
        <v>0</v>
      </c>
      <c r="O1105">
        <v>7</v>
      </c>
      <c r="P1105" t="s">
        <v>31</v>
      </c>
    </row>
    <row r="1106" spans="1:16">
      <c r="A1106" t="s">
        <v>1273</v>
      </c>
      <c r="B1106" s="6">
        <v>46236.433333333334</v>
      </c>
      <c r="C1106" s="2">
        <v>46236.994530162039</v>
      </c>
      <c r="D1106" t="s">
        <v>23</v>
      </c>
      <c r="E1106" t="s">
        <v>33</v>
      </c>
      <c r="F1106" t="s">
        <v>51</v>
      </c>
      <c r="G1106" t="s">
        <v>54</v>
      </c>
      <c r="H1106" t="s">
        <v>42</v>
      </c>
      <c r="I1106" t="s">
        <v>28</v>
      </c>
      <c r="J1106" t="s">
        <v>52</v>
      </c>
      <c r="K1106" t="s">
        <v>71</v>
      </c>
      <c r="L1106" s="3">
        <v>293</v>
      </c>
      <c r="M1106" s="3">
        <v>3</v>
      </c>
      <c r="N1106">
        <v>2</v>
      </c>
      <c r="O1106">
        <v>14</v>
      </c>
      <c r="P1106" t="s">
        <v>31</v>
      </c>
    </row>
    <row r="1107" spans="1:16">
      <c r="A1107" t="s">
        <v>1274</v>
      </c>
      <c r="B1107" s="6">
        <v>46067.327777777777</v>
      </c>
      <c r="C1107" s="2">
        <v>46068.534457476853</v>
      </c>
      <c r="D1107" t="s">
        <v>23</v>
      </c>
      <c r="E1107" t="s">
        <v>50</v>
      </c>
      <c r="F1107" t="s">
        <v>25</v>
      </c>
      <c r="G1107" t="s">
        <v>54</v>
      </c>
      <c r="H1107" t="s">
        <v>42</v>
      </c>
      <c r="I1107" t="s">
        <v>48</v>
      </c>
      <c r="J1107" t="s">
        <v>29</v>
      </c>
      <c r="K1107" t="s">
        <v>30</v>
      </c>
      <c r="L1107" s="3">
        <v>103</v>
      </c>
      <c r="M1107" s="3">
        <v>3</v>
      </c>
      <c r="N1107">
        <v>1</v>
      </c>
      <c r="O1107">
        <v>11</v>
      </c>
      <c r="P1107" t="s">
        <v>63</v>
      </c>
    </row>
    <row r="1108" spans="1:16">
      <c r="A1108" t="s">
        <v>1275</v>
      </c>
      <c r="B1108" s="6">
        <v>46060.952777777777</v>
      </c>
      <c r="C1108" s="2">
        <v>46062.347473506947</v>
      </c>
      <c r="D1108" t="s">
        <v>23</v>
      </c>
      <c r="E1108" t="s">
        <v>50</v>
      </c>
      <c r="F1108" t="s">
        <v>65</v>
      </c>
      <c r="G1108" t="s">
        <v>54</v>
      </c>
      <c r="H1108" t="s">
        <v>42</v>
      </c>
      <c r="I1108" t="s">
        <v>43</v>
      </c>
      <c r="J1108" t="s">
        <v>37</v>
      </c>
      <c r="K1108" t="s">
        <v>30</v>
      </c>
      <c r="L1108" s="3">
        <v>102</v>
      </c>
      <c r="M1108" s="3">
        <v>4</v>
      </c>
      <c r="N1108">
        <v>0</v>
      </c>
      <c r="O1108">
        <v>2</v>
      </c>
      <c r="P1108" t="s">
        <v>31</v>
      </c>
    </row>
    <row r="1109" spans="1:16">
      <c r="A1109" t="s">
        <v>1276</v>
      </c>
      <c r="B1109" s="6">
        <v>46208.117361111108</v>
      </c>
      <c r="C1109" s="2">
        <v>46209.415114236108</v>
      </c>
      <c r="D1109" t="s">
        <v>23</v>
      </c>
      <c r="E1109" t="s">
        <v>40</v>
      </c>
      <c r="F1109" t="s">
        <v>51</v>
      </c>
      <c r="G1109" t="s">
        <v>34</v>
      </c>
      <c r="H1109" t="s">
        <v>35</v>
      </c>
      <c r="I1109" t="s">
        <v>28</v>
      </c>
      <c r="J1109" t="s">
        <v>58</v>
      </c>
      <c r="K1109" t="s">
        <v>44</v>
      </c>
      <c r="L1109" s="3" t="s">
        <v>1277</v>
      </c>
      <c r="M1109" s="3">
        <v>5</v>
      </c>
      <c r="N1109">
        <v>0</v>
      </c>
      <c r="O1109">
        <v>3</v>
      </c>
      <c r="P1109" t="s">
        <v>31</v>
      </c>
    </row>
    <row r="1110" spans="1:16">
      <c r="A1110" t="s">
        <v>1278</v>
      </c>
      <c r="B1110" s="6">
        <v>46147.71597222222</v>
      </c>
      <c r="C1110" s="2">
        <v>46148.848969236111</v>
      </c>
      <c r="D1110" t="s">
        <v>23</v>
      </c>
      <c r="E1110" t="s">
        <v>33</v>
      </c>
      <c r="F1110" t="s">
        <v>65</v>
      </c>
      <c r="G1110" t="s">
        <v>34</v>
      </c>
      <c r="H1110" t="s">
        <v>35</v>
      </c>
      <c r="I1110" t="s">
        <v>36</v>
      </c>
      <c r="J1110" t="s">
        <v>29</v>
      </c>
      <c r="K1110" t="s">
        <v>71</v>
      </c>
      <c r="L1110" s="3">
        <v>112</v>
      </c>
      <c r="M1110" s="3">
        <v>4</v>
      </c>
      <c r="N1110">
        <v>0</v>
      </c>
      <c r="O1110">
        <v>7</v>
      </c>
      <c r="P1110" t="s">
        <v>31</v>
      </c>
    </row>
    <row r="1111" spans="1:16">
      <c r="A1111" t="s">
        <v>1279</v>
      </c>
      <c r="B1111" s="6">
        <v>46251.870833333334</v>
      </c>
      <c r="C1111" s="2">
        <v>46252.316143842596</v>
      </c>
      <c r="D1111" t="s">
        <v>23</v>
      </c>
      <c r="E1111" t="s">
        <v>50</v>
      </c>
      <c r="F1111" t="s">
        <v>51</v>
      </c>
      <c r="G1111" t="s">
        <v>66</v>
      </c>
      <c r="H1111" t="s">
        <v>27</v>
      </c>
      <c r="I1111" t="s">
        <v>36</v>
      </c>
      <c r="J1111" t="s">
        <v>29</v>
      </c>
      <c r="K1111" t="s">
        <v>44</v>
      </c>
      <c r="L1111" s="3">
        <v>251</v>
      </c>
      <c r="M1111" s="3">
        <v>4</v>
      </c>
      <c r="N1111">
        <v>0</v>
      </c>
      <c r="O1111">
        <v>5</v>
      </c>
      <c r="P1111" t="s">
        <v>31</v>
      </c>
    </row>
    <row r="1112" spans="1:16">
      <c r="A1112" t="s">
        <v>1280</v>
      </c>
      <c r="B1112" s="6">
        <v>46255.9</v>
      </c>
      <c r="C1112" s="2">
        <v>46256.340605879632</v>
      </c>
      <c r="D1112" t="s">
        <v>23</v>
      </c>
      <c r="E1112" t="s">
        <v>33</v>
      </c>
      <c r="F1112" t="s">
        <v>51</v>
      </c>
      <c r="G1112" t="s">
        <v>66</v>
      </c>
      <c r="H1112" t="s">
        <v>35</v>
      </c>
      <c r="I1112" t="s">
        <v>43</v>
      </c>
      <c r="J1112" t="s">
        <v>52</v>
      </c>
      <c r="K1112" t="s">
        <v>30</v>
      </c>
      <c r="L1112" s="3">
        <v>251</v>
      </c>
      <c r="M1112" s="3">
        <v>3</v>
      </c>
      <c r="N1112">
        <v>0</v>
      </c>
      <c r="O1112">
        <v>6</v>
      </c>
      <c r="P1112" t="s">
        <v>31</v>
      </c>
    </row>
    <row r="1113" spans="1:16">
      <c r="A1113" t="s">
        <v>1281</v>
      </c>
      <c r="B1113" s="6">
        <v>46068.21875</v>
      </c>
      <c r="C1113" s="2">
        <v>46069.418260439816</v>
      </c>
      <c r="D1113" t="s">
        <v>23</v>
      </c>
      <c r="E1113" t="s">
        <v>50</v>
      </c>
      <c r="F1113" t="s">
        <v>51</v>
      </c>
      <c r="G1113" t="s">
        <v>26</v>
      </c>
      <c r="H1113" t="s">
        <v>35</v>
      </c>
      <c r="I1113" t="s">
        <v>48</v>
      </c>
      <c r="J1113" t="s">
        <v>58</v>
      </c>
      <c r="K1113" t="s">
        <v>55</v>
      </c>
      <c r="L1113" s="3">
        <v>50</v>
      </c>
      <c r="M1113" s="3"/>
      <c r="N1113">
        <v>0</v>
      </c>
      <c r="O1113">
        <v>5</v>
      </c>
      <c r="P1113" t="s">
        <v>31</v>
      </c>
    </row>
    <row r="1114" spans="1:16">
      <c r="A1114" t="s">
        <v>1282</v>
      </c>
      <c r="B1114" s="6">
        <v>46199.193055555559</v>
      </c>
      <c r="C1114" s="2">
        <v>46200.544746412037</v>
      </c>
      <c r="D1114" t="s">
        <v>23</v>
      </c>
      <c r="E1114" t="s">
        <v>50</v>
      </c>
      <c r="F1114" t="s">
        <v>65</v>
      </c>
      <c r="G1114" t="s">
        <v>66</v>
      </c>
      <c r="H1114" t="s">
        <v>27</v>
      </c>
      <c r="I1114" t="s">
        <v>28</v>
      </c>
      <c r="J1114" t="s">
        <v>58</v>
      </c>
      <c r="K1114" t="s">
        <v>71</v>
      </c>
      <c r="L1114" s="3">
        <v>115</v>
      </c>
      <c r="M1114" s="3">
        <v>3</v>
      </c>
      <c r="N1114">
        <v>1</v>
      </c>
      <c r="O1114">
        <v>18</v>
      </c>
      <c r="P1114" t="s">
        <v>63</v>
      </c>
    </row>
    <row r="1115" spans="1:16">
      <c r="A1115" t="s">
        <v>1283</v>
      </c>
      <c r="B1115" s="6">
        <v>46153.243055555555</v>
      </c>
      <c r="C1115" s="2">
        <v>46153.839594050929</v>
      </c>
      <c r="D1115" t="s">
        <v>23</v>
      </c>
      <c r="E1115" t="s">
        <v>40</v>
      </c>
      <c r="F1115" t="s">
        <v>25</v>
      </c>
      <c r="G1115" t="s">
        <v>26</v>
      </c>
      <c r="H1115" t="s">
        <v>27</v>
      </c>
      <c r="I1115" t="s">
        <v>28</v>
      </c>
      <c r="J1115" t="s">
        <v>76</v>
      </c>
      <c r="K1115" t="s">
        <v>38</v>
      </c>
      <c r="L1115" s="3">
        <v>55</v>
      </c>
      <c r="M1115" s="3">
        <v>4</v>
      </c>
      <c r="N1115">
        <v>0</v>
      </c>
      <c r="O1115">
        <v>6</v>
      </c>
      <c r="P1115" t="s">
        <v>31</v>
      </c>
    </row>
    <row r="1116" spans="1:16">
      <c r="A1116" t="s">
        <v>1284</v>
      </c>
      <c r="B1116" s="6">
        <v>46099.795138888891</v>
      </c>
      <c r="C1116" s="2">
        <v>46104.022028738429</v>
      </c>
      <c r="D1116" t="s">
        <v>23</v>
      </c>
      <c r="E1116" t="s">
        <v>33</v>
      </c>
      <c r="F1116" t="s">
        <v>41</v>
      </c>
      <c r="G1116" t="s">
        <v>66</v>
      </c>
      <c r="H1116" t="s">
        <v>42</v>
      </c>
      <c r="I1116" t="s">
        <v>43</v>
      </c>
      <c r="J1116" t="s">
        <v>405</v>
      </c>
      <c r="K1116" t="s">
        <v>44</v>
      </c>
      <c r="L1116" s="3">
        <v>264</v>
      </c>
      <c r="M1116" s="3">
        <v>3</v>
      </c>
      <c r="N1116">
        <v>0</v>
      </c>
      <c r="O1116">
        <v>7</v>
      </c>
      <c r="P1116" t="s">
        <v>31</v>
      </c>
    </row>
    <row r="1117" spans="1:16">
      <c r="A1117" t="s">
        <v>1285</v>
      </c>
      <c r="B1117" s="6">
        <v>46208.378472222219</v>
      </c>
      <c r="C1117" s="2">
        <v>46208.729504270836</v>
      </c>
      <c r="D1117" t="s">
        <v>23</v>
      </c>
      <c r="E1117" t="s">
        <v>595</v>
      </c>
      <c r="F1117" t="s">
        <v>25</v>
      </c>
      <c r="G1117" t="s">
        <v>66</v>
      </c>
      <c r="H1117" t="s">
        <v>35</v>
      </c>
      <c r="I1117" t="s">
        <v>43</v>
      </c>
      <c r="J1117" t="s">
        <v>29</v>
      </c>
      <c r="K1117" t="s">
        <v>71</v>
      </c>
      <c r="L1117" s="3">
        <v>27</v>
      </c>
      <c r="M1117" s="3">
        <v>3</v>
      </c>
      <c r="N1117">
        <v>2</v>
      </c>
      <c r="O1117">
        <v>13</v>
      </c>
      <c r="P1117" t="s">
        <v>31</v>
      </c>
    </row>
    <row r="1118" spans="1:16">
      <c r="A1118" t="s">
        <v>1286</v>
      </c>
      <c r="B1118" s="6">
        <v>46167.522916666669</v>
      </c>
      <c r="C1118" s="2">
        <v>46170.617599618054</v>
      </c>
      <c r="D1118" t="s">
        <v>23</v>
      </c>
      <c r="E1118" t="s">
        <v>33</v>
      </c>
      <c r="F1118" t="s">
        <v>25</v>
      </c>
      <c r="G1118" t="s">
        <v>66</v>
      </c>
      <c r="H1118" t="s">
        <v>42</v>
      </c>
      <c r="I1118" t="s">
        <v>36</v>
      </c>
      <c r="J1118" t="s">
        <v>67</v>
      </c>
      <c r="K1118" t="s">
        <v>55</v>
      </c>
      <c r="L1118" s="3">
        <v>199</v>
      </c>
      <c r="M1118" s="3">
        <v>3</v>
      </c>
      <c r="N1118">
        <v>0</v>
      </c>
      <c r="O1118">
        <v>3</v>
      </c>
      <c r="P1118" t="s">
        <v>31</v>
      </c>
    </row>
    <row r="1119" spans="1:16">
      <c r="A1119" t="s">
        <v>1287</v>
      </c>
      <c r="B1119" s="6">
        <v>46231.738888888889</v>
      </c>
      <c r="C1119" s="2">
        <v>46232.323495081022</v>
      </c>
      <c r="D1119" t="s">
        <v>23</v>
      </c>
      <c r="E1119" t="s">
        <v>33</v>
      </c>
      <c r="F1119" t="s">
        <v>51</v>
      </c>
      <c r="G1119" t="s">
        <v>26</v>
      </c>
      <c r="H1119" t="s">
        <v>42</v>
      </c>
      <c r="I1119" t="s">
        <v>28</v>
      </c>
      <c r="J1119" t="s">
        <v>29</v>
      </c>
      <c r="K1119" t="s">
        <v>44</v>
      </c>
      <c r="L1119" s="3">
        <v>310</v>
      </c>
      <c r="M1119" s="3">
        <v>4</v>
      </c>
      <c r="N1119">
        <v>0</v>
      </c>
      <c r="O1119">
        <v>6</v>
      </c>
      <c r="P1119" t="s">
        <v>31</v>
      </c>
    </row>
    <row r="1120" spans="1:16">
      <c r="A1120" t="s">
        <v>1288</v>
      </c>
      <c r="B1120" s="6">
        <v>46073.160416666666</v>
      </c>
      <c r="C1120" s="2">
        <v>46073.791028576386</v>
      </c>
      <c r="D1120" t="s">
        <v>23</v>
      </c>
      <c r="E1120" t="s">
        <v>33</v>
      </c>
      <c r="F1120" t="s">
        <v>51</v>
      </c>
      <c r="G1120" t="s">
        <v>34</v>
      </c>
      <c r="H1120" t="s">
        <v>42</v>
      </c>
      <c r="I1120" t="s">
        <v>36</v>
      </c>
      <c r="J1120" t="s">
        <v>29</v>
      </c>
      <c r="K1120" t="s">
        <v>101</v>
      </c>
      <c r="L1120" s="3">
        <v>125</v>
      </c>
      <c r="M1120" s="3">
        <v>4</v>
      </c>
      <c r="N1120">
        <v>0</v>
      </c>
      <c r="O1120">
        <v>3</v>
      </c>
      <c r="P1120" t="s">
        <v>31</v>
      </c>
    </row>
    <row r="1121" spans="1:16">
      <c r="A1121" t="s">
        <v>1289</v>
      </c>
      <c r="B1121" s="6">
        <v>46265.284722222219</v>
      </c>
      <c r="C1121" s="2">
        <v>46266.45817096065</v>
      </c>
      <c r="D1121" t="s">
        <v>23</v>
      </c>
      <c r="E1121" t="s">
        <v>40</v>
      </c>
      <c r="F1121" t="s">
        <v>25</v>
      </c>
      <c r="G1121" t="s">
        <v>26</v>
      </c>
      <c r="H1121" t="s">
        <v>42</v>
      </c>
      <c r="I1121" t="s">
        <v>28</v>
      </c>
      <c r="J1121" t="s">
        <v>76</v>
      </c>
      <c r="K1121" t="s">
        <v>55</v>
      </c>
      <c r="L1121" s="3">
        <v>52</v>
      </c>
      <c r="M1121" s="3">
        <v>4</v>
      </c>
      <c r="N1121">
        <v>0</v>
      </c>
      <c r="O1121">
        <v>7</v>
      </c>
      <c r="P1121" t="s">
        <v>31</v>
      </c>
    </row>
    <row r="1122" spans="1:16">
      <c r="A1122" t="s">
        <v>1189</v>
      </c>
      <c r="B1122" s="6">
        <v>46122.486111111109</v>
      </c>
      <c r="C1122" s="2">
        <v>46122.630906990744</v>
      </c>
      <c r="D1122" t="s">
        <v>23</v>
      </c>
      <c r="E1122" t="s">
        <v>40</v>
      </c>
      <c r="F1122" t="s">
        <v>25</v>
      </c>
      <c r="G1122" t="s">
        <v>66</v>
      </c>
      <c r="H1122" t="s">
        <v>42</v>
      </c>
      <c r="I1122" t="s">
        <v>43</v>
      </c>
      <c r="J1122" t="s">
        <v>29</v>
      </c>
      <c r="K1122" t="s">
        <v>71</v>
      </c>
      <c r="L1122" s="3">
        <v>25</v>
      </c>
      <c r="M1122" s="3">
        <v>4</v>
      </c>
      <c r="N1122">
        <v>0</v>
      </c>
      <c r="O1122">
        <v>5</v>
      </c>
      <c r="P1122" t="s">
        <v>31</v>
      </c>
    </row>
    <row r="1123" spans="1:16">
      <c r="A1123" t="s">
        <v>1290</v>
      </c>
      <c r="B1123" s="6">
        <v>46261.147916666669</v>
      </c>
      <c r="C1123" s="2">
        <v>46261.345368506947</v>
      </c>
      <c r="D1123" t="s">
        <v>23</v>
      </c>
      <c r="E1123" t="s">
        <v>40</v>
      </c>
      <c r="F1123" t="s">
        <v>51</v>
      </c>
      <c r="G1123" t="s">
        <v>26</v>
      </c>
      <c r="H1123" t="s">
        <v>27</v>
      </c>
      <c r="I1123" t="s">
        <v>48</v>
      </c>
      <c r="J1123" t="s">
        <v>52</v>
      </c>
      <c r="K1123" t="s">
        <v>68</v>
      </c>
      <c r="L1123" s="3">
        <v>47</v>
      </c>
      <c r="M1123" s="3">
        <v>4</v>
      </c>
      <c r="N1123">
        <v>0</v>
      </c>
      <c r="O1123">
        <v>11</v>
      </c>
      <c r="P1123" t="s">
        <v>63</v>
      </c>
    </row>
    <row r="1124" spans="1:16">
      <c r="A1124" t="s">
        <v>1291</v>
      </c>
      <c r="B1124" s="6">
        <v>46053.55</v>
      </c>
      <c r="C1124" s="2">
        <v>46053.907933333336</v>
      </c>
      <c r="D1124" t="s">
        <v>23</v>
      </c>
      <c r="E1124" t="s">
        <v>40</v>
      </c>
      <c r="F1124" t="s">
        <v>25</v>
      </c>
      <c r="G1124" t="s">
        <v>54</v>
      </c>
      <c r="H1124" t="s">
        <v>42</v>
      </c>
      <c r="I1124" t="s">
        <v>48</v>
      </c>
      <c r="J1124" t="s">
        <v>37</v>
      </c>
      <c r="K1124" t="s">
        <v>71</v>
      </c>
      <c r="L1124" s="3">
        <v>70</v>
      </c>
      <c r="M1124" s="3">
        <v>4</v>
      </c>
      <c r="N1124">
        <v>0</v>
      </c>
      <c r="O1124">
        <v>4</v>
      </c>
      <c r="P1124" t="s">
        <v>31</v>
      </c>
    </row>
    <row r="1125" spans="1:16">
      <c r="A1125" t="s">
        <v>1292</v>
      </c>
      <c r="B1125" s="6">
        <v>46215.31527777778</v>
      </c>
      <c r="C1125" s="2">
        <v>46216.872408807867</v>
      </c>
      <c r="D1125" t="s">
        <v>23</v>
      </c>
      <c r="E1125" t="s">
        <v>50</v>
      </c>
      <c r="F1125" t="s">
        <v>41</v>
      </c>
      <c r="G1125" t="s">
        <v>34</v>
      </c>
      <c r="H1125" t="s">
        <v>35</v>
      </c>
      <c r="I1125" t="s">
        <v>43</v>
      </c>
      <c r="J1125" t="s">
        <v>67</v>
      </c>
      <c r="K1125" t="s">
        <v>85</v>
      </c>
      <c r="L1125" s="3">
        <v>80</v>
      </c>
      <c r="M1125" s="3">
        <v>4</v>
      </c>
      <c r="N1125">
        <v>0</v>
      </c>
      <c r="O1125">
        <v>4</v>
      </c>
      <c r="P1125" t="s">
        <v>31</v>
      </c>
    </row>
    <row r="1126" spans="1:16">
      <c r="A1126" t="s">
        <v>1293</v>
      </c>
      <c r="B1126" s="6">
        <v>46132.449305555558</v>
      </c>
      <c r="C1126" s="2">
        <v>46133.636582789353</v>
      </c>
      <c r="D1126" t="s">
        <v>23</v>
      </c>
      <c r="E1126" t="s">
        <v>33</v>
      </c>
      <c r="F1126" t="s">
        <v>65</v>
      </c>
      <c r="G1126" t="s">
        <v>34</v>
      </c>
      <c r="H1126" t="s">
        <v>42</v>
      </c>
      <c r="I1126" t="s">
        <v>48</v>
      </c>
      <c r="J1126" t="s">
        <v>52</v>
      </c>
      <c r="K1126" t="s">
        <v>93</v>
      </c>
      <c r="L1126" s="3">
        <v>303</v>
      </c>
      <c r="M1126" s="3">
        <v>3</v>
      </c>
      <c r="N1126">
        <v>0</v>
      </c>
      <c r="O1126">
        <v>6</v>
      </c>
      <c r="P1126" t="s">
        <v>31</v>
      </c>
    </row>
    <row r="1127" spans="1:16">
      <c r="A1127" t="s">
        <v>1294</v>
      </c>
      <c r="B1127" s="6">
        <v>46264.976388888892</v>
      </c>
      <c r="C1127" s="2">
        <v>46265.401875682874</v>
      </c>
      <c r="D1127" t="s">
        <v>23</v>
      </c>
      <c r="E1127" t="s">
        <v>50</v>
      </c>
      <c r="F1127" t="s">
        <v>51</v>
      </c>
      <c r="G1127" t="s">
        <v>34</v>
      </c>
      <c r="H1127" t="s">
        <v>35</v>
      </c>
      <c r="I1127" t="s">
        <v>43</v>
      </c>
      <c r="J1127" t="s">
        <v>52</v>
      </c>
      <c r="K1127" t="s">
        <v>101</v>
      </c>
      <c r="L1127" s="3">
        <v>65</v>
      </c>
      <c r="M1127" s="3">
        <v>5</v>
      </c>
      <c r="N1127">
        <v>0</v>
      </c>
      <c r="O1127">
        <v>6</v>
      </c>
      <c r="P1127" t="s">
        <v>31</v>
      </c>
    </row>
    <row r="1128" spans="1:16">
      <c r="A1128" t="s">
        <v>1295</v>
      </c>
      <c r="B1128" s="6">
        <v>46046.561805555553</v>
      </c>
      <c r="C1128" s="2">
        <v>46047.402569756945</v>
      </c>
      <c r="D1128" t="s">
        <v>23</v>
      </c>
      <c r="E1128" t="s">
        <v>33</v>
      </c>
      <c r="F1128" t="s">
        <v>51</v>
      </c>
      <c r="G1128" t="s">
        <v>54</v>
      </c>
      <c r="H1128" t="s">
        <v>35</v>
      </c>
      <c r="I1128" t="s">
        <v>48</v>
      </c>
      <c r="J1128" t="s">
        <v>52</v>
      </c>
      <c r="K1128" t="s">
        <v>30</v>
      </c>
      <c r="L1128" s="3">
        <v>460</v>
      </c>
      <c r="M1128" s="3">
        <v>4</v>
      </c>
      <c r="N1128">
        <v>0</v>
      </c>
      <c r="O1128">
        <v>7</v>
      </c>
      <c r="P1128" t="s">
        <v>31</v>
      </c>
    </row>
    <row r="1129" spans="1:16">
      <c r="A1129" t="s">
        <v>1296</v>
      </c>
      <c r="B1129" s="6">
        <v>46219.607638888891</v>
      </c>
      <c r="C1129" s="2">
        <v>46219.98387434028</v>
      </c>
      <c r="D1129" t="s">
        <v>23</v>
      </c>
      <c r="E1129" t="s">
        <v>50</v>
      </c>
      <c r="F1129" t="s">
        <v>25</v>
      </c>
      <c r="G1129" t="s">
        <v>34</v>
      </c>
      <c r="H1129" t="s">
        <v>42</v>
      </c>
      <c r="I1129" t="s">
        <v>48</v>
      </c>
      <c r="J1129" t="s">
        <v>67</v>
      </c>
      <c r="K1129" t="s">
        <v>55</v>
      </c>
      <c r="L1129" s="3">
        <v>136</v>
      </c>
      <c r="M1129" s="3">
        <v>4</v>
      </c>
      <c r="N1129">
        <v>0</v>
      </c>
      <c r="O1129">
        <v>7</v>
      </c>
      <c r="P1129" t="s">
        <v>31</v>
      </c>
    </row>
    <row r="1130" spans="1:16">
      <c r="A1130" t="s">
        <v>1297</v>
      </c>
      <c r="B1130" s="6">
        <v>46117.782638888886</v>
      </c>
      <c r="C1130" s="2">
        <v>46120.524744178241</v>
      </c>
      <c r="D1130" t="s">
        <v>23</v>
      </c>
      <c r="E1130" t="s">
        <v>33</v>
      </c>
      <c r="F1130" t="s">
        <v>41</v>
      </c>
      <c r="G1130" t="s">
        <v>26</v>
      </c>
      <c r="H1130" t="s">
        <v>35</v>
      </c>
      <c r="I1130" t="s">
        <v>36</v>
      </c>
      <c r="J1130" t="s">
        <v>37</v>
      </c>
      <c r="K1130" t="s">
        <v>62</v>
      </c>
      <c r="L1130" s="3">
        <v>283</v>
      </c>
      <c r="M1130" s="3">
        <v>3</v>
      </c>
      <c r="N1130">
        <v>0</v>
      </c>
      <c r="O1130">
        <v>2</v>
      </c>
      <c r="P1130" t="s">
        <v>31</v>
      </c>
    </row>
    <row r="1131" spans="1:16">
      <c r="A1131" t="s">
        <v>1298</v>
      </c>
      <c r="B1131" s="6">
        <v>46045.956250000003</v>
      </c>
      <c r="C1131" s="2">
        <v>46046.198121747686</v>
      </c>
      <c r="D1131" t="s">
        <v>23</v>
      </c>
      <c r="E1131" t="s">
        <v>50</v>
      </c>
      <c r="F1131" t="s">
        <v>51</v>
      </c>
      <c r="G1131" t="s">
        <v>26</v>
      </c>
      <c r="H1131" t="s">
        <v>27</v>
      </c>
      <c r="I1131" t="s">
        <v>28</v>
      </c>
      <c r="J1131" t="s">
        <v>29</v>
      </c>
      <c r="K1131" t="s">
        <v>38</v>
      </c>
      <c r="L1131" s="3">
        <v>137</v>
      </c>
      <c r="M1131" s="3">
        <v>4</v>
      </c>
      <c r="N1131">
        <v>0</v>
      </c>
      <c r="O1131">
        <v>2</v>
      </c>
      <c r="P1131" t="s">
        <v>31</v>
      </c>
    </row>
    <row r="1132" spans="1:16">
      <c r="A1132" t="s">
        <v>1299</v>
      </c>
      <c r="B1132" s="6">
        <v>46081.193749999999</v>
      </c>
      <c r="C1132" s="2">
        <v>46081.701389479167</v>
      </c>
      <c r="D1132" t="s">
        <v>23</v>
      </c>
      <c r="E1132" t="s">
        <v>33</v>
      </c>
      <c r="F1132" t="s">
        <v>65</v>
      </c>
      <c r="G1132" t="s">
        <v>26</v>
      </c>
      <c r="H1132" t="s">
        <v>42</v>
      </c>
      <c r="I1132" t="s">
        <v>43</v>
      </c>
      <c r="J1132" t="s">
        <v>52</v>
      </c>
      <c r="K1132" t="s">
        <v>55</v>
      </c>
      <c r="L1132" s="3">
        <v>33</v>
      </c>
      <c r="M1132" s="3">
        <v>5</v>
      </c>
      <c r="N1132">
        <v>0</v>
      </c>
      <c r="O1132">
        <v>2</v>
      </c>
      <c r="P1132" t="s">
        <v>31</v>
      </c>
    </row>
    <row r="1133" spans="1:16">
      <c r="A1133" t="s">
        <v>1300</v>
      </c>
      <c r="B1133" s="6">
        <v>46039.222916666666</v>
      </c>
      <c r="C1133" s="2">
        <v>46039.948982951391</v>
      </c>
      <c r="D1133" t="s">
        <v>23</v>
      </c>
      <c r="E1133" t="s">
        <v>50</v>
      </c>
      <c r="F1133" t="s">
        <v>25</v>
      </c>
      <c r="G1133" t="s">
        <v>26</v>
      </c>
      <c r="H1133" t="s">
        <v>35</v>
      </c>
      <c r="I1133" t="s">
        <v>36</v>
      </c>
      <c r="J1133" t="s">
        <v>37</v>
      </c>
      <c r="K1133" t="s">
        <v>30</v>
      </c>
      <c r="L1133" s="3">
        <v>94</v>
      </c>
      <c r="M1133" s="3">
        <v>4</v>
      </c>
      <c r="N1133">
        <v>0</v>
      </c>
      <c r="O1133">
        <v>4</v>
      </c>
      <c r="P1133" t="s">
        <v>31</v>
      </c>
    </row>
    <row r="1134" spans="1:16">
      <c r="A1134" t="s">
        <v>1301</v>
      </c>
      <c r="B1134" s="6">
        <v>46172.974305555559</v>
      </c>
      <c r="C1134" s="2">
        <v>46173.216145648148</v>
      </c>
      <c r="D1134" t="s">
        <v>23</v>
      </c>
      <c r="E1134" t="s">
        <v>24</v>
      </c>
      <c r="F1134" t="s">
        <v>51</v>
      </c>
      <c r="G1134" t="s">
        <v>54</v>
      </c>
      <c r="H1134" t="s">
        <v>27</v>
      </c>
      <c r="I1134" t="s">
        <v>43</v>
      </c>
      <c r="J1134" t="s">
        <v>29</v>
      </c>
      <c r="K1134" t="s">
        <v>85</v>
      </c>
      <c r="L1134" s="3">
        <v>27</v>
      </c>
      <c r="M1134" s="3">
        <v>5</v>
      </c>
      <c r="N1134">
        <v>0</v>
      </c>
      <c r="O1134">
        <v>2</v>
      </c>
      <c r="P1134" t="s">
        <v>31</v>
      </c>
    </row>
    <row r="1135" spans="1:16">
      <c r="A1135" t="s">
        <v>1302</v>
      </c>
      <c r="B1135" s="6">
        <v>46220.220833333333</v>
      </c>
      <c r="C1135" s="2">
        <v>46220.936542118056</v>
      </c>
      <c r="D1135" t="s">
        <v>23</v>
      </c>
      <c r="E1135" t="s">
        <v>50</v>
      </c>
      <c r="F1135" t="s">
        <v>65</v>
      </c>
      <c r="G1135" t="s">
        <v>66</v>
      </c>
      <c r="H1135" t="s">
        <v>42</v>
      </c>
      <c r="I1135" t="s">
        <v>28</v>
      </c>
      <c r="J1135" t="s">
        <v>29</v>
      </c>
      <c r="K1135" t="s">
        <v>55</v>
      </c>
      <c r="L1135" s="3">
        <v>135</v>
      </c>
      <c r="M1135" s="3">
        <v>4</v>
      </c>
      <c r="N1135">
        <v>0</v>
      </c>
      <c r="O1135">
        <v>6</v>
      </c>
      <c r="P1135" t="s">
        <v>31</v>
      </c>
    </row>
    <row r="1136" spans="1:16">
      <c r="A1136" t="s">
        <v>1303</v>
      </c>
      <c r="B1136" s="6">
        <v>46084.504861111112</v>
      </c>
      <c r="C1136" s="2">
        <v>46086.544556157409</v>
      </c>
      <c r="D1136" t="s">
        <v>23</v>
      </c>
      <c r="E1136" t="s">
        <v>33</v>
      </c>
      <c r="F1136" t="s">
        <v>25</v>
      </c>
      <c r="G1136" t="s">
        <v>66</v>
      </c>
      <c r="H1136" t="s">
        <v>35</v>
      </c>
      <c r="I1136" t="s">
        <v>28</v>
      </c>
      <c r="J1136" t="s">
        <v>37</v>
      </c>
      <c r="K1136" t="s">
        <v>101</v>
      </c>
      <c r="L1136" s="3">
        <v>337</v>
      </c>
      <c r="M1136" s="3">
        <v>3</v>
      </c>
      <c r="N1136">
        <v>0</v>
      </c>
      <c r="O1136">
        <v>4</v>
      </c>
      <c r="P1136" t="s">
        <v>31</v>
      </c>
    </row>
    <row r="1137" spans="1:16">
      <c r="A1137" t="s">
        <v>1304</v>
      </c>
      <c r="B1137" s="6">
        <v>46105.084722222222</v>
      </c>
      <c r="C1137" s="2">
        <v>46106.852454872685</v>
      </c>
      <c r="D1137" t="s">
        <v>23</v>
      </c>
      <c r="E1137" t="s">
        <v>50</v>
      </c>
      <c r="F1137" t="s">
        <v>51</v>
      </c>
      <c r="G1137" t="s">
        <v>26</v>
      </c>
      <c r="H1137" t="s">
        <v>42</v>
      </c>
      <c r="I1137" t="s">
        <v>36</v>
      </c>
      <c r="J1137" t="s">
        <v>76</v>
      </c>
      <c r="K1137" t="s">
        <v>68</v>
      </c>
      <c r="L1137" s="3">
        <v>115</v>
      </c>
      <c r="M1137" s="3">
        <v>4</v>
      </c>
      <c r="N1137">
        <v>0</v>
      </c>
      <c r="O1137">
        <v>2</v>
      </c>
      <c r="P1137" t="s">
        <v>31</v>
      </c>
    </row>
    <row r="1138" spans="1:16">
      <c r="A1138" t="s">
        <v>1305</v>
      </c>
      <c r="B1138" s="6">
        <v>46031.37222222222</v>
      </c>
      <c r="C1138" s="2">
        <v>46034.636587951391</v>
      </c>
      <c r="D1138" t="s">
        <v>23</v>
      </c>
      <c r="E1138" t="s">
        <v>33</v>
      </c>
      <c r="F1138" t="s">
        <v>51</v>
      </c>
      <c r="G1138" t="s">
        <v>26</v>
      </c>
      <c r="H1138" t="s">
        <v>35</v>
      </c>
      <c r="I1138" t="s">
        <v>36</v>
      </c>
      <c r="J1138" t="s">
        <v>37</v>
      </c>
      <c r="K1138" t="s">
        <v>93</v>
      </c>
      <c r="L1138" s="3">
        <v>271</v>
      </c>
      <c r="M1138" s="3">
        <v>3</v>
      </c>
      <c r="N1138">
        <v>1</v>
      </c>
      <c r="O1138">
        <v>5</v>
      </c>
      <c r="P1138" t="s">
        <v>31</v>
      </c>
    </row>
    <row r="1139" spans="1:16">
      <c r="A1139" t="s">
        <v>1306</v>
      </c>
      <c r="B1139" s="6">
        <v>46051.922222222223</v>
      </c>
      <c r="C1139" s="2">
        <v>46052.800417418985</v>
      </c>
      <c r="D1139" t="s">
        <v>23</v>
      </c>
      <c r="E1139" t="s">
        <v>50</v>
      </c>
      <c r="F1139" t="s">
        <v>65</v>
      </c>
      <c r="G1139" t="s">
        <v>26</v>
      </c>
      <c r="H1139" t="s">
        <v>27</v>
      </c>
      <c r="I1139" t="s">
        <v>28</v>
      </c>
      <c r="J1139" t="s">
        <v>76</v>
      </c>
      <c r="L1139" s="3">
        <v>210</v>
      </c>
      <c r="M1139" s="3">
        <v>4</v>
      </c>
      <c r="N1139">
        <v>0</v>
      </c>
      <c r="O1139">
        <v>4</v>
      </c>
      <c r="P1139" t="s">
        <v>31</v>
      </c>
    </row>
    <row r="1140" spans="1:16">
      <c r="A1140" t="s">
        <v>1307</v>
      </c>
      <c r="B1140" s="6">
        <v>46060.84652777778</v>
      </c>
      <c r="C1140" s="2">
        <v>46061.164437650463</v>
      </c>
      <c r="D1140" t="s">
        <v>23</v>
      </c>
      <c r="E1140" t="s">
        <v>40</v>
      </c>
      <c r="F1140" t="s">
        <v>65</v>
      </c>
      <c r="G1140" t="s">
        <v>26</v>
      </c>
      <c r="H1140" t="s">
        <v>35</v>
      </c>
      <c r="I1140" t="s">
        <v>48</v>
      </c>
      <c r="J1140" t="s">
        <v>29</v>
      </c>
      <c r="K1140" t="s">
        <v>62</v>
      </c>
      <c r="L1140" s="3">
        <v>30</v>
      </c>
      <c r="M1140" s="3">
        <v>4</v>
      </c>
      <c r="N1140">
        <v>0</v>
      </c>
      <c r="O1140">
        <v>5</v>
      </c>
      <c r="P1140" t="s">
        <v>31</v>
      </c>
    </row>
    <row r="1141" spans="1:16">
      <c r="A1141" t="s">
        <v>1308</v>
      </c>
      <c r="B1141" s="6">
        <v>46254.646527777775</v>
      </c>
      <c r="C1141" s="2">
        <v>46256.806852349539</v>
      </c>
      <c r="D1141" t="s">
        <v>23</v>
      </c>
      <c r="E1141" t="s">
        <v>33</v>
      </c>
      <c r="F1141" t="s">
        <v>65</v>
      </c>
      <c r="G1141" t="s">
        <v>34</v>
      </c>
      <c r="H1141" t="s">
        <v>35</v>
      </c>
      <c r="I1141" t="s">
        <v>48</v>
      </c>
      <c r="J1141" t="s">
        <v>37</v>
      </c>
      <c r="K1141" t="s">
        <v>68</v>
      </c>
      <c r="L1141" s="3">
        <v>363</v>
      </c>
      <c r="M1141" s="3">
        <v>2</v>
      </c>
      <c r="N1141">
        <v>2</v>
      </c>
      <c r="O1141">
        <v>12</v>
      </c>
      <c r="P1141" t="s">
        <v>31</v>
      </c>
    </row>
    <row r="1142" spans="1:16">
      <c r="A1142" t="s">
        <v>1309</v>
      </c>
      <c r="B1142" s="6">
        <v>46130.609722222223</v>
      </c>
      <c r="C1142" s="2">
        <v>46131.419041215275</v>
      </c>
      <c r="D1142" t="s">
        <v>23</v>
      </c>
      <c r="E1142" t="s">
        <v>50</v>
      </c>
      <c r="F1142" t="s">
        <v>51</v>
      </c>
      <c r="G1142" t="s">
        <v>26</v>
      </c>
      <c r="H1142" t="s">
        <v>35</v>
      </c>
      <c r="I1142" t="s">
        <v>28</v>
      </c>
      <c r="J1142" t="s">
        <v>58</v>
      </c>
      <c r="K1142" t="s">
        <v>55</v>
      </c>
      <c r="L1142" s="3">
        <v>39</v>
      </c>
      <c r="M1142" s="3"/>
      <c r="N1142">
        <v>0</v>
      </c>
      <c r="O1142">
        <v>6</v>
      </c>
      <c r="P1142" t="s">
        <v>31</v>
      </c>
    </row>
    <row r="1143" spans="1:16">
      <c r="A1143" t="s">
        <v>1310</v>
      </c>
      <c r="B1143" s="6">
        <v>46116.500694444447</v>
      </c>
      <c r="C1143" s="2">
        <v>46116.667622048612</v>
      </c>
      <c r="D1143" t="s">
        <v>23</v>
      </c>
      <c r="E1143" t="s">
        <v>24</v>
      </c>
      <c r="F1143" t="s">
        <v>65</v>
      </c>
      <c r="G1143" t="s">
        <v>26</v>
      </c>
      <c r="H1143" t="s">
        <v>35</v>
      </c>
      <c r="I1143" t="s">
        <v>43</v>
      </c>
      <c r="J1143" t="s">
        <v>52</v>
      </c>
      <c r="K1143" t="s">
        <v>62</v>
      </c>
      <c r="L1143" s="3">
        <v>9</v>
      </c>
      <c r="M1143" s="3">
        <v>5</v>
      </c>
      <c r="N1143">
        <v>0</v>
      </c>
      <c r="O1143">
        <v>5</v>
      </c>
      <c r="P1143" t="s">
        <v>31</v>
      </c>
    </row>
    <row r="1144" spans="1:16">
      <c r="A1144" t="s">
        <v>1311</v>
      </c>
      <c r="B1144" s="6">
        <v>46147.625694444447</v>
      </c>
      <c r="C1144" s="2">
        <v>46149.080732083334</v>
      </c>
      <c r="D1144" t="s">
        <v>23</v>
      </c>
      <c r="E1144" t="s">
        <v>50</v>
      </c>
      <c r="F1144" t="s">
        <v>25</v>
      </c>
      <c r="G1144" t="s">
        <v>26</v>
      </c>
      <c r="H1144" t="s">
        <v>35</v>
      </c>
      <c r="I1144" t="s">
        <v>28</v>
      </c>
      <c r="J1144" t="s">
        <v>37</v>
      </c>
      <c r="K1144" t="s">
        <v>44</v>
      </c>
      <c r="L1144" s="3">
        <v>64</v>
      </c>
      <c r="M1144" s="3">
        <v>4</v>
      </c>
      <c r="N1144">
        <v>0</v>
      </c>
      <c r="O1144">
        <v>2</v>
      </c>
      <c r="P1144" t="s">
        <v>31</v>
      </c>
    </row>
    <row r="1145" spans="1:16">
      <c r="A1145" t="s">
        <v>1312</v>
      </c>
      <c r="B1145" s="6">
        <v>46040.841666666667</v>
      </c>
      <c r="C1145" s="2">
        <v>46041.935428842589</v>
      </c>
      <c r="D1145" t="s">
        <v>23</v>
      </c>
      <c r="E1145" t="s">
        <v>595</v>
      </c>
      <c r="F1145" t="s">
        <v>25</v>
      </c>
      <c r="G1145" t="s">
        <v>34</v>
      </c>
      <c r="H1145" t="s">
        <v>35</v>
      </c>
      <c r="I1145" t="s">
        <v>48</v>
      </c>
      <c r="J1145" t="s">
        <v>58</v>
      </c>
      <c r="K1145" t="s">
        <v>38</v>
      </c>
      <c r="L1145" s="3">
        <v>129</v>
      </c>
      <c r="M1145" s="3">
        <v>4</v>
      </c>
      <c r="N1145">
        <v>0</v>
      </c>
      <c r="O1145">
        <v>7</v>
      </c>
      <c r="P1145" t="s">
        <v>31</v>
      </c>
    </row>
    <row r="1146" spans="1:16">
      <c r="A1146" t="s">
        <v>1313</v>
      </c>
      <c r="B1146" s="6">
        <v>46110.951388888891</v>
      </c>
      <c r="C1146" s="2">
        <v>46112.39115059028</v>
      </c>
      <c r="D1146" t="s">
        <v>23</v>
      </c>
      <c r="E1146" t="s">
        <v>33</v>
      </c>
      <c r="F1146" t="s">
        <v>65</v>
      </c>
      <c r="G1146" t="s">
        <v>34</v>
      </c>
      <c r="H1146" t="s">
        <v>42</v>
      </c>
      <c r="I1146" t="s">
        <v>28</v>
      </c>
      <c r="J1146" t="s">
        <v>52</v>
      </c>
      <c r="K1146" t="s">
        <v>71</v>
      </c>
      <c r="L1146" s="3">
        <v>148</v>
      </c>
      <c r="M1146" s="3">
        <v>4</v>
      </c>
      <c r="N1146">
        <v>0</v>
      </c>
      <c r="O1146">
        <v>2</v>
      </c>
      <c r="P1146" t="s">
        <v>31</v>
      </c>
    </row>
    <row r="1147" spans="1:16">
      <c r="A1147" t="s">
        <v>1314</v>
      </c>
      <c r="B1147" s="6">
        <v>46134.491666666669</v>
      </c>
      <c r="C1147" s="2">
        <v>46135.114337002313</v>
      </c>
      <c r="D1147" t="s">
        <v>23</v>
      </c>
      <c r="E1147" t="s">
        <v>33</v>
      </c>
      <c r="F1147" t="s">
        <v>65</v>
      </c>
      <c r="G1147" t="s">
        <v>26</v>
      </c>
      <c r="H1147" t="s">
        <v>42</v>
      </c>
      <c r="I1147" t="s">
        <v>43</v>
      </c>
      <c r="J1147" t="s">
        <v>29</v>
      </c>
      <c r="K1147" t="s">
        <v>38</v>
      </c>
      <c r="L1147" s="3">
        <v>619</v>
      </c>
      <c r="M1147" s="3">
        <v>3</v>
      </c>
      <c r="N1147">
        <v>0</v>
      </c>
      <c r="O1147">
        <v>7</v>
      </c>
      <c r="P1147" t="s">
        <v>31</v>
      </c>
    </row>
    <row r="1148" spans="1:16">
      <c r="A1148" t="s">
        <v>1315</v>
      </c>
      <c r="B1148" s="6">
        <v>46039.761111111111</v>
      </c>
      <c r="C1148" s="2">
        <v>46040.679484872686</v>
      </c>
      <c r="D1148" t="s">
        <v>23</v>
      </c>
      <c r="E1148" t="s">
        <v>33</v>
      </c>
      <c r="F1148" t="s">
        <v>65</v>
      </c>
      <c r="G1148" t="s">
        <v>26</v>
      </c>
      <c r="H1148" t="s">
        <v>27</v>
      </c>
      <c r="I1148" t="s">
        <v>28</v>
      </c>
      <c r="J1148" t="s">
        <v>52</v>
      </c>
      <c r="K1148" t="s">
        <v>93</v>
      </c>
      <c r="L1148" s="3">
        <v>287</v>
      </c>
      <c r="M1148" s="3">
        <v>3</v>
      </c>
      <c r="N1148">
        <v>0</v>
      </c>
      <c r="O1148">
        <v>7</v>
      </c>
      <c r="P1148" t="s">
        <v>31</v>
      </c>
    </row>
    <row r="1149" spans="1:16">
      <c r="A1149" t="s">
        <v>1316</v>
      </c>
      <c r="B1149" s="6">
        <v>46073.015277777777</v>
      </c>
      <c r="C1149" s="2">
        <v>46074.180488032405</v>
      </c>
      <c r="D1149" t="s">
        <v>23</v>
      </c>
      <c r="E1149" t="s">
        <v>50</v>
      </c>
      <c r="F1149" t="s">
        <v>41</v>
      </c>
      <c r="G1149" t="s">
        <v>26</v>
      </c>
      <c r="H1149" t="s">
        <v>35</v>
      </c>
      <c r="I1149" t="s">
        <v>28</v>
      </c>
      <c r="J1149" t="s">
        <v>37</v>
      </c>
      <c r="K1149" t="s">
        <v>71</v>
      </c>
      <c r="L1149" s="3">
        <v>32</v>
      </c>
      <c r="M1149" s="3">
        <v>4</v>
      </c>
      <c r="N1149">
        <v>1</v>
      </c>
      <c r="O1149">
        <v>6</v>
      </c>
      <c r="P1149" t="s">
        <v>31</v>
      </c>
    </row>
    <row r="1150" spans="1:16">
      <c r="A1150" t="s">
        <v>1317</v>
      </c>
      <c r="B1150" s="6">
        <v>46239.86041666667</v>
      </c>
      <c r="C1150" s="2">
        <v>46240.486711793979</v>
      </c>
      <c r="D1150" t="s">
        <v>23</v>
      </c>
      <c r="E1150" t="s">
        <v>50</v>
      </c>
      <c r="F1150" t="s">
        <v>41</v>
      </c>
      <c r="G1150" t="s">
        <v>26</v>
      </c>
      <c r="H1150" t="s">
        <v>35</v>
      </c>
      <c r="I1150" t="s">
        <v>28</v>
      </c>
      <c r="J1150" t="s">
        <v>29</v>
      </c>
      <c r="K1150" t="s">
        <v>62</v>
      </c>
      <c r="L1150" s="3">
        <v>67</v>
      </c>
      <c r="M1150" s="3">
        <v>4</v>
      </c>
      <c r="N1150">
        <v>0</v>
      </c>
      <c r="O1150">
        <v>2</v>
      </c>
      <c r="P1150" t="s">
        <v>31</v>
      </c>
    </row>
    <row r="1151" spans="1:16">
      <c r="A1151" t="s">
        <v>1318</v>
      </c>
      <c r="B1151" s="6">
        <v>46139.29791666667</v>
      </c>
      <c r="C1151" s="2">
        <v>46139.798731944444</v>
      </c>
      <c r="D1151" t="s">
        <v>23</v>
      </c>
      <c r="E1151" t="s">
        <v>40</v>
      </c>
      <c r="F1151" t="s">
        <v>25</v>
      </c>
      <c r="G1151" t="s">
        <v>66</v>
      </c>
      <c r="H1151" t="s">
        <v>35</v>
      </c>
      <c r="I1151" t="s">
        <v>48</v>
      </c>
      <c r="J1151" t="s">
        <v>58</v>
      </c>
      <c r="L1151" s="3">
        <v>29</v>
      </c>
      <c r="M1151" s="3">
        <v>5</v>
      </c>
      <c r="N1151">
        <v>0</v>
      </c>
      <c r="O1151">
        <v>4</v>
      </c>
      <c r="P1151" t="s">
        <v>31</v>
      </c>
    </row>
    <row r="1152" spans="1:16">
      <c r="A1152" t="s">
        <v>1319</v>
      </c>
      <c r="B1152" s="6">
        <v>46100.774305555555</v>
      </c>
      <c r="C1152" s="2">
        <v>46103.90189040509</v>
      </c>
      <c r="D1152" t="s">
        <v>23</v>
      </c>
      <c r="E1152" t="s">
        <v>33</v>
      </c>
      <c r="F1152" t="s">
        <v>51</v>
      </c>
      <c r="G1152" t="s">
        <v>26</v>
      </c>
      <c r="H1152" t="s">
        <v>35</v>
      </c>
      <c r="I1152" t="s">
        <v>28</v>
      </c>
      <c r="J1152" t="s">
        <v>76</v>
      </c>
      <c r="K1152" t="s">
        <v>93</v>
      </c>
      <c r="L1152" s="3">
        <v>213</v>
      </c>
      <c r="M1152" s="3">
        <v>3</v>
      </c>
      <c r="N1152">
        <v>0</v>
      </c>
      <c r="O1152">
        <v>3</v>
      </c>
      <c r="P1152" t="s">
        <v>31</v>
      </c>
    </row>
    <row r="1153" spans="1:16">
      <c r="A1153" t="s">
        <v>1320</v>
      </c>
      <c r="B1153" s="6">
        <v>46188.570833333331</v>
      </c>
      <c r="C1153" s="2">
        <v>46189.333807777781</v>
      </c>
      <c r="D1153" t="s">
        <v>23</v>
      </c>
      <c r="E1153" t="s">
        <v>50</v>
      </c>
      <c r="F1153" t="s">
        <v>51</v>
      </c>
      <c r="G1153" t="s">
        <v>26</v>
      </c>
      <c r="H1153" t="s">
        <v>35</v>
      </c>
      <c r="I1153" t="s">
        <v>28</v>
      </c>
      <c r="J1153" t="s">
        <v>37</v>
      </c>
      <c r="K1153" t="s">
        <v>85</v>
      </c>
      <c r="L1153" s="3">
        <v>95</v>
      </c>
      <c r="M1153" s="3">
        <v>4</v>
      </c>
      <c r="N1153">
        <v>0</v>
      </c>
      <c r="O1153">
        <v>4</v>
      </c>
      <c r="P1153" t="s">
        <v>31</v>
      </c>
    </row>
    <row r="1154" spans="1:16">
      <c r="A1154" t="s">
        <v>1321</v>
      </c>
      <c r="B1154" s="6">
        <v>46052.649305555555</v>
      </c>
      <c r="C1154" s="2">
        <v>46055.050837210649</v>
      </c>
      <c r="D1154" t="s">
        <v>23</v>
      </c>
      <c r="E1154" t="s">
        <v>50</v>
      </c>
      <c r="F1154" t="s">
        <v>51</v>
      </c>
      <c r="G1154" t="s">
        <v>54</v>
      </c>
      <c r="H1154" t="s">
        <v>27</v>
      </c>
      <c r="I1154" t="s">
        <v>43</v>
      </c>
      <c r="J1154" t="s">
        <v>76</v>
      </c>
      <c r="K1154" t="s">
        <v>38</v>
      </c>
      <c r="L1154" s="3">
        <v>66</v>
      </c>
      <c r="M1154" s="3">
        <v>4</v>
      </c>
      <c r="N1154">
        <v>0</v>
      </c>
      <c r="O1154">
        <v>4</v>
      </c>
      <c r="P1154" t="s">
        <v>31</v>
      </c>
    </row>
    <row r="1155" spans="1:16">
      <c r="A1155" t="s">
        <v>1322</v>
      </c>
      <c r="B1155" s="6">
        <v>46056.894444444442</v>
      </c>
      <c r="C1155" s="2">
        <v>46057.814777199077</v>
      </c>
      <c r="D1155" t="s">
        <v>23</v>
      </c>
      <c r="E1155" t="s">
        <v>50</v>
      </c>
      <c r="F1155" t="s">
        <v>51</v>
      </c>
      <c r="G1155" t="s">
        <v>34</v>
      </c>
      <c r="H1155" t="s">
        <v>42</v>
      </c>
      <c r="I1155" t="s">
        <v>48</v>
      </c>
      <c r="J1155" t="s">
        <v>37</v>
      </c>
      <c r="K1155" t="s">
        <v>30</v>
      </c>
      <c r="L1155" s="3">
        <v>233</v>
      </c>
      <c r="M1155" s="3">
        <v>2</v>
      </c>
      <c r="N1155">
        <v>3</v>
      </c>
      <c r="O1155">
        <v>16</v>
      </c>
      <c r="P1155" t="s">
        <v>31</v>
      </c>
    </row>
    <row r="1156" spans="1:16">
      <c r="A1156" t="s">
        <v>1323</v>
      </c>
      <c r="B1156" s="6">
        <v>46101.060416666667</v>
      </c>
      <c r="C1156" s="2">
        <v>46103.252940451392</v>
      </c>
      <c r="D1156" t="s">
        <v>23</v>
      </c>
      <c r="E1156" t="s">
        <v>33</v>
      </c>
      <c r="F1156" t="s">
        <v>25</v>
      </c>
      <c r="G1156" t="s">
        <v>34</v>
      </c>
      <c r="H1156" t="s">
        <v>42</v>
      </c>
      <c r="I1156" t="s">
        <v>28</v>
      </c>
      <c r="J1156" t="s">
        <v>58</v>
      </c>
      <c r="K1156" t="s">
        <v>30</v>
      </c>
      <c r="L1156" s="3">
        <v>289</v>
      </c>
      <c r="M1156" s="3">
        <v>3</v>
      </c>
      <c r="N1156">
        <v>0</v>
      </c>
      <c r="O1156">
        <v>2</v>
      </c>
      <c r="P1156" t="s">
        <v>31</v>
      </c>
    </row>
    <row r="1157" spans="1:16">
      <c r="A1157" t="s">
        <v>1324</v>
      </c>
      <c r="B1157" s="6">
        <v>46181.679166666669</v>
      </c>
      <c r="C1157" s="2">
        <v>46183.514534340276</v>
      </c>
      <c r="D1157" t="s">
        <v>23</v>
      </c>
      <c r="E1157" t="s">
        <v>50</v>
      </c>
      <c r="F1157" t="s">
        <v>51</v>
      </c>
      <c r="G1157" t="s">
        <v>26</v>
      </c>
      <c r="H1157" t="s">
        <v>35</v>
      </c>
      <c r="I1157" t="s">
        <v>28</v>
      </c>
      <c r="J1157" t="s">
        <v>58</v>
      </c>
      <c r="K1157" t="s">
        <v>38</v>
      </c>
      <c r="L1157" s="3">
        <v>72</v>
      </c>
      <c r="M1157" s="3">
        <v>3</v>
      </c>
      <c r="N1157">
        <v>1</v>
      </c>
      <c r="O1157">
        <v>8</v>
      </c>
      <c r="P1157" t="s">
        <v>31</v>
      </c>
    </row>
    <row r="1158" spans="1:16">
      <c r="A1158" t="s">
        <v>840</v>
      </c>
      <c r="B1158" s="6">
        <v>46050.120138888888</v>
      </c>
      <c r="C1158" s="2">
        <v>46054.063283252312</v>
      </c>
      <c r="D1158" t="s">
        <v>23</v>
      </c>
      <c r="E1158" t="s">
        <v>50</v>
      </c>
      <c r="F1158" t="s">
        <v>51</v>
      </c>
      <c r="G1158" t="s">
        <v>26</v>
      </c>
      <c r="H1158" t="s">
        <v>42</v>
      </c>
      <c r="I1158" t="s">
        <v>28</v>
      </c>
      <c r="J1158" t="s">
        <v>76</v>
      </c>
      <c r="K1158" t="s">
        <v>38</v>
      </c>
      <c r="L1158" s="3">
        <v>63</v>
      </c>
      <c r="M1158" s="3">
        <v>4</v>
      </c>
      <c r="N1158">
        <v>0</v>
      </c>
      <c r="O1158">
        <v>4</v>
      </c>
      <c r="P1158" t="s">
        <v>31</v>
      </c>
    </row>
    <row r="1159" spans="1:16">
      <c r="A1159" t="s">
        <v>1325</v>
      </c>
      <c r="B1159" s="6">
        <v>46035.821527777778</v>
      </c>
      <c r="C1159" s="2">
        <v>46037.45939290509</v>
      </c>
      <c r="D1159" t="s">
        <v>23</v>
      </c>
      <c r="F1159" t="s">
        <v>25</v>
      </c>
      <c r="G1159" t="s">
        <v>26</v>
      </c>
      <c r="H1159" t="s">
        <v>35</v>
      </c>
      <c r="I1159" t="s">
        <v>36</v>
      </c>
      <c r="J1159" t="s">
        <v>58</v>
      </c>
      <c r="K1159" t="s">
        <v>62</v>
      </c>
      <c r="L1159" s="3">
        <v>164</v>
      </c>
      <c r="M1159" s="3">
        <v>4</v>
      </c>
      <c r="N1159">
        <v>0</v>
      </c>
      <c r="O1159">
        <v>2</v>
      </c>
      <c r="P1159" t="s">
        <v>31</v>
      </c>
    </row>
    <row r="1160" spans="1:16">
      <c r="A1160" t="s">
        <v>1326</v>
      </c>
      <c r="B1160" s="6">
        <v>46037.302083333336</v>
      </c>
      <c r="C1160" s="2">
        <v>46037.438530254629</v>
      </c>
      <c r="D1160" t="s">
        <v>23</v>
      </c>
      <c r="E1160" t="s">
        <v>24</v>
      </c>
      <c r="F1160" t="s">
        <v>51</v>
      </c>
      <c r="G1160" t="s">
        <v>259</v>
      </c>
      <c r="H1160" t="s">
        <v>35</v>
      </c>
      <c r="I1160" t="s">
        <v>36</v>
      </c>
      <c r="J1160" t="s">
        <v>29</v>
      </c>
      <c r="K1160" t="s">
        <v>68</v>
      </c>
      <c r="L1160" s="3">
        <v>12</v>
      </c>
      <c r="M1160" s="3">
        <v>5</v>
      </c>
      <c r="N1160">
        <v>0</v>
      </c>
      <c r="O1160">
        <v>7</v>
      </c>
      <c r="P1160" t="s">
        <v>31</v>
      </c>
    </row>
    <row r="1161" spans="1:16">
      <c r="A1161" t="s">
        <v>1327</v>
      </c>
      <c r="B1161" s="6">
        <v>46074.815972222219</v>
      </c>
      <c r="C1161" s="2">
        <v>46075.362597164349</v>
      </c>
      <c r="D1161" t="s">
        <v>23</v>
      </c>
      <c r="E1161" t="s">
        <v>40</v>
      </c>
      <c r="F1161" t="s">
        <v>25</v>
      </c>
      <c r="G1161" t="s">
        <v>54</v>
      </c>
      <c r="H1161" t="s">
        <v>35</v>
      </c>
      <c r="I1161" t="s">
        <v>43</v>
      </c>
      <c r="J1161" t="s">
        <v>76</v>
      </c>
      <c r="K1161" t="s">
        <v>71</v>
      </c>
      <c r="L1161" s="3">
        <v>103</v>
      </c>
      <c r="M1161" s="3">
        <v>4</v>
      </c>
      <c r="N1161">
        <v>0</v>
      </c>
      <c r="O1161">
        <v>6</v>
      </c>
      <c r="P1161" t="s">
        <v>31</v>
      </c>
    </row>
    <row r="1162" spans="1:16">
      <c r="A1162" t="s">
        <v>1328</v>
      </c>
      <c r="B1162" s="6">
        <v>46193.634722222225</v>
      </c>
      <c r="C1162" s="2">
        <v>46194.208074479167</v>
      </c>
      <c r="D1162" t="s">
        <v>23</v>
      </c>
      <c r="E1162" t="s">
        <v>33</v>
      </c>
      <c r="F1162" t="s">
        <v>25</v>
      </c>
      <c r="G1162" t="s">
        <v>26</v>
      </c>
      <c r="H1162" t="s">
        <v>27</v>
      </c>
      <c r="I1162" t="s">
        <v>28</v>
      </c>
      <c r="J1162" t="s">
        <v>29</v>
      </c>
      <c r="K1162" t="s">
        <v>85</v>
      </c>
      <c r="L1162" s="3">
        <v>109</v>
      </c>
      <c r="M1162" s="3">
        <v>4</v>
      </c>
      <c r="N1162">
        <v>0</v>
      </c>
      <c r="O1162">
        <v>5</v>
      </c>
      <c r="P1162" t="s">
        <v>31</v>
      </c>
    </row>
    <row r="1163" spans="1:16">
      <c r="A1163" t="s">
        <v>1329</v>
      </c>
      <c r="B1163" s="6">
        <v>46107.682638888888</v>
      </c>
      <c r="C1163" s="2">
        <v>46108.597149120367</v>
      </c>
      <c r="D1163" t="s">
        <v>23</v>
      </c>
      <c r="E1163" t="s">
        <v>50</v>
      </c>
      <c r="F1163" t="s">
        <v>51</v>
      </c>
      <c r="G1163" t="s">
        <v>26</v>
      </c>
      <c r="H1163" t="s">
        <v>35</v>
      </c>
      <c r="I1163" t="s">
        <v>43</v>
      </c>
      <c r="J1163" t="s">
        <v>37</v>
      </c>
      <c r="K1163" t="s">
        <v>93</v>
      </c>
      <c r="L1163" s="3">
        <v>66</v>
      </c>
      <c r="M1163" s="3">
        <v>4</v>
      </c>
      <c r="N1163">
        <v>0</v>
      </c>
      <c r="O1163">
        <v>4</v>
      </c>
      <c r="P1163" t="s">
        <v>31</v>
      </c>
    </row>
    <row r="1164" spans="1:16">
      <c r="A1164" t="s">
        <v>1330</v>
      </c>
      <c r="B1164" s="6">
        <v>46185.911111111112</v>
      </c>
      <c r="C1164" s="2">
        <v>46186.617282905092</v>
      </c>
      <c r="D1164" t="s">
        <v>23</v>
      </c>
      <c r="E1164" t="s">
        <v>50</v>
      </c>
      <c r="F1164" t="s">
        <v>51</v>
      </c>
      <c r="G1164" t="s">
        <v>26</v>
      </c>
      <c r="H1164" t="s">
        <v>35</v>
      </c>
      <c r="I1164" t="s">
        <v>43</v>
      </c>
      <c r="J1164" t="s">
        <v>29</v>
      </c>
      <c r="K1164" t="s">
        <v>30</v>
      </c>
      <c r="L1164" s="3">
        <v>67</v>
      </c>
      <c r="M1164" s="3">
        <v>4</v>
      </c>
      <c r="N1164">
        <v>0</v>
      </c>
      <c r="O1164">
        <v>6</v>
      </c>
      <c r="P1164" t="s">
        <v>31</v>
      </c>
    </row>
    <row r="1165" spans="1:16">
      <c r="A1165" t="s">
        <v>1331</v>
      </c>
      <c r="B1165" s="6">
        <v>46139.793749999997</v>
      </c>
      <c r="C1165" s="2">
        <v>46139.969988622688</v>
      </c>
      <c r="D1165" t="s">
        <v>23</v>
      </c>
      <c r="E1165" t="s">
        <v>50</v>
      </c>
      <c r="F1165" t="s">
        <v>41</v>
      </c>
      <c r="G1165" t="s">
        <v>54</v>
      </c>
      <c r="H1165" t="s">
        <v>35</v>
      </c>
      <c r="I1165" t="s">
        <v>28</v>
      </c>
      <c r="J1165" t="s">
        <v>251</v>
      </c>
      <c r="K1165" t="s">
        <v>68</v>
      </c>
      <c r="L1165" s="3">
        <v>67</v>
      </c>
      <c r="M1165" s="3">
        <v>4</v>
      </c>
      <c r="N1165">
        <v>0</v>
      </c>
      <c r="O1165">
        <v>5</v>
      </c>
      <c r="P1165" t="s">
        <v>31</v>
      </c>
    </row>
    <row r="1166" spans="1:16">
      <c r="A1166" t="s">
        <v>1332</v>
      </c>
      <c r="B1166" s="6">
        <v>46068.356944444444</v>
      </c>
      <c r="C1166" s="2">
        <v>46068.868539953706</v>
      </c>
      <c r="D1166" t="s">
        <v>23</v>
      </c>
      <c r="E1166" t="s">
        <v>40</v>
      </c>
      <c r="F1166" t="s">
        <v>25</v>
      </c>
      <c r="G1166" t="s">
        <v>54</v>
      </c>
      <c r="H1166" t="s">
        <v>42</v>
      </c>
      <c r="I1166" t="s">
        <v>43</v>
      </c>
      <c r="J1166" t="s">
        <v>37</v>
      </c>
      <c r="K1166" t="s">
        <v>85</v>
      </c>
      <c r="L1166" s="3">
        <v>23</v>
      </c>
      <c r="M1166" s="3">
        <v>5</v>
      </c>
      <c r="N1166">
        <v>0</v>
      </c>
      <c r="O1166">
        <v>4</v>
      </c>
      <c r="P1166" t="s">
        <v>31</v>
      </c>
    </row>
    <row r="1167" spans="1:16">
      <c r="A1167" t="s">
        <v>1333</v>
      </c>
      <c r="B1167" s="6">
        <v>46238.068749999999</v>
      </c>
      <c r="C1167" s="2">
        <v>46238.801079629629</v>
      </c>
      <c r="D1167" t="s">
        <v>23</v>
      </c>
      <c r="E1167" t="s">
        <v>33</v>
      </c>
      <c r="F1167" t="s">
        <v>51</v>
      </c>
      <c r="G1167" t="s">
        <v>26</v>
      </c>
      <c r="H1167" t="s">
        <v>42</v>
      </c>
      <c r="I1167" t="s">
        <v>48</v>
      </c>
      <c r="J1167" t="s">
        <v>29</v>
      </c>
      <c r="K1167" t="s">
        <v>93</v>
      </c>
      <c r="L1167" s="3">
        <v>135</v>
      </c>
      <c r="M1167" s="3">
        <v>4</v>
      </c>
      <c r="N1167">
        <v>0</v>
      </c>
      <c r="O1167">
        <v>2</v>
      </c>
      <c r="P1167" t="s">
        <v>31</v>
      </c>
    </row>
    <row r="1168" spans="1:16">
      <c r="A1168" t="s">
        <v>1334</v>
      </c>
      <c r="B1168" s="6">
        <v>46102.300694444442</v>
      </c>
      <c r="C1168" s="2">
        <v>46103.956835497687</v>
      </c>
      <c r="D1168" t="s">
        <v>23</v>
      </c>
      <c r="E1168" t="s">
        <v>50</v>
      </c>
      <c r="F1168" t="s">
        <v>25</v>
      </c>
      <c r="G1168" t="s">
        <v>75</v>
      </c>
      <c r="H1168" t="s">
        <v>35</v>
      </c>
      <c r="I1168" t="s">
        <v>28</v>
      </c>
      <c r="J1168" t="s">
        <v>76</v>
      </c>
      <c r="K1168" t="s">
        <v>62</v>
      </c>
      <c r="L1168" s="3">
        <v>127</v>
      </c>
      <c r="M1168" s="3">
        <v>4</v>
      </c>
      <c r="N1168">
        <v>1</v>
      </c>
      <c r="O1168">
        <v>10</v>
      </c>
      <c r="P1168" t="s">
        <v>31</v>
      </c>
    </row>
    <row r="1169" spans="1:16">
      <c r="A1169" t="s">
        <v>1335</v>
      </c>
      <c r="B1169" s="6">
        <v>46139.209722222222</v>
      </c>
      <c r="C1169" s="2">
        <v>46141.320001574073</v>
      </c>
      <c r="D1169" t="s">
        <v>23</v>
      </c>
      <c r="E1169" t="s">
        <v>50</v>
      </c>
      <c r="F1169" t="s">
        <v>51</v>
      </c>
      <c r="G1169" t="s">
        <v>54</v>
      </c>
      <c r="H1169" t="s">
        <v>27</v>
      </c>
      <c r="I1169" t="s">
        <v>48</v>
      </c>
      <c r="J1169" t="s">
        <v>37</v>
      </c>
      <c r="K1169" t="s">
        <v>71</v>
      </c>
      <c r="L1169" s="3">
        <v>34</v>
      </c>
      <c r="M1169" s="3">
        <v>4</v>
      </c>
      <c r="N1169">
        <v>0</v>
      </c>
      <c r="O1169">
        <v>5</v>
      </c>
      <c r="P1169" t="s">
        <v>31</v>
      </c>
    </row>
    <row r="1170" spans="1:16">
      <c r="A1170" t="s">
        <v>1336</v>
      </c>
      <c r="B1170" s="6">
        <v>46221.694444444445</v>
      </c>
      <c r="C1170" s="2">
        <v>46221.857066620367</v>
      </c>
      <c r="D1170" t="s">
        <v>23</v>
      </c>
      <c r="E1170" t="s">
        <v>40</v>
      </c>
      <c r="F1170" t="s">
        <v>51</v>
      </c>
      <c r="G1170" t="s">
        <v>54</v>
      </c>
      <c r="H1170" t="s">
        <v>42</v>
      </c>
      <c r="I1170" t="s">
        <v>36</v>
      </c>
      <c r="J1170" t="s">
        <v>37</v>
      </c>
      <c r="K1170" t="s">
        <v>101</v>
      </c>
      <c r="L1170" s="3">
        <v>48</v>
      </c>
      <c r="M1170" s="3">
        <v>4</v>
      </c>
      <c r="N1170">
        <v>1</v>
      </c>
      <c r="O1170">
        <v>7</v>
      </c>
      <c r="P1170" t="s">
        <v>31</v>
      </c>
    </row>
    <row r="1171" spans="1:16">
      <c r="A1171" t="s">
        <v>1337</v>
      </c>
      <c r="B1171" s="6">
        <v>46065.975694444445</v>
      </c>
      <c r="C1171" s="2">
        <v>46066.478994733799</v>
      </c>
      <c r="D1171" t="s">
        <v>23</v>
      </c>
      <c r="E1171" t="s">
        <v>50</v>
      </c>
      <c r="F1171" t="s">
        <v>41</v>
      </c>
      <c r="G1171" t="s">
        <v>26</v>
      </c>
      <c r="H1171" t="s">
        <v>35</v>
      </c>
      <c r="I1171" t="s">
        <v>43</v>
      </c>
      <c r="J1171" t="s">
        <v>52</v>
      </c>
      <c r="K1171" t="s">
        <v>44</v>
      </c>
      <c r="L1171" s="3">
        <v>119</v>
      </c>
      <c r="M1171" s="3">
        <v>4</v>
      </c>
      <c r="N1171">
        <v>0</v>
      </c>
      <c r="O1171">
        <v>3</v>
      </c>
      <c r="P1171" t="s">
        <v>31</v>
      </c>
    </row>
    <row r="1172" spans="1:16">
      <c r="A1172" t="s">
        <v>1338</v>
      </c>
      <c r="B1172" s="6">
        <v>46116.21597222222</v>
      </c>
      <c r="C1172" s="2">
        <v>46116.60887822917</v>
      </c>
      <c r="D1172" t="s">
        <v>23</v>
      </c>
      <c r="E1172" t="s">
        <v>40</v>
      </c>
      <c r="F1172" t="s">
        <v>25</v>
      </c>
      <c r="G1172" t="s">
        <v>34</v>
      </c>
      <c r="H1172" t="s">
        <v>35</v>
      </c>
      <c r="I1172" t="s">
        <v>28</v>
      </c>
      <c r="J1172" t="s">
        <v>52</v>
      </c>
      <c r="K1172" t="s">
        <v>44</v>
      </c>
      <c r="L1172" s="3">
        <v>68</v>
      </c>
      <c r="M1172" s="3">
        <v>4</v>
      </c>
      <c r="N1172">
        <v>0</v>
      </c>
      <c r="O1172">
        <v>5</v>
      </c>
      <c r="P1172" t="s">
        <v>31</v>
      </c>
    </row>
    <row r="1173" spans="1:16">
      <c r="A1173" t="s">
        <v>1339</v>
      </c>
      <c r="B1173" s="6">
        <v>46156.231249999997</v>
      </c>
      <c r="C1173" s="2">
        <v>46157.234488159724</v>
      </c>
      <c r="D1173" t="s">
        <v>23</v>
      </c>
      <c r="E1173" t="s">
        <v>50</v>
      </c>
      <c r="F1173" t="s">
        <v>41</v>
      </c>
      <c r="G1173" t="s">
        <v>66</v>
      </c>
      <c r="H1173" t="s">
        <v>42</v>
      </c>
      <c r="I1173" t="s">
        <v>48</v>
      </c>
      <c r="J1173" t="s">
        <v>37</v>
      </c>
      <c r="K1173" t="s">
        <v>93</v>
      </c>
      <c r="L1173" s="3">
        <v>78</v>
      </c>
      <c r="M1173" s="3">
        <v>4</v>
      </c>
      <c r="N1173">
        <v>1</v>
      </c>
      <c r="O1173">
        <v>10</v>
      </c>
      <c r="P1173" t="s">
        <v>31</v>
      </c>
    </row>
    <row r="1174" spans="1:16">
      <c r="A1174" t="s">
        <v>1340</v>
      </c>
      <c r="B1174" s="6">
        <v>46259.695138888892</v>
      </c>
      <c r="C1174" s="2">
        <v>46260.656811458335</v>
      </c>
      <c r="D1174" t="s">
        <v>23</v>
      </c>
      <c r="E1174" t="s">
        <v>50</v>
      </c>
      <c r="F1174" t="s">
        <v>51</v>
      </c>
      <c r="G1174" t="s">
        <v>34</v>
      </c>
      <c r="H1174" t="s">
        <v>35</v>
      </c>
      <c r="I1174" t="s">
        <v>43</v>
      </c>
      <c r="J1174" t="s">
        <v>37</v>
      </c>
      <c r="K1174" t="s">
        <v>30</v>
      </c>
      <c r="L1174" s="3">
        <v>155</v>
      </c>
      <c r="M1174" s="3">
        <v>4</v>
      </c>
      <c r="N1174">
        <v>0</v>
      </c>
      <c r="O1174">
        <v>5</v>
      </c>
      <c r="P1174" t="s">
        <v>31</v>
      </c>
    </row>
    <row r="1175" spans="1:16">
      <c r="A1175" t="s">
        <v>1341</v>
      </c>
      <c r="B1175" s="6">
        <v>46181.149305555555</v>
      </c>
      <c r="C1175" s="2">
        <v>46182.019295104168</v>
      </c>
      <c r="D1175" t="s">
        <v>23</v>
      </c>
      <c r="E1175" t="s">
        <v>40</v>
      </c>
      <c r="F1175" t="s">
        <v>51</v>
      </c>
      <c r="G1175" t="s">
        <v>54</v>
      </c>
      <c r="H1175" t="s">
        <v>35</v>
      </c>
      <c r="I1175" t="s">
        <v>48</v>
      </c>
      <c r="J1175" t="s">
        <v>52</v>
      </c>
      <c r="K1175" t="s">
        <v>62</v>
      </c>
      <c r="L1175" s="3">
        <v>108</v>
      </c>
      <c r="M1175" s="3">
        <v>4</v>
      </c>
      <c r="N1175">
        <v>0</v>
      </c>
      <c r="O1175">
        <v>8</v>
      </c>
      <c r="P1175" t="s">
        <v>63</v>
      </c>
    </row>
    <row r="1176" spans="1:16">
      <c r="A1176" t="s">
        <v>1342</v>
      </c>
      <c r="B1176" s="6">
        <v>46127.079861111109</v>
      </c>
      <c r="C1176" s="2">
        <v>46129.952427407407</v>
      </c>
      <c r="D1176" t="s">
        <v>23</v>
      </c>
      <c r="E1176" t="s">
        <v>50</v>
      </c>
      <c r="F1176" t="s">
        <v>25</v>
      </c>
      <c r="G1176" t="s">
        <v>26</v>
      </c>
      <c r="H1176" t="s">
        <v>42</v>
      </c>
      <c r="I1176" t="s">
        <v>28</v>
      </c>
      <c r="J1176" t="s">
        <v>37</v>
      </c>
      <c r="K1176" t="s">
        <v>68</v>
      </c>
      <c r="L1176" s="3">
        <v>111</v>
      </c>
      <c r="M1176" s="3">
        <v>3</v>
      </c>
      <c r="N1176">
        <v>1</v>
      </c>
      <c r="O1176">
        <v>6</v>
      </c>
      <c r="P1176" t="s">
        <v>31</v>
      </c>
    </row>
    <row r="1177" spans="1:16">
      <c r="A1177" t="s">
        <v>1343</v>
      </c>
      <c r="B1177" s="6">
        <v>46046.834722222222</v>
      </c>
      <c r="C1177" s="2">
        <v>46047.556906423612</v>
      </c>
      <c r="D1177" t="s">
        <v>23</v>
      </c>
      <c r="E1177" t="s">
        <v>40</v>
      </c>
      <c r="F1177" t="s">
        <v>65</v>
      </c>
      <c r="G1177" t="s">
        <v>34</v>
      </c>
      <c r="H1177" t="s">
        <v>27</v>
      </c>
      <c r="I1177" t="s">
        <v>36</v>
      </c>
      <c r="J1177" t="s">
        <v>58</v>
      </c>
      <c r="K1177" t="s">
        <v>55</v>
      </c>
      <c r="L1177" s="3">
        <v>20</v>
      </c>
      <c r="M1177" s="3">
        <v>4</v>
      </c>
      <c r="N1177">
        <v>0</v>
      </c>
      <c r="O1177">
        <v>4</v>
      </c>
      <c r="P1177" t="s">
        <v>63</v>
      </c>
    </row>
    <row r="1178" spans="1:16">
      <c r="A1178" t="s">
        <v>1344</v>
      </c>
      <c r="B1178" s="6">
        <v>46131.019444444442</v>
      </c>
      <c r="C1178" s="2">
        <v>46132.916303217593</v>
      </c>
      <c r="D1178" t="s">
        <v>23</v>
      </c>
      <c r="E1178" t="s">
        <v>50</v>
      </c>
      <c r="F1178" t="s">
        <v>25</v>
      </c>
      <c r="G1178" t="s">
        <v>34</v>
      </c>
      <c r="H1178" t="s">
        <v>27</v>
      </c>
      <c r="I1178" t="s">
        <v>48</v>
      </c>
      <c r="J1178" t="s">
        <v>37</v>
      </c>
      <c r="K1178" t="s">
        <v>38</v>
      </c>
      <c r="L1178" s="3">
        <v>103</v>
      </c>
      <c r="M1178" s="3">
        <v>4</v>
      </c>
      <c r="N1178">
        <v>0</v>
      </c>
      <c r="O1178">
        <v>5</v>
      </c>
      <c r="P1178" t="s">
        <v>31</v>
      </c>
    </row>
    <row r="1179" spans="1:16">
      <c r="A1179" t="s">
        <v>1345</v>
      </c>
      <c r="B1179" s="6">
        <v>46139.811111111114</v>
      </c>
      <c r="C1179" s="2">
        <v>46143.647158356478</v>
      </c>
      <c r="D1179" t="s">
        <v>23</v>
      </c>
      <c r="E1179" t="s">
        <v>50</v>
      </c>
      <c r="F1179" t="s">
        <v>25</v>
      </c>
      <c r="G1179" t="s">
        <v>54</v>
      </c>
      <c r="H1179" t="s">
        <v>42</v>
      </c>
      <c r="I1179" t="s">
        <v>36</v>
      </c>
      <c r="J1179" t="s">
        <v>37</v>
      </c>
      <c r="K1179" t="s">
        <v>44</v>
      </c>
      <c r="L1179" s="3">
        <v>59</v>
      </c>
      <c r="M1179" s="3">
        <v>4</v>
      </c>
      <c r="N1179">
        <v>0</v>
      </c>
      <c r="O1179">
        <v>9</v>
      </c>
      <c r="P1179" t="s">
        <v>63</v>
      </c>
    </row>
    <row r="1180" spans="1:16">
      <c r="A1180" t="s">
        <v>1346</v>
      </c>
      <c r="B1180" s="6">
        <v>46263.948611111111</v>
      </c>
      <c r="C1180" s="2">
        <v>46264.261924606479</v>
      </c>
      <c r="D1180" t="s">
        <v>23</v>
      </c>
      <c r="E1180" t="s">
        <v>24</v>
      </c>
      <c r="F1180" t="s">
        <v>25</v>
      </c>
      <c r="G1180" t="s">
        <v>34</v>
      </c>
      <c r="H1180" t="s">
        <v>42</v>
      </c>
      <c r="I1180" t="s">
        <v>28</v>
      </c>
      <c r="J1180" t="s">
        <v>76</v>
      </c>
      <c r="K1180" t="s">
        <v>101</v>
      </c>
      <c r="L1180" s="3">
        <v>22</v>
      </c>
      <c r="M1180" s="3">
        <v>5</v>
      </c>
      <c r="N1180">
        <v>0</v>
      </c>
      <c r="O1180">
        <v>7</v>
      </c>
      <c r="P1180" t="s">
        <v>31</v>
      </c>
    </row>
    <row r="1181" spans="1:16">
      <c r="A1181" t="s">
        <v>1347</v>
      </c>
      <c r="B1181" s="6">
        <v>46187.748611111114</v>
      </c>
      <c r="C1181" s="2">
        <v>46192.025706932873</v>
      </c>
      <c r="D1181" t="s">
        <v>23</v>
      </c>
      <c r="E1181" t="s">
        <v>33</v>
      </c>
      <c r="F1181" t="s">
        <v>65</v>
      </c>
      <c r="G1181" t="s">
        <v>26</v>
      </c>
      <c r="H1181" t="s">
        <v>42</v>
      </c>
      <c r="I1181" t="s">
        <v>43</v>
      </c>
      <c r="J1181" t="s">
        <v>37</v>
      </c>
      <c r="K1181" t="s">
        <v>62</v>
      </c>
      <c r="L1181" s="3">
        <v>97</v>
      </c>
      <c r="M1181" s="3">
        <v>4</v>
      </c>
      <c r="N1181">
        <v>0</v>
      </c>
      <c r="O1181">
        <v>2</v>
      </c>
      <c r="P1181" t="s">
        <v>31</v>
      </c>
    </row>
    <row r="1182" spans="1:16">
      <c r="A1182" t="s">
        <v>1348</v>
      </c>
      <c r="B1182" s="6">
        <v>46085.786805555559</v>
      </c>
      <c r="C1182" s="2">
        <v>46086.27383716435</v>
      </c>
      <c r="D1182" t="s">
        <v>23</v>
      </c>
      <c r="E1182" t="s">
        <v>50</v>
      </c>
      <c r="F1182" t="s">
        <v>51</v>
      </c>
      <c r="G1182" t="s">
        <v>54</v>
      </c>
      <c r="H1182" t="s">
        <v>35</v>
      </c>
      <c r="I1182" t="s">
        <v>48</v>
      </c>
      <c r="J1182" t="s">
        <v>29</v>
      </c>
      <c r="K1182" t="s">
        <v>30</v>
      </c>
      <c r="L1182" s="3">
        <v>76</v>
      </c>
      <c r="M1182" s="3">
        <v>4</v>
      </c>
      <c r="N1182">
        <v>0</v>
      </c>
      <c r="O1182">
        <v>2</v>
      </c>
      <c r="P1182" t="s">
        <v>31</v>
      </c>
    </row>
    <row r="1183" spans="1:16">
      <c r="A1183" t="s">
        <v>1349</v>
      </c>
      <c r="B1183" s="6">
        <v>46264.63958333333</v>
      </c>
      <c r="C1183" s="2">
        <v>46266.612333645833</v>
      </c>
      <c r="D1183" t="s">
        <v>23</v>
      </c>
      <c r="E1183" t="s">
        <v>50</v>
      </c>
      <c r="F1183" t="s">
        <v>51</v>
      </c>
      <c r="G1183" t="s">
        <v>26</v>
      </c>
      <c r="H1183" t="s">
        <v>35</v>
      </c>
      <c r="I1183" t="s">
        <v>43</v>
      </c>
      <c r="J1183" t="s">
        <v>37</v>
      </c>
      <c r="K1183" t="s">
        <v>55</v>
      </c>
      <c r="L1183" s="3">
        <v>95</v>
      </c>
      <c r="M1183" s="3">
        <v>3</v>
      </c>
      <c r="N1183">
        <v>1</v>
      </c>
      <c r="O1183">
        <v>8</v>
      </c>
      <c r="P1183" t="s">
        <v>31</v>
      </c>
    </row>
    <row r="1184" spans="1:16">
      <c r="A1184" t="s">
        <v>1350</v>
      </c>
      <c r="B1184" s="6">
        <v>46242.706944444442</v>
      </c>
      <c r="C1184" s="2">
        <v>46243.550689837961</v>
      </c>
      <c r="D1184" t="s">
        <v>23</v>
      </c>
      <c r="E1184" t="s">
        <v>40</v>
      </c>
      <c r="F1184" t="s">
        <v>51</v>
      </c>
      <c r="G1184" t="s">
        <v>34</v>
      </c>
      <c r="H1184" t="s">
        <v>35</v>
      </c>
      <c r="I1184" t="s">
        <v>36</v>
      </c>
      <c r="J1184" t="s">
        <v>52</v>
      </c>
      <c r="K1184" t="s">
        <v>101</v>
      </c>
      <c r="L1184" s="3">
        <v>58</v>
      </c>
      <c r="M1184" s="3">
        <v>4</v>
      </c>
      <c r="N1184">
        <v>0</v>
      </c>
      <c r="O1184">
        <v>7</v>
      </c>
      <c r="P1184" t="s">
        <v>63</v>
      </c>
    </row>
    <row r="1185" spans="1:16">
      <c r="A1185" t="s">
        <v>1351</v>
      </c>
      <c r="B1185" s="6">
        <v>46204.307638888888</v>
      </c>
      <c r="C1185" s="2">
        <v>46206.031468067129</v>
      </c>
      <c r="D1185" t="s">
        <v>23</v>
      </c>
      <c r="E1185" t="s">
        <v>33</v>
      </c>
      <c r="F1185" t="s">
        <v>51</v>
      </c>
      <c r="G1185" t="s">
        <v>26</v>
      </c>
      <c r="H1185" t="s">
        <v>42</v>
      </c>
      <c r="I1185" t="s">
        <v>48</v>
      </c>
      <c r="J1185" t="s">
        <v>52</v>
      </c>
      <c r="K1185" t="s">
        <v>93</v>
      </c>
      <c r="L1185" s="3">
        <v>286</v>
      </c>
      <c r="M1185" s="3">
        <v>3</v>
      </c>
      <c r="N1185">
        <v>0</v>
      </c>
      <c r="O1185">
        <v>12</v>
      </c>
      <c r="P1185" t="s">
        <v>63</v>
      </c>
    </row>
    <row r="1186" spans="1:16">
      <c r="A1186" t="s">
        <v>1352</v>
      </c>
      <c r="B1186" s="6">
        <v>46106.059027777781</v>
      </c>
      <c r="C1186" s="2">
        <v>46106.422003738429</v>
      </c>
      <c r="D1186" t="s">
        <v>23</v>
      </c>
      <c r="E1186" t="s">
        <v>50</v>
      </c>
      <c r="F1186" t="s">
        <v>51</v>
      </c>
      <c r="G1186" t="s">
        <v>54</v>
      </c>
      <c r="H1186" t="s">
        <v>42</v>
      </c>
      <c r="I1186" t="s">
        <v>28</v>
      </c>
      <c r="J1186" t="s">
        <v>29</v>
      </c>
      <c r="K1186" t="s">
        <v>55</v>
      </c>
      <c r="L1186" s="3">
        <v>99</v>
      </c>
      <c r="M1186" s="3">
        <v>4</v>
      </c>
      <c r="N1186">
        <v>0</v>
      </c>
      <c r="O1186">
        <v>7</v>
      </c>
      <c r="P1186" t="s">
        <v>31</v>
      </c>
    </row>
    <row r="1187" spans="1:16">
      <c r="A1187" t="s">
        <v>1353</v>
      </c>
      <c r="B1187" s="6">
        <v>46060.237500000003</v>
      </c>
      <c r="C1187" s="2">
        <v>46060.979769861115</v>
      </c>
      <c r="D1187" t="s">
        <v>23</v>
      </c>
      <c r="E1187" t="s">
        <v>50</v>
      </c>
      <c r="F1187" t="s">
        <v>25</v>
      </c>
      <c r="G1187" t="s">
        <v>603</v>
      </c>
      <c r="H1187" t="s">
        <v>42</v>
      </c>
      <c r="I1187" t="s">
        <v>43</v>
      </c>
      <c r="J1187" t="s">
        <v>29</v>
      </c>
      <c r="K1187" t="s">
        <v>30</v>
      </c>
      <c r="L1187" s="3">
        <v>127</v>
      </c>
      <c r="M1187" s="3">
        <v>3</v>
      </c>
      <c r="N1187">
        <v>2</v>
      </c>
      <c r="O1187">
        <v>11</v>
      </c>
      <c r="P1187" t="s">
        <v>31</v>
      </c>
    </row>
    <row r="1188" spans="1:16">
      <c r="A1188" t="s">
        <v>1354</v>
      </c>
      <c r="B1188" s="6">
        <v>46179.758333333331</v>
      </c>
      <c r="C1188" s="2">
        <v>46181.745293553242</v>
      </c>
      <c r="D1188" t="s">
        <v>23</v>
      </c>
      <c r="E1188" t="s">
        <v>33</v>
      </c>
      <c r="F1188" t="s">
        <v>51</v>
      </c>
      <c r="G1188" t="s">
        <v>34</v>
      </c>
      <c r="H1188" t="s">
        <v>35</v>
      </c>
      <c r="I1188" t="s">
        <v>43</v>
      </c>
      <c r="J1188" t="s">
        <v>37</v>
      </c>
      <c r="K1188" t="s">
        <v>38</v>
      </c>
      <c r="L1188" s="3">
        <v>157</v>
      </c>
      <c r="M1188" s="3">
        <v>4</v>
      </c>
      <c r="N1188">
        <v>0</v>
      </c>
      <c r="O1188">
        <v>3</v>
      </c>
      <c r="P1188" t="s">
        <v>31</v>
      </c>
    </row>
    <row r="1189" spans="1:16">
      <c r="A1189" t="s">
        <v>1355</v>
      </c>
      <c r="B1189" s="6">
        <v>46229.592361111114</v>
      </c>
      <c r="C1189" s="2"/>
      <c r="D1189" t="s">
        <v>74</v>
      </c>
      <c r="E1189" t="s">
        <v>40</v>
      </c>
      <c r="F1189" t="s">
        <v>25</v>
      </c>
      <c r="G1189" t="s">
        <v>26</v>
      </c>
      <c r="H1189" t="s">
        <v>35</v>
      </c>
      <c r="I1189" t="s">
        <v>43</v>
      </c>
      <c r="J1189" t="s">
        <v>52</v>
      </c>
      <c r="K1189" t="s">
        <v>38</v>
      </c>
      <c r="L1189" s="3">
        <v>39</v>
      </c>
      <c r="M1189" s="3"/>
      <c r="N1189">
        <v>0</v>
      </c>
      <c r="O1189">
        <v>2</v>
      </c>
      <c r="P1189" t="s">
        <v>31</v>
      </c>
    </row>
    <row r="1190" spans="1:16">
      <c r="A1190" t="s">
        <v>1356</v>
      </c>
      <c r="B1190" s="6">
        <v>46172.652083333334</v>
      </c>
      <c r="C1190" s="2">
        <v>46173.26987478009</v>
      </c>
      <c r="D1190" t="s">
        <v>23</v>
      </c>
      <c r="E1190" t="s">
        <v>50</v>
      </c>
      <c r="F1190" t="s">
        <v>25</v>
      </c>
      <c r="G1190" t="s">
        <v>26</v>
      </c>
      <c r="H1190" t="s">
        <v>35</v>
      </c>
      <c r="I1190" t="s">
        <v>43</v>
      </c>
      <c r="J1190" t="s">
        <v>29</v>
      </c>
      <c r="K1190" t="s">
        <v>85</v>
      </c>
      <c r="L1190" s="3">
        <v>213</v>
      </c>
      <c r="M1190" s="3">
        <v>4</v>
      </c>
      <c r="N1190">
        <v>0</v>
      </c>
      <c r="O1190">
        <v>3</v>
      </c>
      <c r="P1190" t="s">
        <v>31</v>
      </c>
    </row>
    <row r="1191" spans="1:16">
      <c r="A1191" t="s">
        <v>905</v>
      </c>
      <c r="B1191" s="6">
        <v>46260.162499999999</v>
      </c>
      <c r="C1191" s="2">
        <v>46260.325459953703</v>
      </c>
      <c r="D1191" t="s">
        <v>23</v>
      </c>
      <c r="E1191" t="s">
        <v>40</v>
      </c>
      <c r="F1191" t="s">
        <v>51</v>
      </c>
      <c r="G1191" t="s">
        <v>54</v>
      </c>
      <c r="H1191" t="s">
        <v>35</v>
      </c>
      <c r="I1191" t="s">
        <v>36</v>
      </c>
      <c r="J1191" t="s">
        <v>29</v>
      </c>
      <c r="K1191" t="s">
        <v>62</v>
      </c>
      <c r="L1191" s="3">
        <v>38</v>
      </c>
      <c r="M1191" s="3">
        <v>4</v>
      </c>
      <c r="N1191">
        <v>1</v>
      </c>
      <c r="O1191">
        <v>6</v>
      </c>
      <c r="P1191" t="s">
        <v>31</v>
      </c>
    </row>
    <row r="1192" spans="1:16">
      <c r="A1192" t="s">
        <v>1357</v>
      </c>
      <c r="B1192" s="6">
        <v>46134.215277777781</v>
      </c>
      <c r="C1192" s="2">
        <v>46134.648247743055</v>
      </c>
      <c r="D1192" t="s">
        <v>23</v>
      </c>
      <c r="E1192" t="s">
        <v>40</v>
      </c>
      <c r="F1192" t="s">
        <v>65</v>
      </c>
      <c r="G1192" t="s">
        <v>26</v>
      </c>
      <c r="H1192" t="s">
        <v>27</v>
      </c>
      <c r="I1192" t="s">
        <v>48</v>
      </c>
      <c r="J1192" t="s">
        <v>67</v>
      </c>
      <c r="K1192" t="s">
        <v>38</v>
      </c>
      <c r="L1192" s="3">
        <v>145</v>
      </c>
      <c r="M1192" s="3">
        <v>3</v>
      </c>
      <c r="N1192">
        <v>2</v>
      </c>
      <c r="O1192">
        <v>11</v>
      </c>
      <c r="P1192" t="s">
        <v>31</v>
      </c>
    </row>
    <row r="1193" spans="1:16">
      <c r="A1193" t="s">
        <v>1358</v>
      </c>
      <c r="B1193" s="6">
        <v>46148.587500000001</v>
      </c>
      <c r="C1193" s="2">
        <v>46149.087993472225</v>
      </c>
      <c r="D1193" t="s">
        <v>23</v>
      </c>
      <c r="E1193" t="s">
        <v>40</v>
      </c>
      <c r="F1193" t="s">
        <v>51</v>
      </c>
      <c r="G1193" t="s">
        <v>66</v>
      </c>
      <c r="H1193" t="s">
        <v>42</v>
      </c>
      <c r="I1193" t="s">
        <v>43</v>
      </c>
      <c r="J1193" t="s">
        <v>52</v>
      </c>
      <c r="L1193" s="3">
        <v>61</v>
      </c>
      <c r="M1193" s="3">
        <v>4</v>
      </c>
      <c r="N1193">
        <v>1</v>
      </c>
      <c r="O1193">
        <v>10</v>
      </c>
      <c r="P1193" t="s">
        <v>31</v>
      </c>
    </row>
    <row r="1194" spans="1:16">
      <c r="A1194" t="s">
        <v>1359</v>
      </c>
      <c r="B1194" s="6">
        <v>46151.836111111108</v>
      </c>
      <c r="C1194" s="2">
        <v>46152.249465636574</v>
      </c>
      <c r="D1194" t="s">
        <v>23</v>
      </c>
      <c r="E1194" t="s">
        <v>40</v>
      </c>
      <c r="F1194" t="s">
        <v>41</v>
      </c>
      <c r="G1194" t="s">
        <v>26</v>
      </c>
      <c r="H1194" t="s">
        <v>27</v>
      </c>
      <c r="I1194" t="s">
        <v>36</v>
      </c>
      <c r="J1194" t="s">
        <v>37</v>
      </c>
      <c r="K1194" t="s">
        <v>30</v>
      </c>
      <c r="L1194" s="3">
        <v>55</v>
      </c>
      <c r="M1194" s="3">
        <v>4</v>
      </c>
      <c r="N1194">
        <v>0</v>
      </c>
      <c r="O1194">
        <v>7</v>
      </c>
      <c r="P1194" t="s">
        <v>31</v>
      </c>
    </row>
    <row r="1195" spans="1:16">
      <c r="A1195" t="s">
        <v>1360</v>
      </c>
      <c r="B1195" s="6">
        <v>46037.526388888888</v>
      </c>
      <c r="C1195" s="2">
        <v>46038.741740173609</v>
      </c>
      <c r="D1195" t="s">
        <v>23</v>
      </c>
      <c r="E1195" t="s">
        <v>33</v>
      </c>
      <c r="F1195" t="s">
        <v>51</v>
      </c>
      <c r="G1195" t="s">
        <v>54</v>
      </c>
      <c r="H1195" t="s">
        <v>35</v>
      </c>
      <c r="I1195" t="s">
        <v>43</v>
      </c>
      <c r="J1195" t="s">
        <v>37</v>
      </c>
      <c r="K1195" t="s">
        <v>55</v>
      </c>
      <c r="L1195" s="3">
        <v>203</v>
      </c>
      <c r="M1195" s="3">
        <v>4</v>
      </c>
      <c r="N1195">
        <v>0</v>
      </c>
      <c r="O1195">
        <v>3</v>
      </c>
      <c r="P1195" t="s">
        <v>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4.25"/>
  <cols>
    <col min="1" max="1" width="21" customWidth="1"/>
    <col min="2" max="2" width="42" customWidth="1"/>
    <col min="3" max="3" width="40" customWidth="1"/>
  </cols>
  <sheetData>
    <row r="1" spans="1:3" ht="24" customHeight="1">
      <c r="A1" s="1" t="s">
        <v>1361</v>
      </c>
      <c r="B1" s="1" t="s">
        <v>1362</v>
      </c>
      <c r="C1" s="1" t="s">
        <v>1363</v>
      </c>
    </row>
    <row r="2" spans="1:3" ht="24" customHeight="1">
      <c r="A2" s="4" t="s">
        <v>6</v>
      </c>
      <c r="B2" s="4" t="s">
        <v>1364</v>
      </c>
      <c r="C2" s="4" t="s">
        <v>1365</v>
      </c>
    </row>
    <row r="3" spans="1:3" ht="24" customHeight="1">
      <c r="A3" s="4" t="s">
        <v>7</v>
      </c>
      <c r="B3" s="4" t="s">
        <v>1366</v>
      </c>
      <c r="C3" s="4" t="s">
        <v>1367</v>
      </c>
    </row>
    <row r="4" spans="1:3" ht="24" customHeight="1">
      <c r="A4" s="4" t="s">
        <v>8</v>
      </c>
      <c r="B4" s="4" t="s">
        <v>1368</v>
      </c>
      <c r="C4" s="4" t="s">
        <v>1369</v>
      </c>
    </row>
    <row r="5" spans="1:3" ht="24" customHeight="1">
      <c r="A5" s="4" t="s">
        <v>9</v>
      </c>
      <c r="B5" s="4" t="s">
        <v>1370</v>
      </c>
      <c r="C5" s="4" t="s">
        <v>1371</v>
      </c>
    </row>
    <row r="6" spans="1:3" ht="24" customHeight="1">
      <c r="A6" s="4" t="s">
        <v>10</v>
      </c>
      <c r="B6" s="4" t="s">
        <v>1372</v>
      </c>
      <c r="C6" s="4" t="s">
        <v>1373</v>
      </c>
    </row>
    <row r="7" spans="1:3" ht="24" customHeight="1">
      <c r="A7" s="4" t="s">
        <v>11</v>
      </c>
      <c r="B7" s="4" t="s">
        <v>1374</v>
      </c>
      <c r="C7" s="4" t="s">
        <v>1375</v>
      </c>
    </row>
    <row r="8" spans="1:3" ht="24" customHeight="1">
      <c r="A8" s="4" t="s">
        <v>12</v>
      </c>
      <c r="B8" s="4" t="s">
        <v>1376</v>
      </c>
      <c r="C8" s="4" t="s">
        <v>1371</v>
      </c>
    </row>
    <row r="9" spans="1:3" ht="24" customHeight="1">
      <c r="A9" s="4" t="s">
        <v>13</v>
      </c>
      <c r="B9" s="4" t="s">
        <v>1377</v>
      </c>
      <c r="C9" s="4" t="s">
        <v>1378</v>
      </c>
    </row>
    <row r="10" spans="1:3" ht="24" customHeight="1">
      <c r="A10" s="4" t="s">
        <v>14</v>
      </c>
      <c r="B10" s="4" t="s">
        <v>1379</v>
      </c>
      <c r="C10" s="4" t="s">
        <v>1371</v>
      </c>
    </row>
    <row r="11" spans="1:3" ht="24" customHeight="1">
      <c r="A11" s="4" t="s">
        <v>15</v>
      </c>
      <c r="B11" s="4" t="s">
        <v>1380</v>
      </c>
      <c r="C11" s="4" t="s">
        <v>1371</v>
      </c>
    </row>
    <row r="12" spans="1:3" ht="24" customHeight="1">
      <c r="A12" s="4" t="s">
        <v>16</v>
      </c>
      <c r="B12" s="4" t="s">
        <v>1381</v>
      </c>
      <c r="C12" s="4" t="s">
        <v>1382</v>
      </c>
    </row>
    <row r="13" spans="1:3" ht="24" customHeight="1">
      <c r="A13" s="4" t="s">
        <v>17</v>
      </c>
      <c r="B13" s="4" t="s">
        <v>1383</v>
      </c>
      <c r="C13" s="4" t="s">
        <v>1384</v>
      </c>
    </row>
    <row r="14" spans="1:3" ht="24" customHeight="1">
      <c r="A14" s="4" t="s">
        <v>18</v>
      </c>
      <c r="B14" s="4" t="s">
        <v>1385</v>
      </c>
      <c r="C14" s="4" t="s">
        <v>1386</v>
      </c>
    </row>
    <row r="15" spans="1:3" ht="24" customHeight="1">
      <c r="A15" s="4" t="s">
        <v>19</v>
      </c>
      <c r="B15" s="4" t="s">
        <v>1387</v>
      </c>
      <c r="C15" s="4" t="s">
        <v>1388</v>
      </c>
    </row>
    <row r="16" spans="1:3" ht="24" customHeight="1">
      <c r="A16" s="4" t="s">
        <v>20</v>
      </c>
      <c r="B16" s="4" t="s">
        <v>1389</v>
      </c>
      <c r="C16" s="4" t="s">
        <v>1388</v>
      </c>
    </row>
    <row r="17" spans="1:3" ht="24" customHeight="1">
      <c r="A17" s="4" t="s">
        <v>21</v>
      </c>
      <c r="B17" s="4" t="s">
        <v>1390</v>
      </c>
      <c r="C17" s="4" t="s">
        <v>1391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60D7-A745-4300-A73B-19AFF5DF0A01}">
  <dimension ref="A1:C5"/>
  <sheetViews>
    <sheetView workbookViewId="0">
      <selection sqref="A1:C5"/>
    </sheetView>
  </sheetViews>
  <sheetFormatPr defaultRowHeight="14.25"/>
  <cols>
    <col min="1" max="1" width="9.25" bestFit="1" customWidth="1"/>
    <col min="2" max="2" width="25.625" bestFit="1" customWidth="1"/>
    <col min="3" max="3" width="23.75" bestFit="1" customWidth="1"/>
  </cols>
  <sheetData>
    <row r="1" spans="1:3">
      <c r="A1" t="s">
        <v>10</v>
      </c>
      <c r="B1" t="s">
        <v>1392</v>
      </c>
      <c r="C1" t="s">
        <v>1393</v>
      </c>
    </row>
    <row r="2" spans="1:3">
      <c r="A2" t="s">
        <v>24</v>
      </c>
      <c r="B2">
        <v>15</v>
      </c>
      <c r="C2">
        <v>4</v>
      </c>
    </row>
    <row r="3" spans="1:3">
      <c r="A3" t="s">
        <v>40</v>
      </c>
      <c r="B3">
        <v>30</v>
      </c>
      <c r="C3">
        <v>8</v>
      </c>
    </row>
    <row r="4" spans="1:3">
      <c r="A4" t="s">
        <v>50</v>
      </c>
      <c r="B4">
        <v>120</v>
      </c>
      <c r="C4">
        <v>24</v>
      </c>
    </row>
    <row r="5" spans="1:3">
      <c r="A5" t="s">
        <v>33</v>
      </c>
      <c r="B5">
        <v>240</v>
      </c>
      <c r="C5">
        <v>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>
      <selection activeCell="E3" sqref="E3"/>
    </sheetView>
  </sheetViews>
  <sheetFormatPr defaultRowHeight="14.25"/>
  <cols>
    <col min="1" max="1" width="9.125" customWidth="1"/>
    <col min="2" max="2" width="25.125" customWidth="1"/>
    <col min="3" max="3" width="23.25" customWidth="1"/>
    <col min="5" max="5" width="9.5" customWidth="1"/>
    <col min="7" max="7" width="11" customWidth="1"/>
    <col min="9" max="9" width="12.625" customWidth="1"/>
    <col min="11" max="11" width="10" customWidth="1"/>
    <col min="13" max="13" width="15" customWidth="1"/>
  </cols>
  <sheetData>
    <row r="1" spans="1:13" ht="15">
      <c r="A1" s="1" t="s">
        <v>10</v>
      </c>
      <c r="B1" s="1" t="s">
        <v>1392</v>
      </c>
      <c r="C1" s="1" t="s">
        <v>1393</v>
      </c>
      <c r="E1" s="1" t="s">
        <v>1394</v>
      </c>
      <c r="G1" s="1" t="s">
        <v>1395</v>
      </c>
      <c r="I1" s="1" t="s">
        <v>1396</v>
      </c>
      <c r="K1" s="1" t="s">
        <v>1397</v>
      </c>
      <c r="M1" s="1" t="s">
        <v>13</v>
      </c>
    </row>
    <row r="2" spans="1:13">
      <c r="A2" t="s">
        <v>24</v>
      </c>
      <c r="B2">
        <v>15</v>
      </c>
      <c r="C2">
        <v>4</v>
      </c>
      <c r="E2" t="s">
        <v>57</v>
      </c>
      <c r="G2" t="s">
        <v>51</v>
      </c>
      <c r="I2" t="s">
        <v>52</v>
      </c>
      <c r="K2" t="s">
        <v>26</v>
      </c>
      <c r="M2" t="s">
        <v>35</v>
      </c>
    </row>
    <row r="3" spans="1:13">
      <c r="A3" t="s">
        <v>40</v>
      </c>
      <c r="B3">
        <v>30</v>
      </c>
      <c r="C3">
        <v>8</v>
      </c>
      <c r="E3" t="s">
        <v>74</v>
      </c>
      <c r="G3" t="s">
        <v>25</v>
      </c>
      <c r="I3" t="s">
        <v>29</v>
      </c>
      <c r="K3" t="s">
        <v>54</v>
      </c>
      <c r="M3" t="s">
        <v>42</v>
      </c>
    </row>
    <row r="4" spans="1:13">
      <c r="A4" t="s">
        <v>50</v>
      </c>
      <c r="B4">
        <v>120</v>
      </c>
      <c r="C4">
        <v>24</v>
      </c>
      <c r="E4" t="s">
        <v>23</v>
      </c>
      <c r="G4" t="s">
        <v>65</v>
      </c>
      <c r="I4" t="s">
        <v>37</v>
      </c>
      <c r="K4" t="s">
        <v>34</v>
      </c>
      <c r="M4" t="s">
        <v>27</v>
      </c>
    </row>
    <row r="5" spans="1:13">
      <c r="A5" t="s">
        <v>33</v>
      </c>
      <c r="B5">
        <v>240</v>
      </c>
      <c r="C5">
        <v>48</v>
      </c>
      <c r="E5" t="s">
        <v>1398</v>
      </c>
      <c r="G5" t="s">
        <v>41</v>
      </c>
      <c r="I5" t="s">
        <v>58</v>
      </c>
      <c r="K5" t="s">
        <v>66</v>
      </c>
    </row>
    <row r="6" spans="1:13">
      <c r="E6" t="s">
        <v>1399</v>
      </c>
      <c r="I6" t="s">
        <v>67</v>
      </c>
      <c r="K6" t="s">
        <v>75</v>
      </c>
    </row>
    <row r="7" spans="1:13">
      <c r="I7" t="s">
        <v>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3A9E65-26B2-46F3-957F-AD276B6D56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Analysis</vt:lpstr>
      <vt:lpstr>Clean_Tickets</vt:lpstr>
      <vt:lpstr>Dashboard</vt:lpstr>
      <vt:lpstr>Raw_Tickets</vt:lpstr>
      <vt:lpstr>Data_Dictionary</vt:lpstr>
      <vt:lpstr>SLA_Reference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BARBARA SOARES</cp:lastModifiedBy>
  <dcterms:modified xsi:type="dcterms:W3CDTF">2026-09-29T20:53:48Z</dcterms:modified>
</cp:coreProperties>
</file>